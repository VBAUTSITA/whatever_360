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codeName="ThisWorkbook" defaultThemeVersion="124226"/>
  <mc:AlternateContent xmlns:mc="http://schemas.openxmlformats.org/markup-compatibility/2006">
    <mc:Choice Requires="x15">
      <x15ac:absPath xmlns:x15ac="http://schemas.microsoft.com/office/spreadsheetml/2010/11/ac" url="D:\CAMILA\VALORIZACIONES\"/>
    </mc:Choice>
  </mc:AlternateContent>
  <xr:revisionPtr revIDLastSave="0" documentId="13_ncr:1_{42A2A5DB-8150-4D1A-B6CC-23A64B53F305}" xr6:coauthVersionLast="47" xr6:coauthVersionMax="47" xr10:uidLastSave="{00000000-0000-0000-0000-000000000000}"/>
  <bookViews>
    <workbookView xWindow="-120" yWindow="-120" windowWidth="20730" windowHeight="11040" tabRatio="824" activeTab="1" xr2:uid="{00000000-000D-0000-FFFF-FFFF00000000}"/>
  </bookViews>
  <sheets>
    <sheet name="PROCESO" sheetId="53" r:id="rId1"/>
    <sheet name="VALORIZACION EASY MACRO" sheetId="50" r:id="rId2"/>
    <sheet name="VALORIZACION BOOKRRU" sheetId="46" r:id="rId3"/>
    <sheet name="Precios de Marlon" sheetId="48" r:id="rId4"/>
    <sheet name="Preciario Marlon AAB" sheetId="52" r:id="rId5"/>
    <sheet name="Preciario BOOKRRU" sheetId="51" r:id="rId6"/>
    <sheet name="PLANOS" sheetId="54" r:id="rId7"/>
    <sheet name="PROBLEMAS SEGUN CUADRO DE MEDIC" sheetId="47" state="hidden" r:id="rId8"/>
    <sheet name="BBU BOX" sheetId="33" state="hidden" r:id="rId9"/>
    <sheet name="RRUs inicial" sheetId="37" state="hidden" r:id="rId10"/>
    <sheet name="Calculo de FO" sheetId="42" state="hidden" r:id="rId11"/>
    <sheet name="Costos FO" sheetId="43" state="hidden" r:id="rId12"/>
    <sheet name="PRECIARIO 160518" sheetId="38" state="hidden" r:id="rId13"/>
  </sheets>
  <externalReferences>
    <externalReference r:id="rId14"/>
    <externalReference r:id="rId15"/>
    <externalReference r:id="rId16"/>
  </externalReferences>
  <definedNames>
    <definedName name="AP" localSheetId="1">#REF!</definedName>
    <definedName name="AP">#REF!</definedName>
    <definedName name="Baseline" localSheetId="1">#REF!</definedName>
    <definedName name="Baseline">#REF!</definedName>
    <definedName name="CDMA" localSheetId="1">#REF!</definedName>
    <definedName name="CDMA">#REF!</definedName>
    <definedName name="CEE_Nordic_European_Sub_Regional" localSheetId="1">#REF!</definedName>
    <definedName name="CEE_Nordic_European_Sub_Regional">#REF!</definedName>
    <definedName name="Central_Asia_Sub_Regional" localSheetId="1">#REF!</definedName>
    <definedName name="Central_Asia_Sub_Regional">#REF!</definedName>
    <definedName name="China" localSheetId="1">#REF!</definedName>
    <definedName name="China">#REF!</definedName>
    <definedName name="CIS" localSheetId="1">#REF!</definedName>
    <definedName name="CIS">#REF!</definedName>
    <definedName name="Eastern_Africa_Sub_Regional" localSheetId="1">#REF!</definedName>
    <definedName name="Eastern_Africa_Sub_Regional">#REF!</definedName>
    <definedName name="Eastern_Asia_Sub_Regional" localSheetId="1">#REF!</definedName>
    <definedName name="Eastern_Asia_Sub_Regional">#REF!</definedName>
    <definedName name="EU" localSheetId="1">#REF!</definedName>
    <definedName name="EU">#REF!</definedName>
    <definedName name="GSM" localSheetId="1">#REF!</definedName>
    <definedName name="GSM">#REF!</definedName>
    <definedName name="India_Rep_O" localSheetId="1">#REF!</definedName>
    <definedName name="India_Rep_O">#REF!</definedName>
    <definedName name="LA" localSheetId="1">#REF!</definedName>
    <definedName name="LA">#REF!</definedName>
    <definedName name="MENA" localSheetId="1">#REF!</definedName>
    <definedName name="MENA">#REF!</definedName>
    <definedName name="Mexico_Rep_O" localSheetId="1">#REF!</definedName>
    <definedName name="Mexico_Rep_O">#REF!</definedName>
    <definedName name="Middle_East_Sub_Regional" localSheetId="1">#REF!</definedName>
    <definedName name="Middle_East_Sub_Regional">#REF!</definedName>
    <definedName name="Northern_Africa_Sub_Regional" localSheetId="1">#REF!</definedName>
    <definedName name="Northern_Africa_Sub_Regional">#REF!</definedName>
    <definedName name="Northern_South_America_Sub_Regional" localSheetId="1">#REF!</definedName>
    <definedName name="Northern_South_America_Sub_Regional">#REF!</definedName>
    <definedName name="QF_SYS_CURRENCY1">[1]Parameters!$F$8</definedName>
    <definedName name="QF_SYS_LISTPRICECURRENCY_CURRENCY">[1]Parameters!$B$20</definedName>
    <definedName name="rate">'[2]LR &amp; Ratio of Exp. Allocation'!$1:$1048576</definedName>
    <definedName name="Russia" localSheetId="1">#REF!</definedName>
    <definedName name="Russia">#REF!</definedName>
    <definedName name="SA" localSheetId="1">#REF!</definedName>
    <definedName name="SA">#REF!</definedName>
    <definedName name="Southern_Africa_Sub_Regional" localSheetId="1">#REF!</definedName>
    <definedName name="Southern_Africa_Sub_Regional">#REF!</definedName>
    <definedName name="Southern_East_Asia_Sub_Regional" localSheetId="1">#REF!</definedName>
    <definedName name="Southern_East_Asia_Sub_Regional">#REF!</definedName>
    <definedName name="Southern_Pacific_Sub_Regional" localSheetId="1">#REF!</definedName>
    <definedName name="Southern_Pacific_Sub_Regional">#REF!</definedName>
    <definedName name="Southern_South_America_Sub_Regional" localSheetId="1">#REF!</definedName>
    <definedName name="Southern_South_America_Sub_Regional">#REF!</definedName>
    <definedName name="Tabla_DEPARTAMENTO">'[3]Costos FO'!$D$5:$H$99</definedName>
    <definedName name="Tabla_DISTRITO">'[3]Costos FO'!$E$5:$H$99</definedName>
    <definedName name="TD_SCDMA" localSheetId="1">#REF!</definedName>
    <definedName name="TD_SCDMA">#REF!</definedName>
    <definedName name="UMTS" localSheetId="1">#REF!</definedName>
    <definedName name="UMTS">#REF!</definedName>
    <definedName name="USA" localSheetId="1">#REF!</definedName>
    <definedName name="USA">#REF!</definedName>
    <definedName name="USA_Rep_O" localSheetId="1">#REF!</definedName>
    <definedName name="USA_Rep_O">#REF!</definedName>
    <definedName name="West_European_Sub_Regional" localSheetId="1">#REF!</definedName>
    <definedName name="West_European_Sub_Regional">#REF!</definedName>
    <definedName name="Western_Africa_Sub_Regional" localSheetId="1">#REF!</definedName>
    <definedName name="Western_Africa_Sub_Regional">#REF!</definedName>
    <definedName name="中国" localSheetId="1">#REF!</definedName>
    <definedName name="中国">#REF!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 i="50" l="1"/>
  <c r="K19" i="46" l="1"/>
  <c r="L19" i="46" s="1"/>
  <c r="K17" i="46"/>
  <c r="L16" i="50" l="1"/>
  <c r="L17" i="46"/>
  <c r="O6" i="54"/>
  <c r="O7" i="54" s="1"/>
  <c r="M6" i="54"/>
  <c r="M7" i="54" s="1"/>
  <c r="K6" i="54"/>
  <c r="K7" i="54" s="1"/>
  <c r="I6" i="54"/>
  <c r="I7" i="54" s="1"/>
  <c r="G6" i="54"/>
  <c r="G7" i="54" s="1"/>
  <c r="E6" i="54"/>
  <c r="E7" i="54" s="1"/>
  <c r="J12" i="50"/>
  <c r="J11" i="50"/>
  <c r="J9" i="50"/>
  <c r="J7" i="50"/>
  <c r="J10" i="46" l="1"/>
  <c r="K10" i="46" s="1"/>
  <c r="J11" i="46"/>
  <c r="J7" i="46"/>
  <c r="J9" i="46"/>
  <c r="J15" i="52"/>
  <c r="K11" i="50"/>
  <c r="E12" i="52"/>
  <c r="E6" i="52"/>
  <c r="E5" i="52"/>
  <c r="E7" i="52" s="1"/>
  <c r="L27" i="52"/>
  <c r="L26" i="52"/>
  <c r="L28" i="52" s="1"/>
  <c r="L30" i="52" s="1"/>
  <c r="J19" i="52"/>
  <c r="J20" i="52" s="1"/>
  <c r="D7" i="52"/>
  <c r="J20" i="50"/>
  <c r="J18" i="50"/>
  <c r="K18" i="50" s="1"/>
  <c r="L18" i="50" s="1"/>
  <c r="K26" i="46"/>
  <c r="L26" i="46" s="1"/>
  <c r="L28" i="46" s="1"/>
  <c r="F31" i="51"/>
  <c r="F32" i="51" s="1"/>
  <c r="F33" i="51" s="1"/>
  <c r="L29" i="50" l="1"/>
  <c r="L38" i="52"/>
  <c r="M38" i="52" s="1"/>
  <c r="L39" i="52"/>
  <c r="D8" i="46"/>
  <c r="L35" i="52"/>
  <c r="L36" i="52"/>
  <c r="L34" i="52"/>
  <c r="K27" i="50"/>
  <c r="L27" i="50" s="1"/>
  <c r="J22" i="50"/>
  <c r="K22" i="50" s="1"/>
  <c r="L22" i="50" s="1"/>
  <c r="K20" i="50"/>
  <c r="L20" i="50" s="1"/>
  <c r="C17" i="50"/>
  <c r="K12" i="50"/>
  <c r="K7" i="50"/>
  <c r="K9" i="50"/>
  <c r="L7" i="50" l="1"/>
  <c r="L13" i="50"/>
  <c r="D7" i="50" s="1"/>
  <c r="E7" i="50" s="1"/>
  <c r="D8" i="50"/>
  <c r="E8" i="50" s="1"/>
  <c r="E8" i="46"/>
  <c r="K9" i="46"/>
  <c r="K7" i="46"/>
  <c r="K11" i="46"/>
  <c r="L7" i="46" l="1"/>
  <c r="E9" i="50"/>
  <c r="L13" i="46" l="1"/>
  <c r="D7" i="46" s="1"/>
  <c r="E7" i="46" s="1"/>
  <c r="E9" i="46" s="1"/>
  <c r="F3" i="42"/>
  <c r="D3" i="42"/>
  <c r="K3" i="42" s="1"/>
  <c r="E3" i="42"/>
  <c r="H3" i="42" s="1"/>
  <c r="C3" i="42"/>
  <c r="I3" i="42" s="1"/>
  <c r="B3" i="42"/>
  <c r="A3" i="42"/>
  <c r="H99" i="43"/>
  <c r="H98" i="43"/>
  <c r="H97" i="43"/>
  <c r="H96" i="43"/>
  <c r="H95" i="43"/>
  <c r="H94" i="43"/>
  <c r="H93" i="43"/>
  <c r="H92" i="43"/>
  <c r="H91" i="43"/>
  <c r="H90" i="43"/>
  <c r="H89" i="43"/>
  <c r="H88" i="43"/>
  <c r="H87" i="43"/>
  <c r="H86" i="43"/>
  <c r="H85" i="43"/>
  <c r="H84" i="43"/>
  <c r="H83" i="43"/>
  <c r="H82" i="43"/>
  <c r="H81" i="43"/>
  <c r="H80" i="43"/>
  <c r="H79" i="43"/>
  <c r="H78" i="43"/>
  <c r="H77" i="43"/>
  <c r="H76" i="43"/>
  <c r="H75" i="43"/>
  <c r="H74" i="43"/>
  <c r="H73" i="43"/>
  <c r="H72" i="43"/>
  <c r="H71" i="43"/>
  <c r="H70" i="43"/>
  <c r="H69" i="43"/>
  <c r="H68" i="43"/>
  <c r="H67" i="43"/>
  <c r="H66" i="43"/>
  <c r="H65" i="43"/>
  <c r="H64" i="43"/>
  <c r="H63" i="43"/>
  <c r="H62" i="43"/>
  <c r="H61" i="43"/>
  <c r="H60" i="43"/>
  <c r="H59" i="43"/>
  <c r="H58" i="43"/>
  <c r="H57" i="43"/>
  <c r="H56" i="43"/>
  <c r="H55" i="43"/>
  <c r="H54" i="43"/>
  <c r="H53" i="43"/>
  <c r="H52" i="43"/>
  <c r="H51" i="43"/>
  <c r="H50" i="43"/>
  <c r="H49" i="43"/>
  <c r="H48" i="43"/>
  <c r="H47" i="43"/>
  <c r="H46" i="43"/>
  <c r="H45" i="43"/>
  <c r="H44" i="43"/>
  <c r="H43" i="43"/>
  <c r="H42" i="43"/>
  <c r="H41" i="43"/>
  <c r="H40" i="43"/>
  <c r="H39" i="43"/>
  <c r="H38" i="43"/>
  <c r="H37" i="43"/>
  <c r="H36" i="43"/>
  <c r="H35" i="43"/>
  <c r="H34" i="43"/>
  <c r="H33" i="43"/>
  <c r="H32" i="43"/>
  <c r="H31" i="43"/>
  <c r="H30" i="43"/>
  <c r="H29" i="43"/>
  <c r="H28" i="43"/>
  <c r="H27" i="43"/>
  <c r="H26" i="43"/>
  <c r="H25" i="43"/>
  <c r="H24" i="43"/>
  <c r="H23" i="43"/>
  <c r="H22" i="43"/>
  <c r="H21" i="43"/>
  <c r="H20" i="43"/>
  <c r="H19" i="43"/>
  <c r="H18" i="43"/>
  <c r="H17" i="43"/>
  <c r="H16" i="43"/>
  <c r="H15" i="43"/>
  <c r="H14" i="43"/>
  <c r="H13" i="43"/>
  <c r="H12" i="43"/>
  <c r="H11" i="43"/>
  <c r="H10" i="43"/>
  <c r="H9" i="43"/>
  <c r="H8" i="43"/>
  <c r="H7" i="43"/>
  <c r="H6" i="43"/>
  <c r="N5" i="42"/>
  <c r="N3" i="42"/>
  <c r="D23" i="38"/>
  <c r="C23" i="38"/>
  <c r="D22" i="38"/>
  <c r="C22" i="38"/>
  <c r="D21" i="38"/>
  <c r="C21" i="38"/>
  <c r="D19" i="38"/>
  <c r="C19" i="38"/>
  <c r="C18" i="33"/>
  <c r="B18" i="33"/>
  <c r="C17" i="33"/>
  <c r="B17" i="33"/>
  <c r="C16" i="33"/>
  <c r="B16" i="33"/>
  <c r="B8" i="33"/>
  <c r="D8" i="33" s="1"/>
  <c r="B7" i="33"/>
  <c r="D7" i="33" s="1"/>
  <c r="D10" i="33" s="1"/>
  <c r="J3" i="42" l="1"/>
  <c r="G3" i="42"/>
  <c r="L3" i="42" l="1"/>
  <c r="M3" i="42" s="1"/>
  <c r="O3" i="4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Susana Patricia Mendoza</author>
  </authors>
  <commentList>
    <comment ref="J7" authorId="0" shapeId="0" xr:uid="{00000000-0006-0000-0100-000001000000}">
      <text>
        <r>
          <rPr>
            <b/>
            <sz val="9"/>
            <color indexed="81"/>
            <rFont val="Tahoma"/>
            <family val="2"/>
          </rPr>
          <t>COLOCAR EL PRECIO SEGÚN LA NECESIDAD (1 banda o 2 bandas)</t>
        </r>
        <r>
          <rPr>
            <sz val="9"/>
            <color indexed="81"/>
            <rFont val="Tahoma"/>
            <family val="2"/>
          </rPr>
          <t xml:space="preserve">
</t>
        </r>
      </text>
    </comment>
    <comment ref="J16" authorId="0" shapeId="0" xr:uid="{00000000-0006-0000-0100-000002000000}">
      <text>
        <r>
          <rPr>
            <b/>
            <sz val="9"/>
            <color indexed="81"/>
            <rFont val="Tahoma"/>
            <family val="2"/>
          </rPr>
          <t>COLOCAR EL PRECIO SEGÚN EL AREA DEL PISO</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Susana Patricia Mendoza</author>
  </authors>
  <commentList>
    <comment ref="J17" authorId="0" shapeId="0" xr:uid="{00000000-0006-0000-0200-000001000000}">
      <text>
        <r>
          <rPr>
            <b/>
            <sz val="9"/>
            <color indexed="81"/>
            <rFont val="Tahoma"/>
            <family val="2"/>
          </rPr>
          <t>COLOCAR EL PRECIO SEGÚN EL AREA DEL PISO</t>
        </r>
        <r>
          <rPr>
            <sz val="9"/>
            <color indexed="81"/>
            <rFont val="Tahoma"/>
            <family val="2"/>
          </rPr>
          <t xml:space="preserve">
</t>
        </r>
      </text>
    </comment>
  </commentList>
</comments>
</file>

<file path=xl/sharedStrings.xml><?xml version="1.0" encoding="utf-8"?>
<sst xmlns="http://schemas.openxmlformats.org/spreadsheetml/2006/main" count="820" uniqueCount="415">
  <si>
    <t>TOTAL SERVICIOS</t>
  </si>
  <si>
    <t>TOTAL EQUIPOS</t>
  </si>
  <si>
    <t>Router</t>
  </si>
  <si>
    <t>Total $</t>
  </si>
  <si>
    <t>Costo unitario $</t>
  </si>
  <si>
    <t>Cantidad</t>
  </si>
  <si>
    <t>EQUIPOS</t>
  </si>
  <si>
    <t>Gabinete TX</t>
  </si>
  <si>
    <t>*Cantidad de BBU</t>
  </si>
  <si>
    <t>ITEM</t>
  </si>
  <si>
    <t>*Site de donde se extiende la RRU</t>
  </si>
  <si>
    <t>*Tecnologías y frecuencias</t>
  </si>
  <si>
    <t>1 BBU con 1 Tarjeta UBBP</t>
  </si>
  <si>
    <t>Active User (por Sector) para 4G</t>
  </si>
  <si>
    <t>* Medio de Tx</t>
  </si>
  <si>
    <t>*Cantidad de Antenas</t>
  </si>
  <si>
    <t>* Área Total (m2)</t>
  </si>
  <si>
    <t>BBU Box (caja vacía)</t>
  </si>
  <si>
    <t>UMPTe2</t>
  </si>
  <si>
    <t>UMPT-Model Control Fee - UMTS</t>
  </si>
  <si>
    <t xml:space="preserve">UBBPe4 - UMTS  (1024 UL CE ) </t>
  </si>
  <si>
    <t>UMTS CE activation (por sector) para 3G</t>
  </si>
  <si>
    <t>UMTS cell activation (per Cell) para 3G</t>
  </si>
  <si>
    <t>*precio fijo</t>
  </si>
  <si>
    <t>*por sector</t>
  </si>
  <si>
    <t>*por celda</t>
  </si>
  <si>
    <t>cant.</t>
  </si>
  <si>
    <t>subtotales</t>
  </si>
  <si>
    <t>Precio Indoor/Outdoor</t>
  </si>
  <si>
    <t>Descripción</t>
  </si>
  <si>
    <t>Outdoor</t>
  </si>
  <si>
    <t>Indoor</t>
  </si>
  <si>
    <t>RRU 3262 (700MHz) 2T2R</t>
  </si>
  <si>
    <t xml:space="preserve">RRU 3952 (850Mhz) B5 - 2T4R </t>
  </si>
  <si>
    <t>RRU 3971 (1900Mhz) 4T4R</t>
  </si>
  <si>
    <t>RRU 3281 (2600MHz) 4T4R</t>
  </si>
  <si>
    <t>UBBPe4 - LTE- Initial 240Mhz AAB</t>
  </si>
  <si>
    <t>UBBP adicional</t>
  </si>
  <si>
    <t>Gabinete Rectificador
para Outdoor / Indoor</t>
  </si>
  <si>
    <t>Gabinete Minirectificador (Minipack) para RRU extendidas</t>
  </si>
  <si>
    <t>GABINETE OUTDOOR 6UR PARA POSTE (313.85) + RECTIFICADOR FPS 48V 2kW 230VAC BD (613.33) + 1 BANCO BATERIA NARADA 40AH  (205.9)</t>
  </si>
  <si>
    <t>1 GABINETE HUAWEI SPLIT POWER 1072946 + 2 GABINETE HUAWEI SPLIT BATTERY 1072904 + 3 MODULO RECTIFICADOR R4850G2 1U 3000W + 3 BANCO BATERIA NARADA 12NDT170S</t>
  </si>
  <si>
    <t>FO</t>
  </si>
  <si>
    <t>DESCRIPCIÓN DEL PROYECTO</t>
  </si>
  <si>
    <t>MÉTRICA</t>
  </si>
  <si>
    <t>UNIDADES</t>
  </si>
  <si>
    <t>COSTO POR UNIDAD</t>
  </si>
  <si>
    <t>CAPEX INICIAL       USD</t>
  </si>
  <si>
    <t>BBU Box</t>
  </si>
  <si>
    <t># SITIOS</t>
  </si>
  <si>
    <t>BBU Power and Alarm cable</t>
  </si>
  <si>
    <t>DCDU</t>
  </si>
  <si>
    <t>UMPT-Model Control Fee -UMTS</t>
  </si>
  <si>
    <t xml:space="preserve">UBBPe4 - UMTS  (1024 UL CE ) </t>
  </si>
  <si>
    <t>Activation code for UBBPe4 - LTE - 240Mhz AAB</t>
  </si>
  <si>
    <t>Installation Material for 2T2R</t>
  </si>
  <si>
    <t>UMTS CE activation(per CE)</t>
  </si>
  <si>
    <t>UMTS cell activation(per Cell)</t>
  </si>
  <si>
    <t>Hardware Activation Code of  2T4R -&gt; 4T4R (only for 4T4R RRU)</t>
  </si>
  <si>
    <t>Active User</t>
  </si>
  <si>
    <t>Antenna ASI4518R14v06</t>
  </si>
  <si>
    <t>Signal Cable,AISG Communication cable,5m</t>
  </si>
  <si>
    <t>Single cable,AISG Extention cable,15m</t>
  </si>
  <si>
    <t>RRU3936 B5</t>
  </si>
  <si>
    <t>Radio 2T4R RRU3262 B28 (ACT SW 2T2R)</t>
  </si>
  <si>
    <t>Radio 4T4R RRU3971 B2 (Act SW 2T4R)</t>
  </si>
  <si>
    <t>Radio 4T4R RRU3281 B7 (Act SW 2T4R)</t>
  </si>
  <si>
    <t>UBBPe4 - LTE- Initial 240Mhz AAB (B2+B28)</t>
  </si>
  <si>
    <t>UBBPe4 - LTE- Initial 240Mhz AAB (B7)</t>
  </si>
  <si>
    <t>PRECIOS PARA VALORIZAR PROYECTOS</t>
  </si>
  <si>
    <t>RED y COMERCIAL</t>
  </si>
  <si>
    <t>POR SECTOR</t>
  </si>
  <si>
    <r>
      <rPr>
        <b/>
        <sz val="11"/>
        <color theme="1"/>
        <rFont val="Calibri"/>
        <family val="2"/>
        <scheme val="minor"/>
      </rPr>
      <t>POR CELDA:</t>
    </r>
    <r>
      <rPr>
        <sz val="11"/>
        <color theme="1"/>
        <rFont val="Calibri"/>
        <family val="2"/>
        <scheme val="minor"/>
      </rPr>
      <t xml:space="preserve">
si es 3G 850 son 2 carrier, es decir 2 celdas
si es 3G 1900 es 1 carrier, es decir 1 celda</t>
    </r>
  </si>
  <si>
    <t>Tener presente que este precio no considera la cantidad de sectores y celdas para los ITEMS 11 y 12. Actualizar el costo según cada proyecto.</t>
  </si>
  <si>
    <t>1 GABINETE HUAWEI SPLIT POWER 1072946 + 
2 GABINETE HUAWEI SPLIT BATTERY 1072904 + 
3 MODULO RECTIFICADOR R4850G2 1U 3000W + 
3 BANCO BATERIA NARADA 12NDT170S</t>
  </si>
  <si>
    <t>* Info sólo para RF:</t>
  </si>
  <si>
    <t>SOLUCION MEDIO TX: FIBRA OPTICA (PEXT)</t>
  </si>
  <si>
    <t>DISTRITO</t>
  </si>
  <si>
    <t>DEPARTAMENTO</t>
  </si>
  <si>
    <t>LATITUD A</t>
  </si>
  <si>
    <t>LONGITUD A</t>
  </si>
  <si>
    <t>LATITUD B</t>
  </si>
  <si>
    <t>LONGITUD B</t>
  </si>
  <si>
    <t>C1</t>
  </si>
  <si>
    <t>C2</t>
  </si>
  <si>
    <t>C3</t>
  </si>
  <si>
    <t>C4</t>
  </si>
  <si>
    <t>C5</t>
  </si>
  <si>
    <t>C6</t>
  </si>
  <si>
    <t>DISTANCIA
(Km)</t>
  </si>
  <si>
    <t>Costo ml Promedio</t>
  </si>
  <si>
    <t>Costo Promedio
PEXT</t>
  </si>
  <si>
    <t>LIMA (CERCADO)</t>
  </si>
  <si>
    <t>LIMA</t>
  </si>
  <si>
    <t>SAN JUAN DE MIRAFLORES</t>
  </si>
  <si>
    <t>CHORRILLOS</t>
  </si>
  <si>
    <t>VILLA EL SALVADOR</t>
  </si>
  <si>
    <t>CHOSICA</t>
  </si>
  <si>
    <t>SANTIAGO DE SURCO</t>
  </si>
  <si>
    <t>LA VICTORIA</t>
  </si>
  <si>
    <t>ATE</t>
  </si>
  <si>
    <t>SAN JUAN DE LURIGANCHO</t>
  </si>
  <si>
    <t>JUNIN</t>
  </si>
  <si>
    <t>JESUS MARIA</t>
  </si>
  <si>
    <t>PUENTE PIEDRA</t>
  </si>
  <si>
    <t>ICA</t>
  </si>
  <si>
    <t>LURIN</t>
  </si>
  <si>
    <t>MAGDALENA DEL MAR</t>
  </si>
  <si>
    <t>Tabla costos Promedios: Asume % Canalizados y T. Aereos - PLANTA NUEVA</t>
  </si>
  <si>
    <t>Costos FO Canalizado Nuevo&amp;existente x metro lineal :</t>
  </si>
  <si>
    <t>Costos FO T.Aereo Existente x metro lineal :</t>
  </si>
  <si>
    <t>CODIGOS</t>
  </si>
  <si>
    <t>% Canalizado</t>
  </si>
  <si>
    <t>% T. Aereo</t>
  </si>
  <si>
    <t>COSTO METRO LINEAL</t>
  </si>
  <si>
    <t xml:space="preserve">RESPONSABLE TX </t>
  </si>
  <si>
    <t>DISTRIBUCION LIMA</t>
  </si>
  <si>
    <t>LI</t>
  </si>
  <si>
    <t>CALLAO</t>
  </si>
  <si>
    <t>EDWIN DIAZ</t>
  </si>
  <si>
    <t>LA PERLA</t>
  </si>
  <si>
    <t>BELLAVISTA</t>
  </si>
  <si>
    <t>CARMEN DE LA LEGUA</t>
  </si>
  <si>
    <t>COMAS</t>
  </si>
  <si>
    <t>CARABAYLLO</t>
  </si>
  <si>
    <t>LOS OLIVOS</t>
  </si>
  <si>
    <t>INDEPENDENCIA</t>
  </si>
  <si>
    <t>PROVINCIAS NORTE</t>
  </si>
  <si>
    <t>HUACHO</t>
  </si>
  <si>
    <t>HUARAL</t>
  </si>
  <si>
    <t>HUALMAY</t>
  </si>
  <si>
    <t>ANCON</t>
  </si>
  <si>
    <t>SAN MARTIN DE PORRES</t>
  </si>
  <si>
    <t>VENTANILLA</t>
  </si>
  <si>
    <t>AUCALLAMA</t>
  </si>
  <si>
    <t>CHANCAY</t>
  </si>
  <si>
    <t>HUAURA</t>
  </si>
  <si>
    <t>VEGUETA</t>
  </si>
  <si>
    <t>SUPE</t>
  </si>
  <si>
    <t>LEONCIO PRADO  (STA. CRUZ)</t>
  </si>
  <si>
    <t>BARRANCA</t>
  </si>
  <si>
    <t>CARLOS HUAMAN</t>
  </si>
  <si>
    <t>SANTA ANITA</t>
  </si>
  <si>
    <t>DANTE RODRIGUEZ</t>
  </si>
  <si>
    <t>SAN ANTONIO DE CHACCLA</t>
  </si>
  <si>
    <t>CHACLACAYO</t>
  </si>
  <si>
    <t>SANTA EULALIA</t>
  </si>
  <si>
    <t>LA MOLINA</t>
  </si>
  <si>
    <t>HAROLD JAPUR</t>
  </si>
  <si>
    <t>CIENEGUILLA</t>
  </si>
  <si>
    <t>SAN BORJA</t>
  </si>
  <si>
    <t>SAN LUIS</t>
  </si>
  <si>
    <t>EL AGUSTINO</t>
  </si>
  <si>
    <t>LURIGANCHO</t>
  </si>
  <si>
    <t>LURIGANCHO CHOSICA</t>
  </si>
  <si>
    <t>WALTER REINOSO</t>
  </si>
  <si>
    <t>LINCE</t>
  </si>
  <si>
    <t>MIRAFLORES</t>
  </si>
  <si>
    <t>SAN ISIDRO</t>
  </si>
  <si>
    <t>SURQUILLO</t>
  </si>
  <si>
    <t>BREÑA</t>
  </si>
  <si>
    <t>PUEBLO LIBRE</t>
  </si>
  <si>
    <t>RIMAC</t>
  </si>
  <si>
    <t>SAN MIGUEL</t>
  </si>
  <si>
    <t>BARRANCO</t>
  </si>
  <si>
    <t>VILLA MARIA DEL TRIUNFO</t>
  </si>
  <si>
    <t>CAÑETE</t>
  </si>
  <si>
    <t>SAN VICENTE DE CAÑETE</t>
  </si>
  <si>
    <t>MALA</t>
  </si>
  <si>
    <t>SAN ANTONIO</t>
  </si>
  <si>
    <t>PACHACAMAC</t>
  </si>
  <si>
    <t>CHILCA</t>
  </si>
  <si>
    <t>PLAYAS LIMA SUR</t>
  </si>
  <si>
    <t>PUNTA HERMOSA</t>
  </si>
  <si>
    <t>PUNTA NEGRA</t>
  </si>
  <si>
    <t>CERRO AZUL</t>
  </si>
  <si>
    <t>SAN BARTOLO</t>
  </si>
  <si>
    <t>PUCUSANA</t>
  </si>
  <si>
    <t>ASIA</t>
  </si>
  <si>
    <t>SANTA MARIA DEL MAR</t>
  </si>
  <si>
    <t>DISTRIBUCION DEPARTAMENTAL</t>
  </si>
  <si>
    <t>TT</t>
  </si>
  <si>
    <t>TUMBES</t>
  </si>
  <si>
    <t>TP</t>
  </si>
  <si>
    <t>PIURA</t>
  </si>
  <si>
    <t>TC</t>
  </si>
  <si>
    <t>CAJAMARCA</t>
  </si>
  <si>
    <t>TM</t>
  </si>
  <si>
    <t>AMAZONAS</t>
  </si>
  <si>
    <t>TL</t>
  </si>
  <si>
    <t>LAMBAYEQUE</t>
  </si>
  <si>
    <t>TJ</t>
  </si>
  <si>
    <t>LA LIBERTAD</t>
  </si>
  <si>
    <t>TA</t>
  </si>
  <si>
    <t>ANCASH</t>
  </si>
  <si>
    <t>LL</t>
  </si>
  <si>
    <t>LORETO</t>
  </si>
  <si>
    <t>LS</t>
  </si>
  <si>
    <t>SAN MARTIN</t>
  </si>
  <si>
    <t>LU</t>
  </si>
  <si>
    <t>UCAYALI</t>
  </si>
  <si>
    <t>LP</t>
  </si>
  <si>
    <t>PASCO</t>
  </si>
  <si>
    <t>LC</t>
  </si>
  <si>
    <t>LJ</t>
  </si>
  <si>
    <t>LV</t>
  </si>
  <si>
    <t>HUANCAVELICA</t>
  </si>
  <si>
    <t>LH</t>
  </si>
  <si>
    <t>HUANUCO</t>
  </si>
  <si>
    <t>LA</t>
  </si>
  <si>
    <t>AYACUCHO</t>
  </si>
  <si>
    <t>LR</t>
  </si>
  <si>
    <t>APURIMAC</t>
  </si>
  <si>
    <t>AR</t>
  </si>
  <si>
    <t>AREQUIPA</t>
  </si>
  <si>
    <t>AM</t>
  </si>
  <si>
    <t>MOQUEGUA</t>
  </si>
  <si>
    <t>MARTIN CHAVEZ</t>
  </si>
  <si>
    <t>AT</t>
  </si>
  <si>
    <t>TACNA</t>
  </si>
  <si>
    <t>AC</t>
  </si>
  <si>
    <t>CUSCO</t>
  </si>
  <si>
    <t xml:space="preserve">LM </t>
  </si>
  <si>
    <t>MADRE DE DIOS</t>
  </si>
  <si>
    <t>AP</t>
  </si>
  <si>
    <t>PUNO</t>
  </si>
  <si>
    <t>SI(G206="LIMA",BUSCARV(F206,Tabla_DISTRITO,4,0),BUSCARV(G206,Tabla_DEPARTAMENTO,5,0))</t>
  </si>
  <si>
    <t>G206: Departamento</t>
  </si>
  <si>
    <t>F206: Distrito</t>
  </si>
  <si>
    <t>* Departamento</t>
  </si>
  <si>
    <t>* Tipo de diseño</t>
  </si>
  <si>
    <t>* Cantidad de Sectores 4G</t>
  </si>
  <si>
    <t>PAP:</t>
  </si>
  <si>
    <t xml:space="preserve"> (*)ESTA VALORIZACIÓN NO INCLUYE LOS COSTOS DE PLANTA EXTERNA.</t>
  </si>
  <si>
    <t>* Pisos a detalle</t>
  </si>
  <si>
    <t>SERVICIOS</t>
  </si>
  <si>
    <t>UNID</t>
  </si>
  <si>
    <t xml:space="preserve">COSTO X
UNIDAD </t>
  </si>
  <si>
    <t>SUBTOTAL</t>
  </si>
  <si>
    <t>DESCRIPCIÓN</t>
  </si>
  <si>
    <t>SUBTOTAL (USD)</t>
  </si>
  <si>
    <t>USD</t>
  </si>
  <si>
    <t>TOTAL $ (USD)</t>
  </si>
  <si>
    <t>* TIPO DE SOLUCION</t>
  </si>
  <si>
    <t>No aplica</t>
  </si>
  <si>
    <t>*Cantidad de Sectores</t>
  </si>
  <si>
    <t>* Base Band (Lat / Lon) BBU</t>
  </si>
  <si>
    <t xml:space="preserve">* Dirección (indicar Distrito): </t>
  </si>
  <si>
    <t xml:space="preserve">4G (1900/2600) </t>
  </si>
  <si>
    <t>Se proyecta implementar:</t>
  </si>
  <si>
    <t>Integración 4G</t>
  </si>
  <si>
    <t>Data sacada del cuadro de mediciones donde indica niveles malos</t>
  </si>
  <si>
    <t>INDOOR</t>
  </si>
  <si>
    <t>* RRU ext (Lat / Lon)</t>
  </si>
  <si>
    <t>* Cantidad de pisos</t>
  </si>
  <si>
    <t>BOOKRRU5336E (RRU+ANTENA)</t>
  </si>
  <si>
    <t xml:space="preserve">Av. República de Panamá Nro. 3650 </t>
  </si>
  <si>
    <t>Piso 15</t>
  </si>
  <si>
    <t>LI0029_LOS_FLAMENCOS</t>
  </si>
  <si>
    <t>1 BOOKRRU</t>
  </si>
  <si>
    <t>Un Book RRU en el piso 15 del edificio.</t>
  </si>
  <si>
    <t>VALORIZACION -  MINISTERIO DE VIVIENDA, CONSTRUCCION Y SANEAMIENTO</t>
  </si>
  <si>
    <t>LPU 2024 USD</t>
  </si>
  <si>
    <t>RRU5336E (BookRRU) ,Multi-mode Multi-carriers Remote Radio Unit(TX:2620-2690MHz/RX:2500-2570MHz,90-290VAC,9.8G,4T4R, Outside Antenna),4*5W</t>
  </si>
  <si>
    <t>BooKRRU Installation Material per BookRRU</t>
  </si>
  <si>
    <t xml:space="preserve">AAU5942 PCS +B7(4*40W, IBW: PCS: 40Mhz,B7:40Mhz) </t>
  </si>
  <si>
    <t>EasyMacro AAU Installation Material per AAU</t>
  </si>
  <si>
    <t>UBBPg2 - LTE- Initial 240Mhz AAB</t>
  </si>
  <si>
    <t>Activation code for FDD LTE - (per 240MHz AAB)</t>
  </si>
  <si>
    <t>AAB= # Cells*MIMO*BW</t>
  </si>
  <si>
    <t>AAB: Antenna Aggregated Bandwith</t>
  </si>
  <si>
    <t>BW: Ancho de Banda</t>
  </si>
  <si>
    <t>PARA VALORIZAR</t>
  </si>
  <si>
    <t>VALORIZACION 1334 - INVERSIONES NACIONALES DE TURISMO S.A.</t>
  </si>
  <si>
    <t>Mal. de la Reserva 729, Miraflores 15074</t>
  </si>
  <si>
    <t>LI1045_VASCO_NUNEZ</t>
  </si>
  <si>
    <t>Energia</t>
  </si>
  <si>
    <t>Una Antena sectorial Easy macro en los pisos: SOTANO 1, SOTANO 2, SOTANO 3 Y PISO 1</t>
  </si>
  <si>
    <t>Indoor Light</t>
  </si>
  <si>
    <t>Indoor Completo</t>
  </si>
  <si>
    <t>Gestion Licencias (SAQ)</t>
  </si>
  <si>
    <t xml:space="preserve">Servicio Implementación (TI) </t>
  </si>
  <si>
    <t>BOOKRRU</t>
  </si>
  <si>
    <t>EASY MACRO</t>
  </si>
  <si>
    <t>PRECIOS MARLON</t>
  </si>
  <si>
    <t>DOLARES</t>
  </si>
  <si>
    <t>Implementacion BOOKRRU (Incluye energia)</t>
  </si>
  <si>
    <t>COD. SGA</t>
  </si>
  <si>
    <t>PARTIDA</t>
  </si>
  <si>
    <t>iTEM</t>
  </si>
  <si>
    <t>DESCRIPCIÓN DE PARTIDAS</t>
  </si>
  <si>
    <t>UNIDAD</t>
  </si>
  <si>
    <t>Monto S/.</t>
  </si>
  <si>
    <t>M.CORP.INSTALACIÓN ELECTRICA RRUBOOK</t>
  </si>
  <si>
    <t>INSTALACIÓN DE CANALETAS, TUBERIAS CONDUIT RIGIDA, CAJAS DE PASO Y ACCESORIOS ESPECIALES DE ACUERDO AL REQUERIMIENTO DEL CLIENTE DESDE EL TABLERO DE CLIENTE DE 0 HASTA UN MAXIMO DE 30 METROS</t>
  </si>
  <si>
    <t>UND.</t>
  </si>
  <si>
    <t>INSTALACIÓN DE CABLEADO ELÉCTRICO  12 AWG (ROJO-NEGRO) Y CABLE A TIERRA 10AWG (AMARILLO). ASIMISMO, ESTUDIO ELÉCTRICO PARA LA SEGURIDAD DEL EQUIPO Y EL PERSONAL, ASÍ COMO EL ETIQUETADO DE TODO CABLEADO O CONEXIÓN. DE 0 HASTA UN MAXIMO DE 30 METROS</t>
  </si>
  <si>
    <t>INSTALACIÓN CON BREAKER UNIPOLAR DE 16A MARCA SCHNEIDER Y LLAVE DIFERENCIAL DE 25A (DE 16 A 18 AMPERIOS), ETIQUETADO DEL CABLEADO CONEXIÓN Y ENERGIZADO DE EQUIPOS.</t>
  </si>
  <si>
    <t>INSTALACIÓN DE PUNTO DE ENERGIA DESDE TABLERO DEL CLIENTE CERCANO HACIA LA UBICACIÓN PROYECTADA DE LA RRUBOK DE 0 HASTA UN MAXIMO DE 30 METROS</t>
  </si>
  <si>
    <t>SERVICIO DE ENERGIZADO CON TODAS LAS MEDIDAS DE SEGURIDAD.</t>
  </si>
  <si>
    <t>LA INSTALACIÓN SE REALIZARÁ EN HORARIO DIURNO O NOCTURNO EN COMPAÑÍA DE UN SUPERVISOR O PREVENCIONISTA CERTIFICADO SEGÚN LO SOLICITADO POR CLIENTE.</t>
  </si>
  <si>
    <t>USO DE EQUIPOS Y HERRAMIENTAS HOMOLOGADAS Y CERTIFICADAS (TALADROS, BROCAS,DESARMADORES, AMPERÍMETRO, ESCALERAS, ARNÉS ETC.).</t>
  </si>
  <si>
    <t>INCLUYE VISITA CON UN SUPERVISOR DE SEGURIDAD Y 2 TECNICOS, LA GESTIÓN DE PERMISOS, ENVÍO DE DOCUMENTACIÓN Y CERTIFICADOS.</t>
  </si>
  <si>
    <t>M.CORP.INSTALACIÓN SOPORTE Y RRUBOOK</t>
  </si>
  <si>
    <t>UBICACIÓN Y TRAZADO DEL PUNTO DE PERFORACIÓN</t>
  </si>
  <si>
    <t>PERFORACIÓN DE LA PLACA DE CONCRETO DEL CIMIENTO DEL LOCAL HASTA LA PROFUNDIDAD INDICADA</t>
  </si>
  <si>
    <t>INCLUYE EL EMPOTRADO DE SOPORTE A LA PARED  CON TODOS LOS MATERIALES NECESARIOS PARA SU INSTALACIÓN</t>
  </si>
  <si>
    <t>SUMINISTRO DEL SOPORTE VERTICAL U HORIZONTAL</t>
  </si>
  <si>
    <t>RESANE DE PAREDES Y PINTURA</t>
  </si>
  <si>
    <t>INSTALACIÓN DE RRU, JUMPERS,MODULO SFP, CONEXIÓN ELECTRICA, ENCHUFE 15A INDUSTRIAL, CABLE VULCANIZADO DE 12 AWG(HASTA 10 METROS)</t>
  </si>
  <si>
    <t>INCLUYE EL ETIQUETADO EN EL CLIENTE CON TODOS LOS MATERIALES NECESARIOS. Y SU INSTALACIÓN (TUBERIA CONDUIT HASTA 10 MTS, CINTAS VELCRO, CINTILLOS, PRENSAESTOPA HERMETICO), TODO SEGÚN LOS ESTÁNDARES DE CLARO.</t>
  </si>
  <si>
    <t>LA INSTALACIÓN SE REALIZARÁ EN HORARIO DIURNO O NOCTURNO EN COMPAÑÍA DE UN SUPERVISOR O PREVENCIONCITA CERTIFICADO SEGÚN LO SOLICITADO POR CLIENTE.</t>
  </si>
  <si>
    <t>USO DE EQUIPOS Y HERRAMIENTAS HOMOLOGADAS Y CERTIFICADAS (TALADROS, BROCAS, DESARMADORES, AMPERÍMETRO, ESCALERAS, ARNÉS ETC.).</t>
  </si>
  <si>
    <t>VALIDACIÓN DEL SERVICIO, REGISTRO FOTOGRÁFICOS, PLANOS AS BUILD Y LIQUIDACIÓN CON LA CONFORMIDAD DEL CLIENTE.</t>
  </si>
  <si>
    <t>M.CORP.PRUEBAS Y ENTREGABLES RRUBOOK</t>
  </si>
  <si>
    <t>REPORTE DE VOZ Y DATOS</t>
  </si>
  <si>
    <t xml:space="preserve">UND. </t>
  </si>
  <si>
    <t>REPORTE FOTOGRAFICO DE INSTALACION</t>
  </si>
  <si>
    <t>FORMATO AUTOCAD POR CADA PISO (PLANOS FINALES DE UBICACIÓN DE RRU BOOK)</t>
  </si>
  <si>
    <t>ACTA DE CONFORMIDAD DE SERVICO Y DE INSTALACION</t>
  </si>
  <si>
    <t>SEGUIR FLUJO DE ACTIVACION EN EL PAP HASTA LA PUESTA EN ON AIR</t>
  </si>
  <si>
    <t>REGISTRO DE LA SERIE DE LOS EQUIPOS, CARGA Y LIQUIDACION EN EL SISTEMA SGA.</t>
  </si>
  <si>
    <t>TOTAL</t>
  </si>
  <si>
    <t>SOLES</t>
  </si>
  <si>
    <t>PARA VALORIZAR (más 20%)</t>
  </si>
  <si>
    <t>PRECIARIO CERRADO CON COMPRAS - INSTALACION DE BOOKRRU A CARGO DEL CORPORATIVO</t>
  </si>
  <si>
    <t xml:space="preserve">4G (2600) </t>
  </si>
  <si>
    <t>COSTOS REFERENCIALES:
LA VALORIZACIÓN SOLO CONTEMPLA LOS COSTOS RF.
NO INCLUYE PLANTA EXTERNA.</t>
  </si>
  <si>
    <t>1 ANTENA EASY MACRO</t>
  </si>
  <si>
    <t>SOTANO 1</t>
  </si>
  <si>
    <t>Costo promedio por celda (UBBPg2 4G + AAB)</t>
  </si>
  <si>
    <t>2 Bandas</t>
  </si>
  <si>
    <t>1 banda</t>
  </si>
  <si>
    <t>1900 o 2600</t>
  </si>
  <si>
    <t>BW</t>
  </si>
  <si>
    <t>MIMO</t>
  </si>
  <si>
    <t># CELDAS</t>
  </si>
  <si>
    <t>AAB</t>
  </si>
  <si>
    <t>BANDA 1900</t>
  </si>
  <si>
    <t>BANDA 2600</t>
  </si>
  <si>
    <t>BOOK RRU</t>
  </si>
  <si>
    <t>TARJETA</t>
  </si>
  <si>
    <t>UBBPG2</t>
  </si>
  <si>
    <t>12 L</t>
  </si>
  <si>
    <t>240 AAB</t>
  </si>
  <si>
    <t>soporta máximo</t>
  </si>
  <si>
    <t>STEP ACTIVACION CODE 240</t>
  </si>
  <si>
    <t>Capacidad máxima que soporta una tarjeta UBBP:</t>
  </si>
  <si>
    <t>Calculando la cantidad maxima de AAB con las 12 celdas:</t>
  </si>
  <si>
    <t>UBBP</t>
  </si>
  <si>
    <t>1 Tarjeta UBBP tiene maximo 240 AAB</t>
  </si>
  <si>
    <t>DIFERENCIA</t>
  </si>
  <si>
    <t>Falta capacidad para 480 AAB</t>
  </si>
  <si>
    <t>CANTIDAD</t>
  </si>
  <si>
    <t>SUBTOTAL USD</t>
  </si>
  <si>
    <t>PRECIO USD</t>
  </si>
  <si>
    <t>POR CELDA</t>
  </si>
  <si>
    <t>BANDA</t>
  </si>
  <si>
    <t>1900 y 2600</t>
  </si>
  <si>
    <t>COSTO PROM x CELDA (UBBP+AAB)</t>
  </si>
  <si>
    <t>COSTO PROMEDIO POR CELDA (TARJETA UBBP+AAB)</t>
  </si>
  <si>
    <t xml:space="preserve">AAU5942 PCS (4*40W, IBW: PCS: 40Mhz,B7:40Mhz) </t>
  </si>
  <si>
    <t>Se requiere 2 STEP ACTIVACION CODE 240, adicionales</t>
  </si>
  <si>
    <t>Calculando el COSTO TOTAL para las 12 celdas</t>
  </si>
  <si>
    <t>COSTO TOTAL PARA LAS 12 CELDAS (TARJETA UBBP+AAB)</t>
  </si>
  <si>
    <t>BooKRRU Installation Material per BookRRU
(2 TRANSCEIVER BiDi 34060544-004 10G 10K HW)</t>
  </si>
  <si>
    <t>EasyMacro AAU Installation Material per AAU
(TRANSCEIVER BiDi 34060544-004 10G 10K HW)</t>
  </si>
  <si>
    <t>EASY MACRO (AAU5942 PCS +B7)</t>
  </si>
  <si>
    <t>PROCESO VALORIZACIONES:</t>
  </si>
  <si>
    <t>EQUIPAMIENTO RF</t>
  </si>
  <si>
    <t>Otras soluciones (Easy Macro, Antena sectorial, RRU, BBU): Tecnología deberá comprar el equipo.</t>
  </si>
  <si>
    <r>
      <t xml:space="preserve">En la valorizacion se indicará, que luego de aprobado el REQ por el Corporativo, </t>
    </r>
    <r>
      <rPr>
        <b/>
        <sz val="11"/>
        <color theme="1"/>
        <rFont val="Calibri"/>
        <family val="2"/>
        <scheme val="minor"/>
      </rPr>
      <t>la compra del equipamiento tomará aprox 3 meses</t>
    </r>
    <r>
      <rPr>
        <sz val="11"/>
        <color theme="1"/>
        <rFont val="Calibri"/>
        <family val="2"/>
        <scheme val="minor"/>
      </rPr>
      <t>)</t>
    </r>
  </si>
  <si>
    <t>Una vez aprobado el REQ por el Corporativo, se indicará a Marlon para la compra del equipo</t>
  </si>
  <si>
    <t>BOOKRRU: Corporativo comprará los equipos</t>
  </si>
  <si>
    <t>TIPO: POSTE en VIA PUBLICA</t>
  </si>
  <si>
    <t>Corporativo debe asumir el costo de la instalación del POSTE y FIBRA OPTICA</t>
  </si>
  <si>
    <t>Tecnología debe asumir el costo de Equipos RF, instalacion de equipos (TI), ENERGIA y Gestion de licencias (SAQ)</t>
  </si>
  <si>
    <t>SOLO valorizar la solución que mejore la cobertura del cliente</t>
  </si>
  <si>
    <t>Ejemplo: Si el poste sirve para colocar una Easy Macro adicional para mejorar cobertura en la zona, Se deberá solicitar como un requerimiento de expansion adicional luego de la activacion del poste.</t>
  </si>
  <si>
    <t>Corporativo deberá enviar un correo con los sustentos para generar el SARF (Req firmado por director corporativo y director finanzas, correo con asignacion de presupuesto, correo con OK de Director de finanzas (Carlos Solano)</t>
  </si>
  <si>
    <t>El área de RF debe generar un SARF para el poste. Colocar Solicitante: Red</t>
  </si>
  <si>
    <t>El área de SAQ debe enviar el correo de Listo para obras</t>
  </si>
  <si>
    <t>TIPO: POSTE dentro del Cliente</t>
  </si>
  <si>
    <t>Corporativo debe asumir el costo de la instalación del POSTE, FIBRA OPTICA y ENERGIA</t>
  </si>
  <si>
    <t>Tecnología debe asumir el costo de Equipos RF, instalacion de equipos (TI) y Gestion de licencias (SAQ)</t>
  </si>
  <si>
    <t>TIPO: BOOKRRU dentro del Cliente (SOLO con RRU extendida)</t>
  </si>
  <si>
    <t>Corporativo está comprando los equipos BOOKRRU</t>
  </si>
  <si>
    <t>Corporativo debe asumir el costo de la instalación de la BOOKRRU, FIBRA OPTICA y ENERGIA</t>
  </si>
  <si>
    <t>La integración lo realizará el área de Back Office (NO VALORIZAR)</t>
  </si>
  <si>
    <t>La adquisicion lo realiza el área corporativa</t>
  </si>
  <si>
    <t>El diseño y optimizacion lo realiza el área de RF (NO contrata de indoor)</t>
  </si>
  <si>
    <t>El área de RF debe generar un SARF para el indoor. Colocar Solicitante: Corporativo</t>
  </si>
  <si>
    <t>TIPO: Antena sectorial (Easy Macro, etc) en ESTRUCTURA DEL CLIENTE</t>
  </si>
  <si>
    <t>Corporativo debe asumir el costo de toda la valorizacion (Equipos RF, instalacion equipos (TI), Fibra optica, Energia, licencias SAQ, Evaluacion estructural)</t>
  </si>
  <si>
    <t>Ejemplo: Si la estructura sirve para colocar un sector adicional para mejorar cobertura en la zona, Se deberá solicitar como un requerimiento de expansion adicional luego de la activacion del sector para el cliente.</t>
  </si>
  <si>
    <t>El área de RF debe generar el REQUERIMIENTO para la expansion. Colocar Solicitante: Red</t>
  </si>
  <si>
    <t>TODO CAMBIO DE SOLUCION INICIALMENTE VALORIZADA SE DEBE ACTUALIZAR CON UNA NUEVA VALORIZACION y UN NUEVO PAP.</t>
  </si>
  <si>
    <t>Ejemplo: Visita tecnica a campo y se cambia de solucion RF</t>
  </si>
  <si>
    <t>LAS VALORIZACION TIENEN VIGENCIA SOLO DE 3 MESES (Desde la fecha de valorizacion atendida)</t>
  </si>
  <si>
    <t xml:space="preserve">
EL CORPORATIVO INSTALARÁ EL POSTE y LA FIBRA OPTICA.
LA VALORIZACIÓN CONTEMPLA LOS COSTOS DE EQUIPOS RF, IMPLEMENTACION, ENERGIA, INTEGRACION y GESTION DE LICENCIAS.
</t>
  </si>
  <si>
    <t>LUEGO DE RECIBIDO EL REQUERIMIENTO POR EL CORPORATIVO, SE PROCEDERÁ A COMPRAR EL EQUIPO, EL CUAL TOMARÁ 3 MESES APROXIMADAMENTE.</t>
  </si>
  <si>
    <t>NO SE AUMENTARÁ EL 20% como antes</t>
  </si>
  <si>
    <t>T.C. 3.4</t>
  </si>
  <si>
    <t>Soles</t>
  </si>
  <si>
    <t>Area &lt; 600m2</t>
  </si>
  <si>
    <t>600&lt; Area &lt; 1200m2</t>
  </si>
  <si>
    <t>1200&lt; Area &lt; 5000m2</t>
  </si>
  <si>
    <t>5000&lt; Area &lt; 10000m2</t>
  </si>
  <si>
    <t>10000&lt; Area &lt; 25000m2</t>
  </si>
  <si>
    <t>25000&lt; Area &lt; 50000m2</t>
  </si>
  <si>
    <t>MAS 20% PARA VALORIZAR</t>
  </si>
  <si>
    <t>PRECIARIO ELABORACION PLANOS EN AUTOCAD</t>
  </si>
  <si>
    <t>Elaboración de planos en autocad (PARA DISEÑO INDOOR)</t>
  </si>
  <si>
    <t>Transporte e instalaciones elécricas adicionales</t>
  </si>
  <si>
    <t>*SE DEBE VERIFICAR LA UBICACIÓN FÍSICA DE LA BBU, DEBIDO A QUE EL RECORRIDO DE FIBRA DEBE SER DE LA BBU A LA UBICACIÓN DEL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</si>
</sst>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4" formatCode="_ &quot;S&quot;\ * #,##0.00_ ;_ &quot;S&quot;\ * \-#,##0.00_ ;_ &quot;S&quot;\ * &quot;-&quot;??_ ;_ @_ "/>
    <numFmt numFmtId="43" formatCode="_ * #,##0.00_ ;_ * \-#,##0.00_ ;_ * &quot;-&quot;??_ ;_ @_ "/>
    <numFmt numFmtId="164" formatCode="_ &quot;S/.&quot;\ * #,##0.00_ ;_ &quot;S/.&quot;\ * \-#,##0.00_ ;_ &quot;S/.&quot;\ * &quot;-&quot;??_ ;_ @_ "/>
    <numFmt numFmtId="165" formatCode="[$$-409]#,##0.00"/>
    <numFmt numFmtId="166" formatCode="[$$-1009]#,##0.00"/>
    <numFmt numFmtId="167" formatCode="_(* #,##0.00_);_(* \(#,##0.00\);_(* &quot;-&quot;??_);_(@_)"/>
    <numFmt numFmtId="168" formatCode="_(&quot;$&quot;* #,##0.00_);_(&quot;$&quot;* \(#,##0.00\);_(&quot;$&quot;* &quot;-&quot;??_);_(@_)"/>
    <numFmt numFmtId="169" formatCode="_ * #,##0_ ;_ * \-#,##0_ ;_ * &quot;-&quot;??_ ;_ @_ "/>
    <numFmt numFmtId="170" formatCode="#&quot; &quot;&quot;''&quot;"/>
    <numFmt numFmtId="171" formatCode="[$€-2]\ #,##0.00_);[Red]\([$€-2]\ #,##0.00\)"/>
    <numFmt numFmtId="172" formatCode="_(&quot;S&quot;\ * #,##0.00_);_(&quot;S&quot;\ * \(#,##0.00\);_(&quot;S&quot;\ * &quot;-&quot;??_);_(@_)"/>
    <numFmt numFmtId="173" formatCode="_ &quot;¥&quot;* #,##0.00_ ;_ &quot;¥&quot;* \-#,##0.00_ ;_ &quot;¥&quot;* &quot;-&quot;??_ ;_ @_ "/>
    <numFmt numFmtId="174" formatCode="0.00000"/>
    <numFmt numFmtId="175" formatCode="[$$-409]#,##0"/>
    <numFmt numFmtId="176" formatCode="_(* #,##0_);_(* \(#,##0\);_(* &quot;-&quot;??_);_(@_)"/>
    <numFmt numFmtId="177" formatCode="_-[$$-540A]* #,##0.00_ ;_-[$$-540A]* \-#,##0.00\ ;_-[$$-540A]* &quot;-&quot;??_ ;_-@_ "/>
    <numFmt numFmtId="178" formatCode="@\ &quot;S&quot;"/>
    <numFmt numFmtId="179" formatCode="0\ &quot;m2&quot;"/>
  </numFmts>
  <fonts count="55">
    <font>
      <sz val="11"/>
      <color theme="1"/>
      <name val="Calibri"/>
      <family val="2"/>
      <scheme val="minor"/>
    </font>
    <font>
      <sz val="11"/>
      <color theme="1"/>
      <name val="Calibri"/>
      <family val="2"/>
      <scheme val="minor"/>
    </font>
    <font>
      <sz val="10"/>
      <name val="Arial"/>
      <family val="2"/>
    </font>
    <font>
      <b/>
      <sz val="10"/>
      <name val="Arial"/>
      <family val="2"/>
    </font>
    <font>
      <sz val="11"/>
      <color rgb="FF000000"/>
      <name val="Calibri"/>
      <family val="2"/>
    </font>
    <font>
      <b/>
      <sz val="10"/>
      <color theme="0"/>
      <name val="Arial"/>
      <family val="2"/>
    </font>
    <font>
      <b/>
      <sz val="12"/>
      <name val="Arial"/>
      <family val="2"/>
    </font>
    <font>
      <sz val="10"/>
      <name val="TheSansCorrespondence"/>
    </font>
    <font>
      <sz val="10"/>
      <name val="Helv"/>
      <family val="2"/>
    </font>
    <font>
      <sz val="9"/>
      <color indexed="10"/>
      <name val="Geneva"/>
      <family val="2"/>
    </font>
    <font>
      <sz val="10"/>
      <name val="Tahoma"/>
      <family val="2"/>
    </font>
    <font>
      <sz val="10"/>
      <color indexed="8"/>
      <name val="Arial"/>
      <family val="2"/>
    </font>
    <font>
      <sz val="11"/>
      <color indexed="8"/>
      <name val="Calibri"/>
      <family val="2"/>
    </font>
    <font>
      <sz val="11"/>
      <name val="Calibri"/>
      <family val="2"/>
      <scheme val="minor"/>
    </font>
    <font>
      <b/>
      <sz val="11"/>
      <color theme="1"/>
      <name val="Calibri"/>
      <family val="2"/>
      <scheme val="minor"/>
    </font>
    <font>
      <b/>
      <sz val="11"/>
      <name val="Calibri"/>
      <family val="2"/>
      <scheme val="minor"/>
    </font>
    <font>
      <b/>
      <sz val="12"/>
      <color theme="0"/>
      <name val="Arial"/>
      <family val="2"/>
    </font>
    <font>
      <sz val="10"/>
      <color rgb="FF000000"/>
      <name val="Arial"/>
      <family val="2"/>
    </font>
    <font>
      <b/>
      <sz val="10"/>
      <color rgb="FF000000"/>
      <name val="Arial"/>
      <family val="2"/>
    </font>
    <font>
      <b/>
      <i/>
      <sz val="8"/>
      <color theme="1"/>
      <name val="Calibri"/>
      <family val="2"/>
      <scheme val="minor"/>
    </font>
    <font>
      <sz val="10"/>
      <color theme="1"/>
      <name val="Times New Roman"/>
      <family val="1"/>
    </font>
    <font>
      <b/>
      <sz val="11"/>
      <color rgb="FF000000"/>
      <name val="Calibri"/>
      <family val="2"/>
    </font>
    <font>
      <b/>
      <sz val="18"/>
      <color rgb="FFC00000"/>
      <name val="Calibri"/>
      <family val="2"/>
      <scheme val="minor"/>
    </font>
    <font>
      <sz val="11"/>
      <color rgb="FFC00000"/>
      <name val="Calibri"/>
      <family val="2"/>
      <scheme val="minor"/>
    </font>
    <font>
      <sz val="11"/>
      <color rgb="FF1F497D"/>
      <name val="Calibri"/>
      <family val="2"/>
      <scheme val="minor"/>
    </font>
    <font>
      <b/>
      <sz val="11"/>
      <color theme="0"/>
      <name val="Calibri"/>
      <family val="2"/>
      <scheme val="minor"/>
    </font>
    <font>
      <b/>
      <u/>
      <sz val="10"/>
      <name val="Arial"/>
      <family val="2"/>
    </font>
    <font>
      <b/>
      <sz val="11"/>
      <color rgb="FF000000"/>
      <name val="Calibri"/>
      <family val="2"/>
      <scheme val="minor"/>
    </font>
    <font>
      <b/>
      <sz val="14"/>
      <color theme="0"/>
      <name val="Calibri"/>
      <family val="2"/>
      <scheme val="minor"/>
    </font>
    <font>
      <sz val="11"/>
      <name val="Calibri"/>
      <family val="2"/>
    </font>
    <font>
      <sz val="11"/>
      <color rgb="FFFF0000"/>
      <name val="Calibri"/>
      <family val="2"/>
      <scheme val="minor"/>
    </font>
    <font>
      <b/>
      <sz val="16"/>
      <name val="Calibri"/>
      <family val="2"/>
      <scheme val="minor"/>
    </font>
    <font>
      <b/>
      <sz val="12"/>
      <color theme="0"/>
      <name val="Arial Narrow"/>
      <family val="2"/>
    </font>
    <font>
      <b/>
      <sz val="9"/>
      <name val="Calibri"/>
      <family val="2"/>
    </font>
    <font>
      <sz val="12"/>
      <name val="Arial"/>
      <family val="2"/>
    </font>
    <font>
      <b/>
      <sz val="8"/>
      <name val="Calibri"/>
      <family val="2"/>
    </font>
    <font>
      <sz val="8"/>
      <name val="Arial"/>
      <family val="2"/>
      <charset val="1"/>
    </font>
    <font>
      <sz val="8"/>
      <name val="Arial"/>
      <family val="2"/>
    </font>
    <font>
      <sz val="11"/>
      <color theme="1"/>
      <name val="Aptos"/>
      <family val="2"/>
    </font>
    <font>
      <b/>
      <sz val="10"/>
      <color rgb="FFFFFFFF"/>
      <name val="Aptos"/>
      <family val="2"/>
    </font>
    <font>
      <sz val="10"/>
      <color rgb="FF000000"/>
      <name val="Calibri"/>
      <family val="2"/>
    </font>
    <font>
      <b/>
      <sz val="11"/>
      <color theme="1"/>
      <name val="Arial"/>
      <family val="2"/>
    </font>
    <font>
      <b/>
      <sz val="10"/>
      <color theme="1"/>
      <name val="Arial"/>
      <family val="2"/>
    </font>
    <font>
      <b/>
      <sz val="12"/>
      <color theme="1"/>
      <name val="Arial"/>
      <family val="2"/>
    </font>
    <font>
      <sz val="9"/>
      <color theme="1"/>
      <name val="Arial"/>
      <family val="2"/>
    </font>
    <font>
      <b/>
      <sz val="9"/>
      <color rgb="FFFFFFFF"/>
      <name val="Arial"/>
      <family val="2"/>
    </font>
    <font>
      <sz val="9"/>
      <color rgb="FFFFFFFF"/>
      <name val="Arial"/>
      <family val="2"/>
    </font>
    <font>
      <b/>
      <sz val="9"/>
      <color theme="1"/>
      <name val="Arial"/>
      <family val="2"/>
    </font>
    <font>
      <b/>
      <sz val="14"/>
      <color theme="1"/>
      <name val="Arial"/>
      <family val="2"/>
    </font>
    <font>
      <b/>
      <sz val="10"/>
      <color rgb="FF000000"/>
      <name val="Calibri"/>
      <family val="2"/>
    </font>
    <font>
      <b/>
      <sz val="14"/>
      <color theme="1"/>
      <name val="Calibri"/>
      <family val="2"/>
      <scheme val="minor"/>
    </font>
    <font>
      <sz val="14"/>
      <color theme="1"/>
      <name val="Calibri"/>
      <family val="2"/>
      <scheme val="minor"/>
    </font>
    <font>
      <b/>
      <sz val="10"/>
      <color theme="1"/>
      <name val="Calibri"/>
      <family val="2"/>
      <scheme val="minor"/>
    </font>
    <font>
      <sz val="9"/>
      <color indexed="81"/>
      <name val="Tahoma"/>
      <family val="2"/>
    </font>
    <font>
      <b/>
      <sz val="9"/>
      <color indexed="81"/>
      <name val="Tahoma"/>
      <family val="2"/>
    </font>
  </fonts>
  <fills count="41">
    <fill>
      <patternFill patternType="none"/>
    </fill>
    <fill>
      <patternFill patternType="gray125"/>
    </fill>
    <fill>
      <patternFill patternType="solid">
        <fgColor theme="9" tint="0.59999389629810485"/>
        <bgColor indexed="64"/>
      </patternFill>
    </fill>
    <fill>
      <patternFill patternType="solid">
        <fgColor indexed="10"/>
        <bgColor indexed="64"/>
      </patternFill>
    </fill>
    <fill>
      <patternFill patternType="solid">
        <fgColor theme="2" tint="-9.9978637043366805E-2"/>
        <bgColor indexed="64"/>
      </patternFill>
    </fill>
    <fill>
      <patternFill patternType="solid">
        <fgColor rgb="FFFF0000"/>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rgb="FF00B050"/>
        <bgColor indexed="64"/>
      </patternFill>
    </fill>
    <fill>
      <patternFill patternType="solid">
        <fgColor rgb="FFFFFF99"/>
        <bgColor indexed="64"/>
      </patternFill>
    </fill>
    <fill>
      <patternFill patternType="solid">
        <fgColor rgb="FF3333CC"/>
        <bgColor indexed="64"/>
      </patternFill>
    </fill>
    <fill>
      <patternFill patternType="solid">
        <fgColor theme="8" tint="-0.499984740745262"/>
        <bgColor indexed="64"/>
      </patternFill>
    </fill>
    <fill>
      <patternFill patternType="solid">
        <fgColor rgb="FFD2FAE8"/>
        <bgColor indexed="64"/>
      </patternFill>
    </fill>
    <fill>
      <patternFill patternType="solid">
        <fgColor rgb="FF00FF00"/>
        <bgColor indexed="64"/>
      </patternFill>
    </fill>
    <fill>
      <patternFill patternType="solid">
        <fgColor rgb="FFCCFF99"/>
        <bgColor indexed="64"/>
      </patternFill>
    </fill>
    <fill>
      <patternFill patternType="solid">
        <fgColor rgb="FFDBE5F1"/>
        <bgColor indexed="64"/>
      </patternFill>
    </fill>
    <fill>
      <patternFill patternType="solid">
        <fgColor rgb="FF000066"/>
        <bgColor indexed="64"/>
      </patternFill>
    </fill>
    <fill>
      <patternFill patternType="solid">
        <fgColor theme="4" tint="0.59999389629810485"/>
        <bgColor indexed="64"/>
      </patternFill>
    </fill>
    <fill>
      <patternFill patternType="solid">
        <fgColor rgb="FF0000CC"/>
        <bgColor indexed="64"/>
      </patternFill>
    </fill>
    <fill>
      <patternFill patternType="solid">
        <fgColor rgb="FFCCFFFF"/>
        <bgColor indexed="64"/>
      </patternFill>
    </fill>
    <fill>
      <patternFill patternType="solid">
        <fgColor rgb="FFFF0000"/>
        <bgColor auto="1"/>
      </patternFill>
    </fill>
    <fill>
      <patternFill patternType="solid">
        <fgColor theme="3"/>
        <bgColor indexed="64"/>
      </patternFill>
    </fill>
    <fill>
      <patternFill patternType="solid">
        <fgColor theme="8" tint="0.39997558519241921"/>
        <bgColor indexed="64"/>
      </patternFill>
    </fill>
    <fill>
      <patternFill patternType="solid">
        <fgColor rgb="FF125674"/>
        <bgColor indexed="64"/>
      </patternFill>
    </fill>
    <fill>
      <patternFill patternType="solid">
        <fgColor rgb="FFFFFF00"/>
        <bgColor rgb="FF0B5D91"/>
      </patternFill>
    </fill>
    <fill>
      <patternFill patternType="solid">
        <fgColor theme="0"/>
        <bgColor rgb="FF0B5D91"/>
      </patternFill>
    </fill>
    <fill>
      <patternFill patternType="solid">
        <fgColor rgb="FFEEEEEE"/>
        <bgColor rgb="FFFFFFFF"/>
      </patternFill>
    </fill>
    <fill>
      <patternFill patternType="solid">
        <fgColor rgb="FF00FFFF"/>
        <bgColor indexed="64"/>
      </patternFill>
    </fill>
    <fill>
      <patternFill patternType="solid">
        <fgColor rgb="FFD9E1F2"/>
        <bgColor indexed="64"/>
      </patternFill>
    </fill>
    <fill>
      <patternFill patternType="solid">
        <fgColor rgb="FFB60000"/>
        <bgColor indexed="64"/>
      </patternFill>
    </fill>
    <fill>
      <patternFill patternType="solid">
        <fgColor rgb="FFBDD6EE"/>
        <bgColor indexed="64"/>
      </patternFill>
    </fill>
    <fill>
      <patternFill patternType="solid">
        <fgColor rgb="FF00B0F0"/>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7" tint="0.59999389629810485"/>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style="thin">
        <color indexed="64"/>
      </left>
      <right/>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rgb="FF95B3D7"/>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medium">
        <color theme="1"/>
      </left>
      <right style="thin">
        <color indexed="64"/>
      </right>
      <top style="medium">
        <color theme="1"/>
      </top>
      <bottom style="thin">
        <color indexed="64"/>
      </bottom>
      <diagonal/>
    </border>
    <border>
      <left style="thin">
        <color indexed="64"/>
      </left>
      <right/>
      <top style="medium">
        <color theme="1"/>
      </top>
      <bottom style="thin">
        <color indexed="64"/>
      </bottom>
      <diagonal/>
    </border>
    <border>
      <left/>
      <right/>
      <top style="medium">
        <color theme="1"/>
      </top>
      <bottom style="thin">
        <color indexed="64"/>
      </bottom>
      <diagonal/>
    </border>
    <border>
      <left/>
      <right style="medium">
        <color theme="1"/>
      </right>
      <top style="medium">
        <color theme="1"/>
      </top>
      <bottom style="thin">
        <color indexed="64"/>
      </bottom>
      <diagonal/>
    </border>
    <border>
      <left style="medium">
        <color theme="1"/>
      </left>
      <right style="thin">
        <color indexed="64"/>
      </right>
      <top style="thin">
        <color indexed="64"/>
      </top>
      <bottom style="thin">
        <color indexed="64"/>
      </bottom>
      <diagonal/>
    </border>
    <border>
      <left/>
      <right style="medium">
        <color theme="1"/>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medium">
        <color theme="1"/>
      </left>
      <right style="thin">
        <color indexed="64"/>
      </right>
      <top style="thin">
        <color indexed="64"/>
      </top>
      <bottom/>
      <diagonal/>
    </border>
    <border>
      <left/>
      <right/>
      <top style="thin">
        <color indexed="64"/>
      </top>
      <bottom/>
      <diagonal/>
    </border>
    <border>
      <left/>
      <right style="medium">
        <color theme="1"/>
      </right>
      <top style="thin">
        <color indexed="64"/>
      </top>
      <bottom/>
      <diagonal/>
    </border>
  </borders>
  <cellStyleXfs count="70">
    <xf numFmtId="0" fontId="0" fillId="0" borderId="0"/>
    <xf numFmtId="0" fontId="2" fillId="0" borderId="0"/>
    <xf numFmtId="0" fontId="2" fillId="0" borderId="0"/>
    <xf numFmtId="0" fontId="2" fillId="0" borderId="0"/>
    <xf numFmtId="167" fontId="2" fillId="0" borderId="0" applyFont="0" applyFill="0" applyBorder="0" applyAlignment="0" applyProtection="0"/>
    <xf numFmtId="0" fontId="7" fillId="0" borderId="0"/>
    <xf numFmtId="0" fontId="8" fillId="0" borderId="0"/>
    <xf numFmtId="0" fontId="9" fillId="0" borderId="0"/>
    <xf numFmtId="0" fontId="2" fillId="0" borderId="0"/>
    <xf numFmtId="0" fontId="2" fillId="0" borderId="0"/>
    <xf numFmtId="0" fontId="10" fillId="0" borderId="0"/>
    <xf numFmtId="0" fontId="9" fillId="0" borderId="0"/>
    <xf numFmtId="0" fontId="2" fillId="0" borderId="0"/>
    <xf numFmtId="0" fontId="2" fillId="0" borderId="0"/>
    <xf numFmtId="168" fontId="1" fillId="0" borderId="0" applyFont="0" applyFill="0" applyBorder="0" applyAlignment="0" applyProtection="0"/>
    <xf numFmtId="168" fontId="1" fillId="0" borderId="0" applyFont="0" applyFill="0" applyBorder="0" applyAlignment="0" applyProtection="0"/>
    <xf numFmtId="0" fontId="11" fillId="0" borderId="0">
      <alignment vertical="top"/>
    </xf>
    <xf numFmtId="169" fontId="2" fillId="0" borderId="0" applyFont="0" applyFill="0" applyBorder="0" applyAlignment="0" applyProtection="0"/>
    <xf numFmtId="169"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1" fontId="2" fillId="0" borderId="0" applyFont="0" applyFill="0" applyBorder="0" applyAlignment="0" applyProtection="0"/>
    <xf numFmtId="170" fontId="2" fillId="0" borderId="0" applyFont="0" applyFill="0" applyBorder="0" applyAlignment="0" applyProtection="0"/>
    <xf numFmtId="170" fontId="2" fillId="0" borderId="0" applyFont="0" applyFill="0" applyBorder="0" applyAlignment="0" applyProtection="0"/>
    <xf numFmtId="167" fontId="2" fillId="0" borderId="0" applyFont="0" applyFill="0" applyBorder="0" applyAlignment="0" applyProtection="0"/>
    <xf numFmtId="43" fontId="1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44" fontId="1" fillId="0" borderId="0" applyFont="0" applyFill="0" applyBorder="0" applyAlignment="0" applyProtection="0"/>
    <xf numFmtId="0" fontId="12" fillId="0" borderId="0" applyFont="0" applyFill="0" applyBorder="0" applyAlignment="0" applyProtection="0"/>
    <xf numFmtId="167" fontId="12" fillId="0" borderId="0" applyFont="0" applyFill="0" applyBorder="0" applyAlignment="0" applyProtection="0"/>
    <xf numFmtId="172" fontId="2" fillId="0" borderId="0" applyFont="0" applyFill="0" applyBorder="0" applyAlignment="0" applyProtection="0"/>
    <xf numFmtId="172" fontId="2" fillId="0" borderId="0" applyFont="0" applyFill="0" applyBorder="0" applyAlignment="0" applyProtection="0"/>
    <xf numFmtId="44" fontId="1" fillId="0" borderId="0" applyFont="0" applyFill="0" applyBorder="0" applyAlignment="0" applyProtection="0"/>
    <xf numFmtId="164" fontId="12" fillId="0" borderId="0" applyFont="0" applyFill="0" applyBorder="0" applyAlignment="0" applyProtection="0"/>
    <xf numFmtId="168" fontId="2" fillId="0" borderId="0" applyFont="0" applyFill="0" applyBorder="0" applyAlignment="0" applyProtection="0"/>
    <xf numFmtId="0" fontId="2" fillId="0" borderId="0"/>
    <xf numFmtId="0" fontId="2" fillId="0" borderId="0"/>
    <xf numFmtId="0" fontId="1" fillId="0" borderId="0"/>
    <xf numFmtId="0" fontId="2" fillId="0" borderId="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1" fillId="0" borderId="0"/>
    <xf numFmtId="0" fontId="10" fillId="0" borderId="0">
      <alignment vertical="top"/>
    </xf>
    <xf numFmtId="0" fontId="1" fillId="0" borderId="0"/>
    <xf numFmtId="0" fontId="1" fillId="0" borderId="0"/>
    <xf numFmtId="0" fontId="2" fillId="0" borderId="0"/>
    <xf numFmtId="0" fontId="2" fillId="0" borderId="0"/>
    <xf numFmtId="9" fontId="12" fillId="0" borderId="0" applyFont="0" applyFill="0" applyBorder="0" applyAlignment="0" applyProtection="0"/>
    <xf numFmtId="0" fontId="2" fillId="0" borderId="0"/>
    <xf numFmtId="0" fontId="2" fillId="0" borderId="0"/>
    <xf numFmtId="0" fontId="2" fillId="0" borderId="0"/>
    <xf numFmtId="0" fontId="2" fillId="0" borderId="0"/>
    <xf numFmtId="0" fontId="1" fillId="0" borderId="0">
      <alignment vertical="center"/>
    </xf>
    <xf numFmtId="0" fontId="1" fillId="0" borderId="0">
      <alignment vertical="center"/>
    </xf>
    <xf numFmtId="43" fontId="1" fillId="0" borderId="0" applyFont="0" applyFill="0" applyBorder="0" applyAlignment="0" applyProtection="0"/>
    <xf numFmtId="0" fontId="1" fillId="0" borderId="0"/>
    <xf numFmtId="0" fontId="2" fillId="0" borderId="0"/>
    <xf numFmtId="173" fontId="2" fillId="0" borderId="0" applyFont="0" applyFill="0" applyBorder="0" applyAlignment="0" applyProtection="0"/>
    <xf numFmtId="0" fontId="1" fillId="0" borderId="0">
      <alignment vertical="center"/>
    </xf>
    <xf numFmtId="0" fontId="2" fillId="0" borderId="0"/>
    <xf numFmtId="44" fontId="1" fillId="0" borderId="0" applyFont="0" applyFill="0" applyBorder="0" applyAlignment="0" applyProtection="0"/>
  </cellStyleXfs>
  <cellXfs count="489">
    <xf numFmtId="0" fontId="0" fillId="0" borderId="0" xfId="0"/>
    <xf numFmtId="0" fontId="5" fillId="3" borderId="1" xfId="2" applyFont="1" applyFill="1" applyBorder="1" applyAlignment="1">
      <alignment horizontal="center"/>
    </xf>
    <xf numFmtId="0" fontId="0" fillId="0" borderId="1" xfId="0" applyBorder="1"/>
    <xf numFmtId="0" fontId="0" fillId="0" borderId="0" xfId="0" applyAlignment="1">
      <alignment horizontal="center"/>
    </xf>
    <xf numFmtId="0" fontId="2" fillId="0" borderId="0" xfId="2"/>
    <xf numFmtId="0" fontId="2" fillId="0" borderId="0" xfId="2" applyAlignment="1">
      <alignment horizontal="center"/>
    </xf>
    <xf numFmtId="166" fontId="16" fillId="5" borderId="1" xfId="2" applyNumberFormat="1" applyFont="1" applyFill="1" applyBorder="1" applyAlignment="1">
      <alignment horizontal="center"/>
    </xf>
    <xf numFmtId="0" fontId="0" fillId="0" borderId="7" xfId="0" applyBorder="1"/>
    <xf numFmtId="0" fontId="0" fillId="0" borderId="1" xfId="0" applyBorder="1" applyAlignment="1">
      <alignment horizontal="center"/>
    </xf>
    <xf numFmtId="0" fontId="0" fillId="6" borderId="1" xfId="0" applyFill="1" applyBorder="1"/>
    <xf numFmtId="43" fontId="0" fillId="6" borderId="1" xfId="0" applyNumberFormat="1" applyFill="1" applyBorder="1"/>
    <xf numFmtId="0" fontId="17" fillId="0" borderId="1" xfId="49" applyFont="1" applyBorder="1" applyAlignment="1">
      <alignment vertical="center"/>
    </xf>
    <xf numFmtId="0" fontId="18" fillId="0" borderId="1" xfId="49" applyFont="1" applyBorder="1" applyAlignment="1">
      <alignment vertical="center"/>
    </xf>
    <xf numFmtId="43" fontId="14" fillId="6" borderId="1" xfId="0" applyNumberFormat="1" applyFont="1" applyFill="1" applyBorder="1"/>
    <xf numFmtId="0" fontId="17" fillId="0" borderId="1" xfId="49" applyFont="1" applyBorder="1" applyAlignment="1">
      <alignment horizontal="left" vertical="center"/>
    </xf>
    <xf numFmtId="43" fontId="0" fillId="6" borderId="1" xfId="0" applyNumberFormat="1" applyFill="1" applyBorder="1" applyAlignment="1">
      <alignment vertical="center"/>
    </xf>
    <xf numFmtId="0" fontId="19" fillId="0" borderId="0" xfId="0" applyFont="1"/>
    <xf numFmtId="0" fontId="14" fillId="0" borderId="1" xfId="0" applyFont="1" applyBorder="1" applyAlignment="1">
      <alignment horizontal="center"/>
    </xf>
    <xf numFmtId="0" fontId="14" fillId="6" borderId="1" xfId="0" applyFont="1" applyFill="1" applyBorder="1" applyAlignment="1">
      <alignment horizontal="center"/>
    </xf>
    <xf numFmtId="0" fontId="0" fillId="6" borderId="1" xfId="0" applyFill="1" applyBorder="1" applyAlignment="1">
      <alignment horizontal="center"/>
    </xf>
    <xf numFmtId="0" fontId="0" fillId="6" borderId="5" xfId="0" applyFill="1" applyBorder="1"/>
    <xf numFmtId="43" fontId="14" fillId="6" borderId="1" xfId="0" applyNumberFormat="1" applyFont="1" applyFill="1" applyBorder="1" applyAlignment="1">
      <alignment vertical="center" wrapText="1"/>
    </xf>
    <xf numFmtId="43" fontId="0" fillId="7" borderId="0" xfId="0" applyNumberFormat="1" applyFill="1"/>
    <xf numFmtId="0" fontId="4" fillId="7" borderId="1" xfId="1" applyFont="1" applyFill="1" applyBorder="1" applyAlignment="1">
      <alignment horizontal="center" vertical="center"/>
    </xf>
    <xf numFmtId="0" fontId="0" fillId="6" borderId="5" xfId="0" applyFill="1" applyBorder="1" applyAlignment="1">
      <alignment vertical="center" wrapText="1"/>
    </xf>
    <xf numFmtId="43" fontId="0" fillId="6" borderId="1" xfId="0" applyNumberFormat="1" applyFill="1" applyBorder="1" applyAlignment="1">
      <alignment horizontal="center" vertical="center"/>
    </xf>
    <xf numFmtId="0" fontId="0" fillId="6" borderId="5" xfId="0" applyFill="1" applyBorder="1" applyAlignment="1">
      <alignment vertical="center"/>
    </xf>
    <xf numFmtId="43" fontId="0" fillId="6" borderId="1" xfId="0" applyNumberFormat="1" applyFill="1" applyBorder="1" applyAlignment="1">
      <alignment horizontal="center"/>
    </xf>
    <xf numFmtId="0" fontId="0" fillId="7" borderId="1" xfId="0" applyFill="1" applyBorder="1" applyAlignment="1">
      <alignment horizontal="center"/>
    </xf>
    <xf numFmtId="0" fontId="0" fillId="0" borderId="0" xfId="0" applyAlignment="1">
      <alignment vertical="center"/>
    </xf>
    <xf numFmtId="0" fontId="4" fillId="0" borderId="0" xfId="0" applyFont="1" applyAlignment="1">
      <alignment vertical="center"/>
    </xf>
    <xf numFmtId="0" fontId="20" fillId="0" borderId="0" xfId="0" applyFont="1"/>
    <xf numFmtId="0" fontId="4" fillId="8" borderId="0" xfId="0" applyFont="1" applyFill="1" applyAlignment="1">
      <alignment vertical="center"/>
    </xf>
    <xf numFmtId="0" fontId="4" fillId="10" borderId="0" xfId="0" applyFont="1" applyFill="1" applyAlignment="1">
      <alignment vertical="center"/>
    </xf>
    <xf numFmtId="0" fontId="4" fillId="11" borderId="0" xfId="0" applyFont="1" applyFill="1" applyAlignment="1">
      <alignment vertical="center"/>
    </xf>
    <xf numFmtId="0" fontId="4" fillId="12" borderId="0" xfId="0" applyFont="1" applyFill="1" applyAlignment="1">
      <alignment vertical="center"/>
    </xf>
    <xf numFmtId="0" fontId="4" fillId="12" borderId="0" xfId="0" applyFont="1" applyFill="1" applyAlignment="1">
      <alignment horizontal="right" vertical="center"/>
    </xf>
    <xf numFmtId="0" fontId="4" fillId="13" borderId="0" xfId="0" applyFont="1" applyFill="1" applyAlignment="1">
      <alignment vertical="center"/>
    </xf>
    <xf numFmtId="0" fontId="4" fillId="13" borderId="0" xfId="0" applyFont="1" applyFill="1" applyAlignment="1">
      <alignment horizontal="right" vertical="center"/>
    </xf>
    <xf numFmtId="0" fontId="4" fillId="0" borderId="0" xfId="0" applyFont="1" applyAlignment="1">
      <alignment horizontal="right" vertical="center"/>
    </xf>
    <xf numFmtId="0" fontId="4" fillId="10" borderId="0" xfId="0" applyFont="1" applyFill="1" applyAlignment="1">
      <alignment horizontal="right" vertical="center"/>
    </xf>
    <xf numFmtId="0" fontId="4" fillId="8" borderId="0" xfId="0" applyFont="1" applyFill="1" applyAlignment="1">
      <alignment horizontal="right" vertical="center"/>
    </xf>
    <xf numFmtId="0" fontId="0" fillId="2" borderId="0" xfId="0" applyFill="1"/>
    <xf numFmtId="0" fontId="0" fillId="5" borderId="0" xfId="0" applyFill="1"/>
    <xf numFmtId="0" fontId="4" fillId="5" borderId="0" xfId="0" applyFont="1" applyFill="1" applyAlignment="1">
      <alignment vertical="center"/>
    </xf>
    <xf numFmtId="0" fontId="4" fillId="5" borderId="0" xfId="0" applyFont="1" applyFill="1" applyAlignment="1">
      <alignment horizontal="right" vertical="center"/>
    </xf>
    <xf numFmtId="0" fontId="0" fillId="14" borderId="0" xfId="0" applyFill="1"/>
    <xf numFmtId="0" fontId="4" fillId="14" borderId="0" xfId="0" applyFont="1" applyFill="1" applyAlignment="1">
      <alignment vertical="center"/>
    </xf>
    <xf numFmtId="0" fontId="4" fillId="14" borderId="0" xfId="0" applyFont="1" applyFill="1" applyAlignment="1">
      <alignment horizontal="right" vertical="center"/>
    </xf>
    <xf numFmtId="0" fontId="4" fillId="11" borderId="0" xfId="0" applyFont="1" applyFill="1" applyAlignment="1">
      <alignment horizontal="right" vertical="center"/>
    </xf>
    <xf numFmtId="0" fontId="4" fillId="2" borderId="0" xfId="0" applyFont="1" applyFill="1" applyAlignment="1">
      <alignment vertical="center"/>
    </xf>
    <xf numFmtId="0" fontId="4" fillId="2" borderId="0" xfId="0" applyFont="1" applyFill="1" applyAlignment="1">
      <alignment horizontal="right" vertical="center"/>
    </xf>
    <xf numFmtId="0" fontId="0" fillId="6" borderId="0" xfId="0" applyFill="1"/>
    <xf numFmtId="0" fontId="23" fillId="6" borderId="0" xfId="0" applyFont="1" applyFill="1"/>
    <xf numFmtId="0" fontId="23" fillId="6" borderId="0" xfId="0" applyFont="1" applyFill="1" applyAlignment="1">
      <alignment horizontal="center"/>
    </xf>
    <xf numFmtId="43" fontId="0" fillId="6" borderId="0" xfId="0" applyNumberFormat="1" applyFill="1"/>
    <xf numFmtId="0" fontId="0" fillId="6" borderId="0" xfId="0" applyFill="1" applyAlignment="1">
      <alignment horizontal="center"/>
    </xf>
    <xf numFmtId="43" fontId="0" fillId="6" borderId="0" xfId="0" applyNumberFormat="1" applyFill="1" applyAlignment="1">
      <alignment horizontal="center"/>
    </xf>
    <xf numFmtId="0" fontId="17" fillId="0" borderId="1" xfId="64" applyFont="1" applyBorder="1" applyAlignment="1">
      <alignment vertical="center"/>
    </xf>
    <xf numFmtId="0" fontId="18" fillId="0" borderId="1" xfId="64" applyFont="1" applyBorder="1" applyAlignment="1">
      <alignment vertical="center"/>
    </xf>
    <xf numFmtId="43" fontId="14" fillId="6" borderId="1" xfId="0" applyNumberFormat="1" applyFont="1" applyFill="1" applyBorder="1" applyAlignment="1">
      <alignment horizontal="center"/>
    </xf>
    <xf numFmtId="0" fontId="0" fillId="6" borderId="1" xfId="0" applyFill="1" applyBorder="1" applyAlignment="1">
      <alignment horizontal="center" vertical="center"/>
    </xf>
    <xf numFmtId="0" fontId="17" fillId="0" borderId="1" xfId="64" applyFont="1" applyBorder="1" applyAlignment="1">
      <alignment horizontal="left" vertical="center"/>
    </xf>
    <xf numFmtId="43" fontId="14" fillId="6" borderId="1" xfId="0" applyNumberFormat="1" applyFont="1" applyFill="1" applyBorder="1" applyAlignment="1">
      <alignment vertical="center"/>
    </xf>
    <xf numFmtId="0" fontId="0" fillId="0" borderId="1" xfId="0" applyBorder="1" applyAlignment="1">
      <alignment horizontal="center" vertical="center"/>
    </xf>
    <xf numFmtId="43" fontId="0" fillId="6" borderId="1" xfId="0" applyNumberFormat="1" applyFill="1" applyBorder="1" applyAlignment="1">
      <alignment vertical="center" wrapText="1"/>
    </xf>
    <xf numFmtId="0" fontId="15" fillId="8" borderId="1" xfId="0" applyFont="1" applyFill="1" applyBorder="1" applyAlignment="1">
      <alignment vertical="center"/>
    </xf>
    <xf numFmtId="43" fontId="15" fillId="8" borderId="1" xfId="0" applyNumberFormat="1" applyFont="1" applyFill="1" applyBorder="1" applyAlignment="1">
      <alignment horizontal="center" vertical="center"/>
    </xf>
    <xf numFmtId="43" fontId="0" fillId="6" borderId="1" xfId="0" applyNumberFormat="1" applyFill="1" applyBorder="1" applyAlignment="1">
      <alignment horizontal="left" vertical="center" wrapText="1"/>
    </xf>
    <xf numFmtId="0" fontId="24" fillId="0" borderId="0" xfId="0" applyFont="1" applyAlignment="1">
      <alignment vertical="center"/>
    </xf>
    <xf numFmtId="0" fontId="25" fillId="16" borderId="21" xfId="0" applyFont="1" applyFill="1" applyBorder="1" applyAlignment="1">
      <alignment vertical="center"/>
    </xf>
    <xf numFmtId="0" fontId="25" fillId="16" borderId="20" xfId="0" applyFont="1" applyFill="1" applyBorder="1" applyAlignment="1">
      <alignment vertical="center"/>
    </xf>
    <xf numFmtId="0" fontId="25" fillId="16" borderId="0" xfId="0" applyFont="1" applyFill="1" applyAlignment="1">
      <alignment vertical="center"/>
    </xf>
    <xf numFmtId="0" fontId="25" fillId="16" borderId="14" xfId="0" applyFont="1" applyFill="1" applyBorder="1" applyAlignment="1">
      <alignment horizontal="center" vertical="center"/>
    </xf>
    <xf numFmtId="0" fontId="25" fillId="16" borderId="13" xfId="0" applyFont="1" applyFill="1" applyBorder="1" applyAlignment="1">
      <alignment horizontal="center" vertical="center"/>
    </xf>
    <xf numFmtId="0" fontId="14" fillId="11" borderId="23" xfId="0" applyFont="1" applyFill="1" applyBorder="1" applyAlignment="1">
      <alignment horizontal="center" vertical="center"/>
    </xf>
    <xf numFmtId="0" fontId="14" fillId="11" borderId="19" xfId="0" applyFont="1" applyFill="1" applyBorder="1" applyAlignment="1">
      <alignment horizontal="center" vertical="center"/>
    </xf>
    <xf numFmtId="0" fontId="14" fillId="11" borderId="19" xfId="0" applyFont="1" applyFill="1" applyBorder="1" applyAlignment="1">
      <alignment horizontal="center" vertical="center" wrapText="1"/>
    </xf>
    <xf numFmtId="0" fontId="14" fillId="18" borderId="15" xfId="0" applyFont="1" applyFill="1" applyBorder="1" applyAlignment="1">
      <alignment horizontal="center" vertical="center"/>
    </xf>
    <xf numFmtId="0" fontId="14" fillId="18" borderId="15" xfId="0" applyFont="1" applyFill="1" applyBorder="1" applyAlignment="1">
      <alignment horizontal="center" vertical="center" wrapText="1"/>
    </xf>
    <xf numFmtId="0" fontId="0" fillId="0" borderId="2" xfId="0" applyBorder="1" applyAlignment="1">
      <alignment horizontal="center" vertical="center"/>
    </xf>
    <xf numFmtId="174" fontId="0" fillId="0" borderId="1" xfId="0" applyNumberFormat="1" applyBorder="1"/>
    <xf numFmtId="0" fontId="13" fillId="15" borderId="0" xfId="0" applyFont="1" applyFill="1"/>
    <xf numFmtId="0" fontId="13" fillId="9" borderId="0" xfId="0" applyFont="1" applyFill="1"/>
    <xf numFmtId="0" fontId="13" fillId="20" borderId="0" xfId="0" applyFont="1" applyFill="1" applyAlignment="1">
      <alignment horizontal="center"/>
    </xf>
    <xf numFmtId="2" fontId="14" fillId="15" borderId="1" xfId="0" applyNumberFormat="1" applyFont="1" applyFill="1" applyBorder="1" applyAlignment="1">
      <alignment horizontal="center"/>
    </xf>
    <xf numFmtId="175" fontId="14" fillId="15" borderId="1" xfId="0" applyNumberFormat="1" applyFont="1" applyFill="1" applyBorder="1" applyAlignment="1">
      <alignment horizontal="center" vertical="center"/>
    </xf>
    <xf numFmtId="0" fontId="0" fillId="19" borderId="19" xfId="0" applyFill="1" applyBorder="1"/>
    <xf numFmtId="0" fontId="27" fillId="21" borderId="26" xfId="0" applyFont="1" applyFill="1" applyBorder="1" applyAlignment="1">
      <alignment horizontal="center" vertical="center"/>
    </xf>
    <xf numFmtId="0" fontId="27" fillId="21" borderId="26" xfId="0" applyFont="1" applyFill="1" applyBorder="1" applyAlignment="1">
      <alignment vertical="center"/>
    </xf>
    <xf numFmtId="0" fontId="27" fillId="21" borderId="0" xfId="0" applyFont="1" applyFill="1" applyAlignment="1">
      <alignment horizontal="center" vertical="center"/>
    </xf>
    <xf numFmtId="0" fontId="0" fillId="23" borderId="0" xfId="0" applyFill="1" applyAlignment="1">
      <alignment horizontal="center" vertical="center" wrapText="1"/>
    </xf>
    <xf numFmtId="0" fontId="13" fillId="23" borderId="0" xfId="0" applyFont="1" applyFill="1" applyAlignment="1">
      <alignment horizontal="center" vertical="center"/>
    </xf>
    <xf numFmtId="0" fontId="13" fillId="23" borderId="0" xfId="0" applyFont="1" applyFill="1" applyAlignment="1">
      <alignment vertical="center"/>
    </xf>
    <xf numFmtId="0" fontId="13" fillId="23" borderId="0" xfId="0" applyFont="1" applyFill="1" applyAlignment="1">
      <alignment horizontal="center" vertical="center" wrapText="1"/>
    </xf>
    <xf numFmtId="0" fontId="0" fillId="20" borderId="1" xfId="0" applyFill="1" applyBorder="1" applyAlignment="1">
      <alignment horizontal="center" vertical="top" wrapText="1"/>
    </xf>
    <xf numFmtId="0" fontId="13" fillId="20" borderId="0" xfId="0" applyFont="1" applyFill="1"/>
    <xf numFmtId="0" fontId="0" fillId="20" borderId="0" xfId="0" applyFill="1" applyAlignment="1">
      <alignment horizontal="center" vertical="center" wrapText="1"/>
    </xf>
    <xf numFmtId="0" fontId="0" fillId="15" borderId="0" xfId="0" applyFill="1" applyAlignment="1">
      <alignment horizontal="center" vertical="center" wrapText="1"/>
    </xf>
    <xf numFmtId="0" fontId="13" fillId="15" borderId="0" xfId="0" applyFont="1" applyFill="1" applyAlignment="1">
      <alignment horizontal="center"/>
    </xf>
    <xf numFmtId="0" fontId="0" fillId="4" borderId="0" xfId="0" applyFill="1" applyAlignment="1">
      <alignment horizontal="center" vertical="center" wrapText="1"/>
    </xf>
    <xf numFmtId="0" fontId="13" fillId="4" borderId="0" xfId="0" applyFont="1" applyFill="1" applyAlignment="1">
      <alignment horizontal="center"/>
    </xf>
    <xf numFmtId="0" fontId="13" fillId="4" borderId="0" xfId="0" applyFont="1" applyFill="1"/>
    <xf numFmtId="0" fontId="0" fillId="9" borderId="0" xfId="0" applyFill="1" applyAlignment="1">
      <alignment horizontal="center" vertical="top"/>
    </xf>
    <xf numFmtId="0" fontId="13" fillId="9" borderId="0" xfId="0" applyFont="1" applyFill="1" applyAlignment="1">
      <alignment horizontal="center"/>
    </xf>
    <xf numFmtId="0" fontId="13" fillId="9" borderId="0" xfId="0" applyFont="1" applyFill="1" applyAlignment="1">
      <alignment horizontal="center" vertical="center"/>
    </xf>
    <xf numFmtId="0" fontId="0" fillId="9" borderId="0" xfId="0" applyFill="1" applyAlignment="1">
      <alignment vertical="top"/>
    </xf>
    <xf numFmtId="0" fontId="13" fillId="9" borderId="0" xfId="0" applyFont="1" applyFill="1" applyAlignment="1">
      <alignment horizontal="center" vertical="top"/>
    </xf>
    <xf numFmtId="0" fontId="1" fillId="9" borderId="0" xfId="0" applyFont="1" applyFill="1" applyAlignment="1">
      <alignment horizontal="center" vertical="top"/>
    </xf>
    <xf numFmtId="0" fontId="0" fillId="20" borderId="0" xfId="0" applyFill="1" applyAlignment="1">
      <alignment horizontal="center" vertical="top"/>
    </xf>
    <xf numFmtId="0" fontId="13" fillId="20" borderId="0" xfId="0" applyFont="1" applyFill="1" applyAlignment="1">
      <alignment horizontal="center" vertical="center"/>
    </xf>
    <xf numFmtId="0" fontId="0" fillId="15" borderId="0" xfId="0" applyFill="1" applyAlignment="1">
      <alignment horizontal="center" vertical="top"/>
    </xf>
    <xf numFmtId="0" fontId="13" fillId="15" borderId="0" xfId="0" applyFont="1" applyFill="1" applyAlignment="1">
      <alignment horizontal="center" vertical="center"/>
    </xf>
    <xf numFmtId="0" fontId="28" fillId="22" borderId="0" xfId="0" applyFont="1" applyFill="1" applyAlignment="1">
      <alignment horizontal="center" vertical="center" textRotation="90"/>
    </xf>
    <xf numFmtId="0" fontId="0" fillId="9" borderId="0" xfId="0" applyFill="1" applyAlignment="1">
      <alignment horizontal="center"/>
    </xf>
    <xf numFmtId="0" fontId="0" fillId="23" borderId="0" xfId="0" applyFill="1" applyAlignment="1">
      <alignment horizontal="center"/>
    </xf>
    <xf numFmtId="0" fontId="13" fillId="23" borderId="0" xfId="0" applyFont="1" applyFill="1" applyAlignment="1">
      <alignment horizontal="center"/>
    </xf>
    <xf numFmtId="0" fontId="13" fillId="23" borderId="0" xfId="0" applyFont="1" applyFill="1"/>
    <xf numFmtId="0" fontId="0" fillId="15" borderId="0" xfId="0" applyFill="1" applyAlignment="1">
      <alignment horizontal="center"/>
    </xf>
    <xf numFmtId="0" fontId="0" fillId="20" borderId="0" xfId="0" applyFill="1" applyAlignment="1">
      <alignment horizontal="center"/>
    </xf>
    <xf numFmtId="0" fontId="0" fillId="25" borderId="0" xfId="0" applyFill="1" applyAlignment="1">
      <alignment horizontal="center"/>
    </xf>
    <xf numFmtId="0" fontId="13" fillId="25" borderId="0" xfId="0" applyFont="1" applyFill="1" applyAlignment="1">
      <alignment horizontal="center"/>
    </xf>
    <xf numFmtId="0" fontId="13" fillId="25" borderId="0" xfId="0" applyFont="1" applyFill="1"/>
    <xf numFmtId="0" fontId="13" fillId="25" borderId="0" xfId="0" applyFont="1" applyFill="1" applyAlignment="1">
      <alignment horizontal="center" vertical="center"/>
    </xf>
    <xf numFmtId="0" fontId="2" fillId="0" borderId="0" xfId="1"/>
    <xf numFmtId="0" fontId="3" fillId="0" borderId="0" xfId="1" applyFont="1" applyAlignment="1">
      <alignment horizontal="right"/>
    </xf>
    <xf numFmtId="0" fontId="6" fillId="0" borderId="0" xfId="1" applyFont="1"/>
    <xf numFmtId="0" fontId="26" fillId="7" borderId="15" xfId="2" applyFont="1" applyFill="1" applyBorder="1"/>
    <xf numFmtId="0" fontId="0" fillId="0" borderId="9" xfId="0" applyBorder="1" applyAlignment="1">
      <alignment horizontal="center"/>
    </xf>
    <xf numFmtId="0" fontId="0" fillId="0" borderId="16" xfId="0" applyBorder="1"/>
    <xf numFmtId="0" fontId="0" fillId="0" borderId="17" xfId="0" applyBorder="1" applyAlignment="1">
      <alignment horizontal="center"/>
    </xf>
    <xf numFmtId="0" fontId="3" fillId="0" borderId="10" xfId="2" applyFont="1" applyBorder="1"/>
    <xf numFmtId="0" fontId="0" fillId="0" borderId="15" xfId="0" applyBorder="1"/>
    <xf numFmtId="0" fontId="0" fillId="0" borderId="7" xfId="0" applyBorder="1" applyAlignment="1">
      <alignment horizontal="center"/>
    </xf>
    <xf numFmtId="0" fontId="0" fillId="0" borderId="9" xfId="0" applyBorder="1"/>
    <xf numFmtId="0" fontId="0" fillId="0" borderId="17" xfId="0" applyBorder="1"/>
    <xf numFmtId="0" fontId="0" fillId="0" borderId="12" xfId="0" applyBorder="1"/>
    <xf numFmtId="0" fontId="0" fillId="0" borderId="13" xfId="0" applyBorder="1"/>
    <xf numFmtId="0" fontId="0" fillId="7" borderId="11" xfId="0" applyFill="1" applyBorder="1" applyAlignment="1">
      <alignment horizontal="center"/>
    </xf>
    <xf numFmtId="0" fontId="14" fillId="0" borderId="10" xfId="0" applyFont="1" applyBorder="1" applyAlignment="1">
      <alignment vertical="center"/>
    </xf>
    <xf numFmtId="0" fontId="31" fillId="8" borderId="7" xfId="0" applyFont="1" applyFill="1" applyBorder="1" applyAlignment="1">
      <alignment vertical="center"/>
    </xf>
    <xf numFmtId="0" fontId="30" fillId="8" borderId="7" xfId="0" applyFont="1" applyFill="1" applyBorder="1"/>
    <xf numFmtId="0" fontId="30" fillId="8" borderId="7" xfId="0" applyFont="1" applyFill="1" applyBorder="1" applyAlignment="1">
      <alignment horizontal="center"/>
    </xf>
    <xf numFmtId="0" fontId="0" fillId="0" borderId="18" xfId="0" applyBorder="1"/>
    <xf numFmtId="0" fontId="0" fillId="0" borderId="16" xfId="0" applyBorder="1" applyAlignment="1">
      <alignment vertical="center"/>
    </xf>
    <xf numFmtId="0" fontId="2" fillId="0" borderId="0" xfId="1" applyAlignment="1">
      <alignment vertical="center"/>
    </xf>
    <xf numFmtId="0" fontId="0" fillId="0" borderId="17" xfId="0" applyBorder="1" applyAlignment="1">
      <alignment horizontal="center" vertical="center"/>
    </xf>
    <xf numFmtId="0" fontId="21" fillId="7" borderId="1" xfId="1" applyFont="1" applyFill="1" applyBorder="1" applyAlignment="1">
      <alignment horizontal="center" vertical="center"/>
    </xf>
    <xf numFmtId="0" fontId="30" fillId="8" borderId="23" xfId="0" applyFont="1" applyFill="1" applyBorder="1" applyAlignment="1">
      <alignment horizontal="center"/>
    </xf>
    <xf numFmtId="0" fontId="14" fillId="0" borderId="3" xfId="0" applyFont="1" applyBorder="1"/>
    <xf numFmtId="0" fontId="35" fillId="27" borderId="20" xfId="0" applyFont="1" applyFill="1" applyBorder="1" applyAlignment="1">
      <alignment horizontal="center" vertical="center" wrapText="1"/>
    </xf>
    <xf numFmtId="0" fontId="35" fillId="28" borderId="20" xfId="0" applyFont="1" applyFill="1" applyBorder="1" applyAlignment="1">
      <alignment horizontal="center" vertical="center" wrapText="1"/>
    </xf>
    <xf numFmtId="0" fontId="35" fillId="29" borderId="20" xfId="0" applyFont="1" applyFill="1" applyBorder="1" applyAlignment="1">
      <alignment horizontal="center" vertical="center" wrapText="1"/>
    </xf>
    <xf numFmtId="0" fontId="35" fillId="29" borderId="20" xfId="0" applyFont="1" applyFill="1" applyBorder="1" applyAlignment="1">
      <alignment horizontal="center" vertical="center"/>
    </xf>
    <xf numFmtId="0" fontId="35" fillId="8" borderId="9" xfId="0" applyFont="1" applyFill="1" applyBorder="1" applyAlignment="1">
      <alignment horizontal="center" vertical="center"/>
    </xf>
    <xf numFmtId="0" fontId="35" fillId="8" borderId="20" xfId="0" applyFont="1" applyFill="1" applyBorder="1" applyAlignment="1">
      <alignment horizontal="center" vertical="center" wrapText="1"/>
    </xf>
    <xf numFmtId="0" fontId="35" fillId="8" borderId="20" xfId="0" applyFont="1" applyFill="1" applyBorder="1" applyAlignment="1">
      <alignment horizontal="center" vertical="center"/>
    </xf>
    <xf numFmtId="0" fontId="35" fillId="30" borderId="20" xfId="0" applyFont="1" applyFill="1" applyBorder="1" applyAlignment="1">
      <alignment horizontal="center" vertical="center" wrapText="1"/>
    </xf>
    <xf numFmtId="0" fontId="35" fillId="31" borderId="20" xfId="0" applyFont="1" applyFill="1" applyBorder="1" applyAlignment="1">
      <alignment horizontal="center" vertical="center" wrapText="1"/>
    </xf>
    <xf numFmtId="0" fontId="0" fillId="0" borderId="20" xfId="0" applyBorder="1" applyAlignment="1">
      <alignment horizontal="center" vertical="center"/>
    </xf>
    <xf numFmtId="0" fontId="36" fillId="32" borderId="1" xfId="0" applyFont="1" applyFill="1" applyBorder="1" applyAlignment="1">
      <alignment horizontal="center"/>
    </xf>
    <xf numFmtId="178" fontId="36" fillId="32" borderId="1" xfId="0" applyNumberFormat="1" applyFont="1" applyFill="1" applyBorder="1" applyAlignment="1">
      <alignment horizontal="center"/>
    </xf>
    <xf numFmtId="179" fontId="36" fillId="32" borderId="1" xfId="0" applyNumberFormat="1" applyFont="1" applyFill="1" applyBorder="1" applyAlignment="1">
      <alignment horizontal="center"/>
    </xf>
    <xf numFmtId="0" fontId="36" fillId="32" borderId="1" xfId="0" applyFont="1" applyFill="1" applyBorder="1" applyAlignment="1">
      <alignment horizontal="center" vertical="center" wrapText="1"/>
    </xf>
    <xf numFmtId="0" fontId="37" fillId="32" borderId="1" xfId="0" applyFont="1" applyFill="1" applyBorder="1" applyAlignment="1">
      <alignment horizontal="center"/>
    </xf>
    <xf numFmtId="0" fontId="0" fillId="0" borderId="17" xfId="0" applyBorder="1" applyAlignment="1">
      <alignment vertical="center"/>
    </xf>
    <xf numFmtId="0" fontId="14" fillId="33" borderId="28" xfId="0" applyFont="1" applyFill="1" applyBorder="1" applyAlignment="1">
      <alignment vertical="center"/>
    </xf>
    <xf numFmtId="0" fontId="0" fillId="33" borderId="1" xfId="0" applyFill="1" applyBorder="1" applyAlignment="1">
      <alignment horizontal="center"/>
    </xf>
    <xf numFmtId="0" fontId="0" fillId="33" borderId="11" xfId="0" applyFill="1" applyBorder="1" applyAlignment="1">
      <alignment horizontal="center"/>
    </xf>
    <xf numFmtId="0" fontId="0" fillId="6" borderId="13" xfId="0" applyFill="1" applyBorder="1"/>
    <xf numFmtId="0" fontId="33" fillId="0" borderId="0" xfId="0" applyFont="1" applyAlignment="1">
      <alignment horizontal="center" vertical="center"/>
    </xf>
    <xf numFmtId="0" fontId="3" fillId="0" borderId="31" xfId="2" applyFont="1" applyBorder="1" applyAlignment="1">
      <alignment vertical="center"/>
    </xf>
    <xf numFmtId="0" fontId="3" fillId="0" borderId="35" xfId="2" applyFont="1" applyBorder="1" applyAlignment="1">
      <alignment vertical="center"/>
    </xf>
    <xf numFmtId="0" fontId="6" fillId="2" borderId="0" xfId="1" applyFont="1" applyFill="1" applyAlignment="1">
      <alignment horizontal="center"/>
    </xf>
    <xf numFmtId="0" fontId="6" fillId="0" borderId="0" xfId="1" applyFont="1" applyAlignment="1">
      <alignment horizontal="center"/>
    </xf>
    <xf numFmtId="0" fontId="14" fillId="8" borderId="0" xfId="0" applyFont="1" applyFill="1"/>
    <xf numFmtId="0" fontId="41" fillId="0" borderId="6" xfId="63" applyNumberFormat="1" applyFont="1" applyFill="1" applyBorder="1" applyAlignment="1" applyProtection="1">
      <alignment horizontal="center" vertical="center" wrapText="1"/>
      <protection locked="0"/>
    </xf>
    <xf numFmtId="2" fontId="41" fillId="0" borderId="6" xfId="63" applyNumberFormat="1" applyFont="1" applyFill="1" applyBorder="1" applyAlignment="1">
      <alignment horizontal="center" vertical="center" wrapText="1"/>
    </xf>
    <xf numFmtId="2" fontId="41" fillId="0" borderId="6" xfId="0" applyNumberFormat="1" applyFont="1" applyBorder="1" applyAlignment="1">
      <alignment horizontal="center" vertical="center" wrapText="1"/>
    </xf>
    <xf numFmtId="0" fontId="42" fillId="0" borderId="25" xfId="68" applyFont="1" applyBorder="1" applyAlignment="1" applyProtection="1">
      <alignment horizontal="center" vertical="center" wrapText="1"/>
      <protection locked="0"/>
    </xf>
    <xf numFmtId="0" fontId="41" fillId="0" borderId="25" xfId="63" applyNumberFormat="1" applyFont="1" applyFill="1" applyBorder="1" applyAlignment="1" applyProtection="1">
      <alignment horizontal="center" vertical="center" wrapText="1"/>
      <protection locked="0"/>
    </xf>
    <xf numFmtId="176" fontId="32" fillId="26" borderId="1" xfId="63" applyNumberFormat="1" applyFont="1" applyFill="1" applyBorder="1" applyAlignment="1" applyProtection="1">
      <alignment horizontal="center" vertical="center" wrapText="1"/>
    </xf>
    <xf numFmtId="0" fontId="3" fillId="0" borderId="1" xfId="2" applyFont="1" applyBorder="1" applyAlignment="1">
      <alignment vertical="center"/>
    </xf>
    <xf numFmtId="0" fontId="3" fillId="11" borderId="38" xfId="2" applyFont="1" applyFill="1" applyBorder="1" applyAlignment="1">
      <alignment horizontal="center" vertical="center"/>
    </xf>
    <xf numFmtId="0" fontId="3" fillId="11" borderId="39" xfId="2" applyFont="1" applyFill="1" applyBorder="1" applyAlignment="1">
      <alignment horizontal="center"/>
    </xf>
    <xf numFmtId="165" fontId="3" fillId="11" borderId="39" xfId="2" applyNumberFormat="1" applyFont="1" applyFill="1" applyBorder="1"/>
    <xf numFmtId="0" fontId="3" fillId="11" borderId="40" xfId="2" applyFont="1" applyFill="1" applyBorder="1" applyAlignment="1">
      <alignment horizontal="center" vertical="center"/>
    </xf>
    <xf numFmtId="43" fontId="14" fillId="11" borderId="19" xfId="0" applyNumberFormat="1" applyFont="1" applyFill="1" applyBorder="1" applyAlignment="1">
      <alignment horizontal="center" vertical="center"/>
    </xf>
    <xf numFmtId="0" fontId="0" fillId="0" borderId="0" xfId="0" applyAlignment="1">
      <alignment horizontal="center" vertical="center"/>
    </xf>
    <xf numFmtId="0" fontId="14" fillId="0" borderId="28" xfId="0" applyFont="1" applyBorder="1" applyAlignment="1">
      <alignment vertical="center"/>
    </xf>
    <xf numFmtId="0" fontId="0" fillId="0" borderId="13" xfId="0" applyBorder="1" applyAlignment="1">
      <alignment horizontal="center"/>
    </xf>
    <xf numFmtId="0" fontId="39" fillId="5" borderId="6" xfId="0" applyFont="1" applyFill="1" applyBorder="1" applyAlignment="1">
      <alignment horizontal="center" vertical="center"/>
    </xf>
    <xf numFmtId="0" fontId="40" fillId="34" borderId="41" xfId="0" applyFont="1" applyFill="1" applyBorder="1" applyAlignment="1">
      <alignment horizontal="center" vertical="center" wrapText="1"/>
    </xf>
    <xf numFmtId="0" fontId="40" fillId="34" borderId="42" xfId="0" applyFont="1" applyFill="1" applyBorder="1" applyAlignment="1">
      <alignment horizontal="center" vertical="center"/>
    </xf>
    <xf numFmtId="0" fontId="40" fillId="34" borderId="44" xfId="0" applyFont="1" applyFill="1" applyBorder="1" applyAlignment="1">
      <alignment horizontal="center" vertical="center"/>
    </xf>
    <xf numFmtId="0" fontId="40" fillId="34" borderId="25" xfId="0" applyFont="1" applyFill="1" applyBorder="1" applyAlignment="1">
      <alignment horizontal="center" vertical="center"/>
    </xf>
    <xf numFmtId="0" fontId="40" fillId="34" borderId="41" xfId="0" applyFont="1" applyFill="1" applyBorder="1" applyAlignment="1">
      <alignment horizontal="center" vertical="center"/>
    </xf>
    <xf numFmtId="4" fontId="40" fillId="34" borderId="42" xfId="0" applyNumberFormat="1" applyFont="1" applyFill="1" applyBorder="1" applyAlignment="1">
      <alignment horizontal="center" vertical="center"/>
    </xf>
    <xf numFmtId="4" fontId="40" fillId="34" borderId="25" xfId="0" applyNumberFormat="1" applyFont="1" applyFill="1" applyBorder="1" applyAlignment="1">
      <alignment horizontal="center" vertical="center"/>
    </xf>
    <xf numFmtId="0" fontId="41" fillId="0" borderId="25" xfId="0" applyFont="1" applyBorder="1" applyAlignment="1">
      <alignment horizontal="center" vertical="center" wrapText="1"/>
    </xf>
    <xf numFmtId="43" fontId="0" fillId="0" borderId="0" xfId="0" applyNumberFormat="1"/>
    <xf numFmtId="0" fontId="14" fillId="0" borderId="0" xfId="0" applyFont="1"/>
    <xf numFmtId="0" fontId="14" fillId="0" borderId="0" xfId="0" applyFont="1" applyAlignment="1">
      <alignment horizontal="center"/>
    </xf>
    <xf numFmtId="0" fontId="14" fillId="10" borderId="0" xfId="0" applyFont="1" applyFill="1"/>
    <xf numFmtId="0" fontId="14" fillId="10" borderId="0" xfId="0" applyFont="1" applyFill="1" applyAlignment="1">
      <alignment horizontal="center"/>
    </xf>
    <xf numFmtId="0" fontId="0" fillId="0" borderId="16" xfId="0" applyBorder="1" applyAlignment="1">
      <alignment horizontal="center" vertical="center"/>
    </xf>
    <xf numFmtId="0" fontId="2" fillId="0" borderId="0" xfId="1" applyAlignment="1">
      <alignment horizontal="center" vertical="center"/>
    </xf>
    <xf numFmtId="0" fontId="44" fillId="0" borderId="0" xfId="0" applyFont="1" applyAlignment="1">
      <alignment horizontal="center" vertical="center"/>
    </xf>
    <xf numFmtId="0" fontId="44" fillId="0" borderId="4" xfId="0" applyFont="1" applyBorder="1" applyAlignment="1">
      <alignment horizontal="center" vertical="center" wrapText="1"/>
    </xf>
    <xf numFmtId="0" fontId="44" fillId="0" borderId="48" xfId="0" applyFont="1" applyBorder="1" applyAlignment="1">
      <alignment horizontal="center" vertical="center" wrapText="1"/>
    </xf>
    <xf numFmtId="0" fontId="44" fillId="0" borderId="52" xfId="0" applyFont="1" applyBorder="1" applyAlignment="1">
      <alignment horizontal="center" vertical="center" wrapText="1"/>
    </xf>
    <xf numFmtId="0" fontId="44" fillId="0" borderId="51" xfId="0" applyFont="1" applyBorder="1" applyAlignment="1">
      <alignment horizontal="center" vertical="center" wrapText="1"/>
    </xf>
    <xf numFmtId="0" fontId="44" fillId="0" borderId="54" xfId="0" applyFont="1" applyBorder="1" applyAlignment="1">
      <alignment horizontal="center" vertical="center" wrapText="1"/>
    </xf>
    <xf numFmtId="0" fontId="44" fillId="0" borderId="47" xfId="0" applyFont="1" applyBorder="1" applyAlignment="1">
      <alignment horizontal="center" vertical="center" wrapText="1"/>
    </xf>
    <xf numFmtId="0" fontId="47" fillId="0" borderId="0" xfId="0" applyFont="1" applyAlignment="1">
      <alignment horizontal="center" vertical="center"/>
    </xf>
    <xf numFmtId="0" fontId="47" fillId="10" borderId="19" xfId="0" applyFont="1" applyFill="1" applyBorder="1" applyAlignment="1">
      <alignment horizontal="center" vertical="center"/>
    </xf>
    <xf numFmtId="0" fontId="14" fillId="8" borderId="0" xfId="0" applyFont="1" applyFill="1" applyAlignment="1">
      <alignment vertical="center"/>
    </xf>
    <xf numFmtId="0" fontId="44" fillId="8" borderId="0" xfId="0" applyFont="1" applyFill="1" applyAlignment="1">
      <alignment horizontal="center" vertical="center"/>
    </xf>
    <xf numFmtId="0" fontId="47" fillId="37" borderId="0" xfId="0" applyFont="1" applyFill="1" applyAlignment="1">
      <alignment horizontal="center" vertical="center"/>
    </xf>
    <xf numFmtId="2" fontId="47" fillId="37" borderId="19" xfId="0" applyNumberFormat="1" applyFont="1" applyFill="1" applyBorder="1" applyAlignment="1">
      <alignment horizontal="center" vertical="center"/>
    </xf>
    <xf numFmtId="0" fontId="14" fillId="37" borderId="0" xfId="0" applyFont="1" applyFill="1" applyAlignment="1">
      <alignment vertical="center"/>
    </xf>
    <xf numFmtId="0" fontId="44" fillId="37" borderId="0" xfId="0" applyFont="1" applyFill="1" applyAlignment="1">
      <alignment horizontal="center" vertical="center"/>
    </xf>
    <xf numFmtId="2" fontId="44" fillId="0" borderId="0" xfId="0" applyNumberFormat="1" applyFont="1" applyAlignment="1">
      <alignment horizontal="center" vertical="center"/>
    </xf>
    <xf numFmtId="176" fontId="32" fillId="26" borderId="41" xfId="63" applyNumberFormat="1" applyFont="1" applyFill="1" applyBorder="1" applyAlignment="1" applyProtection="1">
      <alignment horizontal="center" vertical="center" wrapText="1"/>
    </xf>
    <xf numFmtId="176" fontId="32" fillId="26" borderId="42" xfId="63" applyNumberFormat="1" applyFont="1" applyFill="1" applyBorder="1" applyAlignment="1" applyProtection="1">
      <alignment horizontal="center" vertical="center" wrapText="1"/>
    </xf>
    <xf numFmtId="176" fontId="32" fillId="26" borderId="43" xfId="63" applyNumberFormat="1" applyFont="1" applyFill="1" applyBorder="1" applyAlignment="1" applyProtection="1">
      <alignment horizontal="center" vertical="center" wrapText="1"/>
    </xf>
    <xf numFmtId="165" fontId="14" fillId="0" borderId="1" xfId="0" applyNumberFormat="1" applyFont="1" applyBorder="1" applyAlignment="1">
      <alignment horizontal="center"/>
    </xf>
    <xf numFmtId="2" fontId="41" fillId="0" borderId="25" xfId="63" applyNumberFormat="1" applyFont="1" applyFill="1" applyBorder="1" applyAlignment="1">
      <alignment horizontal="center" vertical="center" wrapText="1"/>
    </xf>
    <xf numFmtId="0" fontId="3" fillId="0" borderId="35" xfId="2" applyFont="1" applyBorder="1" applyAlignment="1">
      <alignment horizontal="left" vertical="center"/>
    </xf>
    <xf numFmtId="165" fontId="3" fillId="11" borderId="39" xfId="2" applyNumberFormat="1" applyFont="1" applyFill="1" applyBorder="1" applyAlignment="1">
      <alignment horizontal="center" vertical="center"/>
    </xf>
    <xf numFmtId="0" fontId="3" fillId="11" borderId="39" xfId="2" applyFont="1" applyFill="1" applyBorder="1" applyAlignment="1">
      <alignment horizontal="center" vertical="center"/>
    </xf>
    <xf numFmtId="43" fontId="14" fillId="11" borderId="61" xfId="0" applyNumberFormat="1" applyFont="1" applyFill="1" applyBorder="1" applyAlignment="1">
      <alignment horizontal="center" vertical="center"/>
    </xf>
    <xf numFmtId="0" fontId="5" fillId="3" borderId="1" xfId="2" applyFont="1" applyFill="1" applyBorder="1" applyAlignment="1">
      <alignment horizontal="center" vertical="center"/>
    </xf>
    <xf numFmtId="43" fontId="0" fillId="0" borderId="17" xfId="0" applyNumberFormat="1" applyBorder="1" applyAlignment="1">
      <alignment vertical="center"/>
    </xf>
    <xf numFmtId="43" fontId="0" fillId="0" borderId="17" xfId="0" applyNumberFormat="1" applyBorder="1"/>
    <xf numFmtId="0" fontId="25" fillId="5" borderId="0" xfId="0" applyFont="1" applyFill="1" applyAlignment="1">
      <alignment horizontal="center"/>
    </xf>
    <xf numFmtId="0" fontId="14" fillId="0" borderId="19" xfId="0" applyFont="1" applyBorder="1" applyAlignment="1">
      <alignment horizontal="center"/>
    </xf>
    <xf numFmtId="0" fontId="0" fillId="0" borderId="19" xfId="0" applyBorder="1" applyAlignment="1">
      <alignment horizontal="center"/>
    </xf>
    <xf numFmtId="0" fontId="0" fillId="0" borderId="0" xfId="0" applyAlignment="1">
      <alignment horizontal="left"/>
    </xf>
    <xf numFmtId="0" fontId="0" fillId="10" borderId="0" xfId="0" applyFill="1" applyAlignment="1">
      <alignment horizontal="center"/>
    </xf>
    <xf numFmtId="0" fontId="25" fillId="5" borderId="22" xfId="0" applyFont="1" applyFill="1" applyBorder="1" applyAlignment="1">
      <alignment horizontal="center"/>
    </xf>
    <xf numFmtId="0" fontId="15" fillId="8" borderId="0" xfId="0" applyFont="1" applyFill="1" applyAlignment="1">
      <alignment horizontal="center"/>
    </xf>
    <xf numFmtId="0" fontId="13" fillId="8" borderId="0" xfId="0" applyFont="1" applyFill="1"/>
    <xf numFmtId="0" fontId="15" fillId="10" borderId="0" xfId="0" applyFont="1" applyFill="1" applyAlignment="1">
      <alignment horizontal="center"/>
    </xf>
    <xf numFmtId="0" fontId="14" fillId="28" borderId="19" xfId="0" applyFont="1" applyFill="1" applyBorder="1" applyAlignment="1">
      <alignment horizontal="center"/>
    </xf>
    <xf numFmtId="0" fontId="14" fillId="28" borderId="0" xfId="0" applyFont="1" applyFill="1"/>
    <xf numFmtId="0" fontId="0" fillId="28" borderId="0" xfId="0" applyFill="1"/>
    <xf numFmtId="0" fontId="25" fillId="5" borderId="0" xfId="0" applyFont="1" applyFill="1" applyAlignment="1">
      <alignment horizontal="center" vertical="center"/>
    </xf>
    <xf numFmtId="0" fontId="25" fillId="5" borderId="0" xfId="0" applyFont="1" applyFill="1" applyAlignment="1">
      <alignment horizontal="center" vertical="center" wrapText="1"/>
    </xf>
    <xf numFmtId="0" fontId="14" fillId="28" borderId="0" xfId="0" applyFont="1" applyFill="1" applyAlignment="1">
      <alignment horizontal="right"/>
    </xf>
    <xf numFmtId="0" fontId="15" fillId="8" borderId="0" xfId="0" applyFont="1" applyFill="1"/>
    <xf numFmtId="0" fontId="14" fillId="0" borderId="24" xfId="0" applyFont="1" applyBorder="1" applyAlignment="1">
      <alignment horizontal="center"/>
    </xf>
    <xf numFmtId="0" fontId="49" fillId="2" borderId="0" xfId="0" applyFont="1" applyFill="1" applyAlignment="1">
      <alignment horizontal="left" vertical="center"/>
    </xf>
    <xf numFmtId="0" fontId="14" fillId="7" borderId="0" xfId="0" applyFont="1" applyFill="1" applyAlignment="1">
      <alignment horizontal="right"/>
    </xf>
    <xf numFmtId="0" fontId="14" fillId="7" borderId="19" xfId="0" applyFont="1" applyFill="1" applyBorder="1" applyAlignment="1">
      <alignment horizontal="center"/>
    </xf>
    <xf numFmtId="0" fontId="14" fillId="7" borderId="0" xfId="0" applyFont="1" applyFill="1"/>
    <xf numFmtId="0" fontId="0" fillId="7" borderId="0" xfId="0" applyFill="1"/>
    <xf numFmtId="0" fontId="14" fillId="10" borderId="0" xfId="0" applyFont="1" applyFill="1" applyAlignment="1">
      <alignment horizontal="left"/>
    </xf>
    <xf numFmtId="0" fontId="49" fillId="38" borderId="44" xfId="0" applyFont="1" applyFill="1" applyBorder="1" applyAlignment="1">
      <alignment horizontal="center" vertical="center"/>
    </xf>
    <xf numFmtId="0" fontId="49" fillId="38" borderId="25" xfId="0" applyFont="1" applyFill="1" applyBorder="1" applyAlignment="1">
      <alignment horizontal="center" vertical="center"/>
    </xf>
    <xf numFmtId="4" fontId="49" fillId="38" borderId="25" xfId="0" applyNumberFormat="1" applyFont="1" applyFill="1" applyBorder="1" applyAlignment="1">
      <alignment horizontal="center" vertical="center"/>
    </xf>
    <xf numFmtId="0" fontId="14" fillId="8" borderId="0" xfId="0" applyFont="1" applyFill="1" applyAlignment="1">
      <alignment horizontal="center"/>
    </xf>
    <xf numFmtId="0" fontId="42" fillId="0" borderId="2" xfId="68" applyFont="1" applyBorder="1" applyAlignment="1" applyProtection="1">
      <alignment horizontal="center" vertical="center" wrapText="1"/>
      <protection locked="0"/>
    </xf>
    <xf numFmtId="0" fontId="14" fillId="0" borderId="1" xfId="0" applyFont="1" applyBorder="1" applyAlignment="1">
      <alignment horizontal="center" vertical="center" wrapText="1"/>
    </xf>
    <xf numFmtId="0" fontId="14" fillId="6" borderId="0" xfId="0" applyFont="1" applyFill="1" applyAlignment="1">
      <alignment horizontal="center"/>
    </xf>
    <xf numFmtId="0" fontId="50" fillId="8" borderId="0" xfId="0" applyFont="1" applyFill="1" applyAlignment="1">
      <alignment horizontal="center" vertical="center"/>
    </xf>
    <xf numFmtId="0" fontId="50" fillId="8" borderId="0" xfId="0" applyFont="1" applyFill="1" applyAlignment="1">
      <alignment vertical="center"/>
    </xf>
    <xf numFmtId="0" fontId="51" fillId="8" borderId="0" xfId="0" applyFont="1" applyFill="1" applyAlignment="1">
      <alignment vertical="center"/>
    </xf>
    <xf numFmtId="14" fontId="14" fillId="6" borderId="0" xfId="0" applyNumberFormat="1" applyFont="1" applyFill="1"/>
    <xf numFmtId="0" fontId="14" fillId="6" borderId="15" xfId="0" applyFont="1" applyFill="1" applyBorder="1" applyAlignment="1">
      <alignment horizontal="center"/>
    </xf>
    <xf numFmtId="0" fontId="0" fillId="6" borderId="7" xfId="0" applyFill="1" applyBorder="1"/>
    <xf numFmtId="0" fontId="0" fillId="6" borderId="9" xfId="0" applyFill="1" applyBorder="1"/>
    <xf numFmtId="0" fontId="14" fillId="6" borderId="16" xfId="0" applyFont="1" applyFill="1" applyBorder="1" applyAlignment="1">
      <alignment horizontal="center"/>
    </xf>
    <xf numFmtId="0" fontId="14" fillId="6" borderId="0" xfId="0" applyFont="1" applyFill="1"/>
    <xf numFmtId="0" fontId="0" fillId="6" borderId="17" xfId="0" applyFill="1" applyBorder="1"/>
    <xf numFmtId="0" fontId="14" fillId="6" borderId="12" xfId="0" applyFont="1" applyFill="1" applyBorder="1" applyAlignment="1">
      <alignment horizontal="center"/>
    </xf>
    <xf numFmtId="0" fontId="0" fillId="6" borderId="18" xfId="0" applyFill="1" applyBorder="1"/>
    <xf numFmtId="0" fontId="14" fillId="39" borderId="0" xfId="0" applyFont="1" applyFill="1" applyAlignment="1">
      <alignment horizontal="center"/>
    </xf>
    <xf numFmtId="0" fontId="14" fillId="39" borderId="0" xfId="0" applyFont="1" applyFill="1"/>
    <xf numFmtId="0" fontId="0" fillId="39" borderId="0" xfId="0" applyFill="1"/>
    <xf numFmtId="0" fontId="14" fillId="6" borderId="0" xfId="0" applyFont="1" applyFill="1" applyAlignment="1">
      <alignment horizontal="center" vertical="center"/>
    </xf>
    <xf numFmtId="0" fontId="0" fillId="6" borderId="0" xfId="0" applyFill="1" applyAlignment="1">
      <alignment vertical="center"/>
    </xf>
    <xf numFmtId="0" fontId="0" fillId="10" borderId="0" xfId="0" applyFill="1"/>
    <xf numFmtId="0" fontId="14" fillId="28" borderId="0" xfId="0" applyFont="1" applyFill="1" applyAlignment="1">
      <alignment horizontal="center"/>
    </xf>
    <xf numFmtId="0" fontId="14" fillId="38" borderId="0" xfId="0" applyFont="1" applyFill="1" applyAlignment="1">
      <alignment horizontal="center"/>
    </xf>
    <xf numFmtId="0" fontId="14" fillId="38" borderId="0" xfId="0" applyFont="1" applyFill="1"/>
    <xf numFmtId="0" fontId="0" fillId="38" borderId="0" xfId="0" applyFill="1"/>
    <xf numFmtId="0" fontId="52" fillId="6" borderId="0" xfId="0" applyFont="1" applyFill="1" applyAlignment="1">
      <alignment horizontal="center" vertical="center"/>
    </xf>
    <xf numFmtId="0" fontId="14" fillId="40" borderId="15" xfId="0" applyFont="1" applyFill="1" applyBorder="1" applyAlignment="1">
      <alignment horizontal="center"/>
    </xf>
    <xf numFmtId="0" fontId="0" fillId="40" borderId="7" xfId="0" applyFill="1" applyBorder="1"/>
    <xf numFmtId="0" fontId="0" fillId="40" borderId="9" xfId="0" applyFill="1" applyBorder="1"/>
    <xf numFmtId="0" fontId="14" fillId="40" borderId="16" xfId="0" applyFont="1" applyFill="1" applyBorder="1" applyAlignment="1">
      <alignment horizontal="center"/>
    </xf>
    <xf numFmtId="0" fontId="14" fillId="40" borderId="0" xfId="0" applyFont="1" applyFill="1"/>
    <xf numFmtId="0" fontId="0" fillId="40" borderId="0" xfId="0" applyFill="1"/>
    <xf numFmtId="0" fontId="0" fillId="40" borderId="17" xfId="0" applyFill="1" applyBorder="1"/>
    <xf numFmtId="0" fontId="14" fillId="40" borderId="12" xfId="0" applyFont="1" applyFill="1" applyBorder="1" applyAlignment="1">
      <alignment horizontal="center"/>
    </xf>
    <xf numFmtId="0" fontId="0" fillId="40" borderId="13" xfId="0" applyFill="1" applyBorder="1"/>
    <xf numFmtId="0" fontId="0" fillId="40" borderId="18" xfId="0" applyFill="1" applyBorder="1"/>
    <xf numFmtId="0" fontId="0" fillId="6" borderId="0" xfId="0" applyFill="1" applyAlignment="1">
      <alignment vertical="center" wrapText="1"/>
    </xf>
    <xf numFmtId="0" fontId="0" fillId="0" borderId="0" xfId="0" applyAlignment="1">
      <alignment vertical="center" wrapText="1"/>
    </xf>
    <xf numFmtId="0" fontId="40" fillId="7" borderId="41" xfId="0" applyFont="1" applyFill="1" applyBorder="1" applyAlignment="1">
      <alignment horizontal="center" vertical="center" wrapText="1"/>
    </xf>
    <xf numFmtId="0" fontId="40" fillId="7" borderId="42" xfId="0" applyFont="1" applyFill="1" applyBorder="1" applyAlignment="1">
      <alignment horizontal="center" vertical="center"/>
    </xf>
    <xf numFmtId="4" fontId="40" fillId="7" borderId="42" xfId="0" applyNumberFormat="1" applyFont="1" applyFill="1" applyBorder="1" applyAlignment="1">
      <alignment horizontal="center" vertical="center"/>
    </xf>
    <xf numFmtId="0" fontId="40" fillId="7" borderId="44" xfId="0" applyFont="1" applyFill="1" applyBorder="1" applyAlignment="1">
      <alignment horizontal="center" vertical="center"/>
    </xf>
    <xf numFmtId="0" fontId="40" fillId="7" borderId="25" xfId="0" applyFont="1" applyFill="1" applyBorder="1" applyAlignment="1">
      <alignment horizontal="center" vertical="center"/>
    </xf>
    <xf numFmtId="4" fontId="40" fillId="7" borderId="25" xfId="0" applyNumberFormat="1" applyFont="1" applyFill="1" applyBorder="1" applyAlignment="1">
      <alignment horizontal="center" vertical="center"/>
    </xf>
    <xf numFmtId="0" fontId="2" fillId="2" borderId="3" xfId="2" applyFill="1" applyBorder="1" applyAlignment="1">
      <alignment horizontal="center" vertical="center" wrapText="1"/>
    </xf>
    <xf numFmtId="0" fontId="2" fillId="2" borderId="4" xfId="2" applyFill="1" applyBorder="1" applyAlignment="1">
      <alignment horizontal="center" vertical="center" wrapText="1"/>
    </xf>
    <xf numFmtId="0" fontId="2" fillId="2" borderId="5" xfId="2" applyFill="1" applyBorder="1" applyAlignment="1">
      <alignment horizontal="center" vertical="center" wrapText="1"/>
    </xf>
    <xf numFmtId="0" fontId="40" fillId="8" borderId="41" xfId="0" applyFont="1" applyFill="1" applyBorder="1" applyAlignment="1">
      <alignment horizontal="center" vertical="center" wrapText="1"/>
    </xf>
    <xf numFmtId="0" fontId="40" fillId="8" borderId="42" xfId="0" applyFont="1" applyFill="1" applyBorder="1" applyAlignment="1">
      <alignment horizontal="center" vertical="center"/>
    </xf>
    <xf numFmtId="4" fontId="40" fillId="8" borderId="42" xfId="0" applyNumberFormat="1" applyFont="1" applyFill="1" applyBorder="1" applyAlignment="1">
      <alignment horizontal="center" vertical="center"/>
    </xf>
    <xf numFmtId="0" fontId="40" fillId="8" borderId="44" xfId="0" applyFont="1" applyFill="1" applyBorder="1" applyAlignment="1">
      <alignment horizontal="center" vertical="center"/>
    </xf>
    <xf numFmtId="0" fontId="40" fillId="8" borderId="25" xfId="0" applyFont="1" applyFill="1" applyBorder="1" applyAlignment="1">
      <alignment horizontal="center" vertical="center"/>
    </xf>
    <xf numFmtId="4" fontId="40" fillId="8" borderId="25" xfId="0" applyNumberFormat="1" applyFont="1" applyFill="1" applyBorder="1" applyAlignment="1">
      <alignment horizontal="center" vertical="center"/>
    </xf>
    <xf numFmtId="0" fontId="38" fillId="6" borderId="0" xfId="0" applyFont="1" applyFill="1" applyAlignment="1">
      <alignment vertical="center"/>
    </xf>
    <xf numFmtId="0" fontId="14" fillId="6" borderId="0" xfId="0" applyFont="1" applyFill="1" applyAlignment="1">
      <alignment vertical="center"/>
    </xf>
    <xf numFmtId="0" fontId="20" fillId="6" borderId="0" xfId="0" applyFont="1" applyFill="1"/>
    <xf numFmtId="0" fontId="40" fillId="6" borderId="0" xfId="0" applyFont="1" applyFill="1" applyAlignment="1">
      <alignment vertical="center"/>
    </xf>
    <xf numFmtId="2" fontId="14" fillId="0" borderId="0" xfId="0" applyNumberFormat="1" applyFont="1" applyAlignment="1">
      <alignment horizontal="center"/>
    </xf>
    <xf numFmtId="0" fontId="0" fillId="8" borderId="0" xfId="0" applyFill="1"/>
    <xf numFmtId="2" fontId="14" fillId="8" borderId="19" xfId="0" applyNumberFormat="1" applyFont="1" applyFill="1" applyBorder="1" applyAlignment="1">
      <alignment horizontal="center"/>
    </xf>
    <xf numFmtId="0" fontId="3" fillId="11" borderId="59" xfId="2" applyFont="1" applyFill="1" applyBorder="1" applyAlignment="1">
      <alignment horizontal="center" vertical="center"/>
    </xf>
    <xf numFmtId="0" fontId="14" fillId="0" borderId="28" xfId="0" applyFont="1" applyBorder="1" applyAlignment="1">
      <alignment vertical="center" wrapText="1"/>
    </xf>
    <xf numFmtId="0" fontId="14" fillId="0" borderId="56" xfId="0" applyFont="1" applyBorder="1" applyAlignment="1">
      <alignment vertical="center" wrapText="1"/>
    </xf>
    <xf numFmtId="0" fontId="14" fillId="0" borderId="59" xfId="0" applyFont="1" applyBorder="1" applyAlignment="1">
      <alignment vertical="center" wrapText="1"/>
    </xf>
    <xf numFmtId="0" fontId="3" fillId="33" borderId="62" xfId="2" applyFont="1" applyFill="1" applyBorder="1" applyAlignment="1">
      <alignment vertical="center"/>
    </xf>
    <xf numFmtId="0" fontId="41" fillId="0" borderId="1" xfId="63" applyNumberFormat="1" applyFont="1" applyFill="1" applyBorder="1" applyAlignment="1" applyProtection="1">
      <alignment horizontal="center" vertical="center" wrapText="1"/>
      <protection locked="0"/>
    </xf>
    <xf numFmtId="0" fontId="43" fillId="10" borderId="15" xfId="68" applyFont="1" applyFill="1" applyBorder="1" applyAlignment="1" applyProtection="1">
      <alignment horizontal="center" vertical="center" wrapText="1"/>
      <protection locked="0"/>
    </xf>
    <xf numFmtId="0" fontId="43" fillId="10" borderId="7" xfId="68" applyFont="1" applyFill="1" applyBorder="1" applyAlignment="1" applyProtection="1">
      <alignment horizontal="center" vertical="center" wrapText="1"/>
      <protection locked="0"/>
    </xf>
    <xf numFmtId="0" fontId="43" fillId="10" borderId="9" xfId="68" applyFont="1" applyFill="1" applyBorder="1" applyAlignment="1" applyProtection="1">
      <alignment horizontal="center" vertical="center" wrapText="1"/>
      <protection locked="0"/>
    </xf>
    <xf numFmtId="0" fontId="43" fillId="10" borderId="16" xfId="68" applyFont="1" applyFill="1" applyBorder="1" applyAlignment="1" applyProtection="1">
      <alignment horizontal="center" vertical="center" wrapText="1"/>
      <protection locked="0"/>
    </xf>
    <xf numFmtId="0" fontId="43" fillId="10" borderId="0" xfId="68" applyFont="1" applyFill="1" applyAlignment="1" applyProtection="1">
      <alignment horizontal="center" vertical="center" wrapText="1"/>
      <protection locked="0"/>
    </xf>
    <xf numFmtId="0" fontId="43" fillId="10" borderId="17" xfId="68" applyFont="1" applyFill="1" applyBorder="1" applyAlignment="1" applyProtection="1">
      <alignment horizontal="center" vertical="center" wrapText="1"/>
      <protection locked="0"/>
    </xf>
    <xf numFmtId="0" fontId="43" fillId="10" borderId="12" xfId="68" applyFont="1" applyFill="1" applyBorder="1" applyAlignment="1" applyProtection="1">
      <alignment horizontal="center" vertical="center" wrapText="1"/>
      <protection locked="0"/>
    </xf>
    <xf numFmtId="0" fontId="43" fillId="10" borderId="13" xfId="68" applyFont="1" applyFill="1" applyBorder="1" applyAlignment="1" applyProtection="1">
      <alignment horizontal="center" vertical="center" wrapText="1"/>
      <protection locked="0"/>
    </xf>
    <xf numFmtId="0" fontId="43" fillId="10" borderId="18" xfId="68" applyFont="1" applyFill="1" applyBorder="1" applyAlignment="1" applyProtection="1">
      <alignment horizontal="center" vertical="center" wrapText="1"/>
      <protection locked="0"/>
    </xf>
    <xf numFmtId="0" fontId="43" fillId="28" borderId="15" xfId="68" applyFont="1" applyFill="1" applyBorder="1" applyAlignment="1" applyProtection="1">
      <alignment horizontal="center" vertical="center" wrapText="1"/>
      <protection locked="0"/>
    </xf>
    <xf numFmtId="0" fontId="43" fillId="28" borderId="7" xfId="68" applyFont="1" applyFill="1" applyBorder="1" applyAlignment="1" applyProtection="1">
      <alignment horizontal="center" vertical="center" wrapText="1"/>
      <protection locked="0"/>
    </xf>
    <xf numFmtId="0" fontId="43" fillId="28" borderId="9" xfId="68" applyFont="1" applyFill="1" applyBorder="1" applyAlignment="1" applyProtection="1">
      <alignment horizontal="center" vertical="center" wrapText="1"/>
      <protection locked="0"/>
    </xf>
    <xf numFmtId="0" fontId="43" fillId="28" borderId="16" xfId="68" applyFont="1" applyFill="1" applyBorder="1" applyAlignment="1" applyProtection="1">
      <alignment horizontal="center" vertical="center" wrapText="1"/>
      <protection locked="0"/>
    </xf>
    <xf numFmtId="0" fontId="43" fillId="28" borderId="0" xfId="68" applyFont="1" applyFill="1" applyAlignment="1" applyProtection="1">
      <alignment horizontal="center" vertical="center" wrapText="1"/>
      <protection locked="0"/>
    </xf>
    <xf numFmtId="0" fontId="43" fillId="28" borderId="17" xfId="68" applyFont="1" applyFill="1" applyBorder="1" applyAlignment="1" applyProtection="1">
      <alignment horizontal="center" vertical="center" wrapText="1"/>
      <protection locked="0"/>
    </xf>
    <xf numFmtId="0" fontId="43" fillId="28" borderId="12" xfId="68" applyFont="1" applyFill="1" applyBorder="1" applyAlignment="1" applyProtection="1">
      <alignment horizontal="center" vertical="center" wrapText="1"/>
      <protection locked="0"/>
    </xf>
    <xf numFmtId="0" fontId="43" fillId="28" borderId="13" xfId="68" applyFont="1" applyFill="1" applyBorder="1" applyAlignment="1" applyProtection="1">
      <alignment horizontal="center" vertical="center" wrapText="1"/>
      <protection locked="0"/>
    </xf>
    <xf numFmtId="0" fontId="43" fillId="28" borderId="18" xfId="68" applyFont="1" applyFill="1" applyBorder="1" applyAlignment="1" applyProtection="1">
      <alignment horizontal="center" vertical="center" wrapText="1"/>
      <protection locked="0"/>
    </xf>
    <xf numFmtId="0" fontId="6" fillId="0" borderId="20" xfId="43" applyFont="1" applyBorder="1" applyAlignment="1">
      <alignment horizontal="center" vertical="center"/>
    </xf>
    <xf numFmtId="0" fontId="6" fillId="0" borderId="14" xfId="43" applyFont="1" applyBorder="1" applyAlignment="1">
      <alignment horizontal="center" vertical="center"/>
    </xf>
    <xf numFmtId="0" fontId="34" fillId="0" borderId="7" xfId="43" applyFont="1" applyBorder="1" applyAlignment="1">
      <alignment horizontal="center" vertical="center" wrapText="1"/>
    </xf>
    <xf numFmtId="0" fontId="34" fillId="0" borderId="9" xfId="43" applyFont="1" applyBorder="1" applyAlignment="1">
      <alignment horizontal="center" vertical="center" wrapText="1"/>
    </xf>
    <xf numFmtId="0" fontId="34" fillId="0" borderId="13" xfId="43" applyFont="1" applyBorder="1" applyAlignment="1">
      <alignment horizontal="center" vertical="center" wrapText="1"/>
    </xf>
    <xf numFmtId="0" fontId="34" fillId="0" borderId="18" xfId="43" applyFont="1" applyBorder="1" applyAlignment="1">
      <alignment horizontal="center" vertical="center" wrapText="1"/>
    </xf>
    <xf numFmtId="0" fontId="2" fillId="2" borderId="3" xfId="2" applyFill="1" applyBorder="1" applyAlignment="1">
      <alignment horizontal="center" vertical="center" wrapText="1"/>
    </xf>
    <xf numFmtId="0" fontId="2" fillId="2" borderId="4" xfId="2" applyFill="1" applyBorder="1" applyAlignment="1">
      <alignment horizontal="center" vertical="center" wrapText="1"/>
    </xf>
    <xf numFmtId="0" fontId="2" fillId="2" borderId="5" xfId="2" applyFill="1" applyBorder="1" applyAlignment="1">
      <alignment horizontal="center" vertical="center" wrapText="1"/>
    </xf>
    <xf numFmtId="3" fontId="2" fillId="2" borderId="3" xfId="2" applyNumberFormat="1" applyFill="1" applyBorder="1" applyAlignment="1">
      <alignment horizontal="center" vertical="center" wrapText="1"/>
    </xf>
    <xf numFmtId="3" fontId="2" fillId="2" borderId="4" xfId="2" applyNumberFormat="1" applyFill="1" applyBorder="1" applyAlignment="1">
      <alignment horizontal="center" vertical="center" wrapText="1"/>
    </xf>
    <xf numFmtId="3" fontId="2" fillId="2" borderId="5" xfId="2" applyNumberFormat="1" applyFill="1" applyBorder="1" applyAlignment="1">
      <alignment horizontal="center" vertical="center" wrapText="1"/>
    </xf>
    <xf numFmtId="0" fontId="3" fillId="2" borderId="3" xfId="2" applyFont="1" applyFill="1" applyBorder="1" applyAlignment="1">
      <alignment horizontal="center" vertical="center" wrapText="1"/>
    </xf>
    <xf numFmtId="0" fontId="3" fillId="2" borderId="4" xfId="2" applyFont="1" applyFill="1" applyBorder="1" applyAlignment="1">
      <alignment horizontal="center" vertical="center" wrapText="1"/>
    </xf>
    <xf numFmtId="0" fontId="3" fillId="2" borderId="5" xfId="2" applyFont="1" applyFill="1" applyBorder="1" applyAlignment="1">
      <alignment horizontal="center" vertical="center" wrapText="1"/>
    </xf>
    <xf numFmtId="0" fontId="29" fillId="2" borderId="3" xfId="1" applyFont="1" applyFill="1" applyBorder="1" applyAlignment="1">
      <alignment horizontal="center" vertical="center" wrapText="1"/>
    </xf>
    <xf numFmtId="0" fontId="29" fillId="2" borderId="4" xfId="1" applyFont="1" applyFill="1" applyBorder="1" applyAlignment="1">
      <alignment horizontal="center" vertical="center" wrapText="1"/>
    </xf>
    <xf numFmtId="0" fontId="29" fillId="2" borderId="5" xfId="1" applyFont="1" applyFill="1" applyBorder="1" applyAlignment="1">
      <alignment horizontal="center" vertical="center" wrapText="1"/>
    </xf>
    <xf numFmtId="0" fontId="33" fillId="0" borderId="1" xfId="0" applyFont="1" applyBorder="1" applyAlignment="1">
      <alignment horizontal="center" vertical="center" wrapText="1"/>
    </xf>
    <xf numFmtId="0" fontId="41" fillId="0" borderId="6" xfId="68" applyFont="1" applyBorder="1" applyAlignment="1" applyProtection="1">
      <alignment horizontal="center" vertical="center" wrapText="1"/>
      <protection locked="0"/>
    </xf>
    <xf numFmtId="0" fontId="41" fillId="0" borderId="2" xfId="68" applyFont="1" applyBorder="1" applyAlignment="1" applyProtection="1">
      <alignment horizontal="center" vertical="center" wrapText="1"/>
      <protection locked="0"/>
    </xf>
    <xf numFmtId="0" fontId="41" fillId="0" borderId="6" xfId="0" applyFont="1" applyBorder="1" applyAlignment="1">
      <alignment horizontal="center" vertical="center"/>
    </xf>
    <xf numFmtId="0" fontId="41" fillId="0" borderId="2" xfId="0" applyFont="1" applyBorder="1" applyAlignment="1">
      <alignment horizontal="center" vertical="center"/>
    </xf>
    <xf numFmtId="0" fontId="41" fillId="0" borderId="6" xfId="68" applyFont="1" applyBorder="1" applyAlignment="1" applyProtection="1">
      <alignment horizontal="center" vertical="center"/>
      <protection locked="0"/>
    </xf>
    <xf numFmtId="0" fontId="41" fillId="0" borderId="27" xfId="68" applyFont="1" applyBorder="1" applyAlignment="1" applyProtection="1">
      <alignment horizontal="center" vertical="center"/>
      <protection locked="0"/>
    </xf>
    <xf numFmtId="0" fontId="41" fillId="0" borderId="2" xfId="68" applyFont="1" applyBorder="1" applyAlignment="1" applyProtection="1">
      <alignment horizontal="center" vertical="center"/>
      <protection locked="0"/>
    </xf>
    <xf numFmtId="0" fontId="41" fillId="0" borderId="27" xfId="0" applyFont="1" applyBorder="1" applyAlignment="1">
      <alignment horizontal="center" vertical="center"/>
    </xf>
    <xf numFmtId="0" fontId="41" fillId="0" borderId="6" xfId="63" applyNumberFormat="1" applyFont="1" applyFill="1" applyBorder="1" applyAlignment="1">
      <alignment horizontal="center" vertical="center"/>
    </xf>
    <xf numFmtId="0" fontId="41" fillId="0" borderId="27" xfId="63" applyNumberFormat="1" applyFont="1" applyFill="1" applyBorder="1" applyAlignment="1">
      <alignment horizontal="center" vertical="center"/>
    </xf>
    <xf numFmtId="0" fontId="41" fillId="0" borderId="2" xfId="63" applyNumberFormat="1" applyFont="1" applyFill="1" applyBorder="1" applyAlignment="1">
      <alignment horizontal="center" vertical="center"/>
    </xf>
    <xf numFmtId="2" fontId="41" fillId="0" borderId="6" xfId="63" applyNumberFormat="1" applyFont="1" applyFill="1" applyBorder="1" applyAlignment="1">
      <alignment horizontal="center" vertical="center"/>
    </xf>
    <xf numFmtId="2" fontId="41" fillId="0" borderId="2" xfId="63" applyNumberFormat="1" applyFont="1" applyFill="1" applyBorder="1" applyAlignment="1">
      <alignment horizontal="center" vertical="center"/>
    </xf>
    <xf numFmtId="2" fontId="41" fillId="0" borderId="6" xfId="0" applyNumberFormat="1" applyFont="1" applyBorder="1" applyAlignment="1">
      <alignment horizontal="center" vertical="center"/>
    </xf>
    <xf numFmtId="2" fontId="41" fillId="0" borderId="2" xfId="0" applyNumberFormat="1" applyFont="1" applyBorder="1" applyAlignment="1">
      <alignment horizontal="center" vertical="center"/>
    </xf>
    <xf numFmtId="0" fontId="5" fillId="5" borderId="15" xfId="2" applyFont="1" applyFill="1" applyBorder="1" applyAlignment="1">
      <alignment horizontal="center" vertical="center" wrapText="1"/>
    </xf>
    <xf numFmtId="0" fontId="5" fillId="5" borderId="7" xfId="2" applyFont="1" applyFill="1" applyBorder="1" applyAlignment="1">
      <alignment horizontal="center" vertical="center" wrapText="1"/>
    </xf>
    <xf numFmtId="0" fontId="5" fillId="5" borderId="9" xfId="2" applyFont="1" applyFill="1" applyBorder="1" applyAlignment="1">
      <alignment horizontal="center" vertical="center" wrapText="1"/>
    </xf>
    <xf numFmtId="0" fontId="5" fillId="5" borderId="16" xfId="2" applyFont="1" applyFill="1" applyBorder="1" applyAlignment="1">
      <alignment horizontal="center" vertical="center" wrapText="1"/>
    </xf>
    <xf numFmtId="0" fontId="5" fillId="5" borderId="0" xfId="2" applyFont="1" applyFill="1" applyAlignment="1">
      <alignment horizontal="center" vertical="center" wrapText="1"/>
    </xf>
    <xf numFmtId="0" fontId="5" fillId="5" borderId="17" xfId="2" applyFont="1" applyFill="1" applyBorder="1" applyAlignment="1">
      <alignment horizontal="center" vertical="center" wrapText="1"/>
    </xf>
    <xf numFmtId="0" fontId="5" fillId="5" borderId="12" xfId="2" applyFont="1" applyFill="1" applyBorder="1" applyAlignment="1">
      <alignment horizontal="center" vertical="center" wrapText="1"/>
    </xf>
    <xf numFmtId="0" fontId="5" fillId="5" borderId="13" xfId="2" applyFont="1" applyFill="1" applyBorder="1" applyAlignment="1">
      <alignment horizontal="center" vertical="center" wrapText="1"/>
    </xf>
    <xf numFmtId="0" fontId="5" fillId="5" borderId="18" xfId="2" applyFont="1" applyFill="1" applyBorder="1" applyAlignment="1">
      <alignment horizontal="center" vertical="center" wrapText="1"/>
    </xf>
    <xf numFmtId="43" fontId="41" fillId="0" borderId="55" xfId="0" applyNumberFormat="1" applyFont="1" applyBorder="1" applyAlignment="1">
      <alignment horizontal="center" vertical="center"/>
    </xf>
    <xf numFmtId="43" fontId="41" fillId="0" borderId="58" xfId="0" applyNumberFormat="1" applyFont="1" applyBorder="1" applyAlignment="1">
      <alignment horizontal="center" vertical="center"/>
    </xf>
    <xf numFmtId="43" fontId="41" fillId="0" borderId="57" xfId="0" applyNumberFormat="1" applyFont="1" applyBorder="1" applyAlignment="1">
      <alignment horizontal="center" vertical="center"/>
    </xf>
    <xf numFmtId="2" fontId="41" fillId="0" borderId="27" xfId="63" applyNumberFormat="1" applyFont="1" applyFill="1" applyBorder="1" applyAlignment="1">
      <alignment horizontal="center" vertical="center"/>
    </xf>
    <xf numFmtId="0" fontId="6" fillId="2" borderId="0" xfId="1" applyFont="1" applyFill="1" applyAlignment="1">
      <alignment horizontal="center"/>
    </xf>
    <xf numFmtId="0" fontId="6" fillId="0" borderId="0" xfId="1" applyFont="1" applyAlignment="1">
      <alignment horizontal="center"/>
    </xf>
    <xf numFmtId="0" fontId="14" fillId="0" borderId="6" xfId="0" applyFont="1" applyBorder="1" applyAlignment="1">
      <alignment horizontal="center" vertical="center" wrapText="1"/>
    </xf>
    <xf numFmtId="0" fontId="0" fillId="0" borderId="27" xfId="0" applyBorder="1" applyAlignment="1">
      <alignment horizontal="center" vertical="center" wrapText="1"/>
    </xf>
    <xf numFmtId="0" fontId="0" fillId="0" borderId="37" xfId="0" applyBorder="1" applyAlignment="1">
      <alignment horizontal="center" vertical="center" wrapText="1"/>
    </xf>
    <xf numFmtId="177" fontId="41" fillId="0" borderId="1" xfId="69" applyNumberFormat="1" applyFont="1" applyBorder="1" applyAlignment="1">
      <alignment horizontal="center" vertical="center"/>
    </xf>
    <xf numFmtId="177" fontId="41" fillId="0" borderId="25" xfId="69" applyNumberFormat="1" applyFont="1" applyBorder="1" applyAlignment="1">
      <alignment horizontal="center" vertical="center"/>
    </xf>
    <xf numFmtId="0" fontId="14" fillId="0" borderId="2" xfId="0" applyFont="1" applyBorder="1" applyAlignment="1">
      <alignment horizontal="center" vertical="center" wrapText="1"/>
    </xf>
    <xf numFmtId="2" fontId="41" fillId="0" borderId="1" xfId="0" applyNumberFormat="1" applyFont="1" applyBorder="1" applyAlignment="1">
      <alignment horizontal="center" vertical="center" wrapText="1"/>
    </xf>
    <xf numFmtId="0" fontId="3" fillId="2" borderId="3" xfId="1" applyFont="1" applyFill="1" applyBorder="1" applyAlignment="1">
      <alignment horizontal="center" vertical="center"/>
    </xf>
    <xf numFmtId="0" fontId="3" fillId="2" borderId="4" xfId="1" applyFont="1" applyFill="1" applyBorder="1" applyAlignment="1">
      <alignment horizontal="center" vertical="center"/>
    </xf>
    <xf numFmtId="0" fontId="3" fillId="2" borderId="5" xfId="1" applyFont="1" applyFill="1" applyBorder="1" applyAlignment="1">
      <alignment horizontal="center" vertical="center"/>
    </xf>
    <xf numFmtId="0" fontId="2" fillId="2" borderId="3" xfId="1" applyFill="1" applyBorder="1" applyAlignment="1">
      <alignment horizontal="center" vertical="center"/>
    </xf>
    <xf numFmtId="0" fontId="2" fillId="2" borderId="4" xfId="1" applyFill="1" applyBorder="1" applyAlignment="1">
      <alignment horizontal="center" vertical="center"/>
    </xf>
    <xf numFmtId="0" fontId="2" fillId="2" borderId="5" xfId="1" applyFill="1" applyBorder="1" applyAlignment="1">
      <alignment horizontal="center" vertical="center"/>
    </xf>
    <xf numFmtId="0" fontId="42" fillId="0" borderId="29" xfId="68" applyFont="1" applyBorder="1" applyAlignment="1" applyProtection="1">
      <alignment horizontal="center" vertical="center" wrapText="1"/>
      <protection locked="0"/>
    </xf>
    <xf numFmtId="0" fontId="42" fillId="0" borderId="30" xfId="68" applyFont="1" applyBorder="1" applyAlignment="1" applyProtection="1">
      <alignment horizontal="center" vertical="center" wrapText="1"/>
      <protection locked="0"/>
    </xf>
    <xf numFmtId="0" fontId="14" fillId="40" borderId="0" xfId="0" applyFont="1" applyFill="1" applyAlignment="1">
      <alignment horizontal="left" wrapText="1"/>
    </xf>
    <xf numFmtId="0" fontId="14" fillId="40" borderId="17" xfId="0" applyFont="1" applyFill="1" applyBorder="1" applyAlignment="1">
      <alignment horizontal="left" wrapText="1"/>
    </xf>
    <xf numFmtId="0" fontId="0" fillId="6" borderId="0" xfId="0" applyFill="1" applyAlignment="1">
      <alignment horizontal="left" vertical="center" wrapText="1"/>
    </xf>
    <xf numFmtId="0" fontId="14" fillId="6" borderId="0" xfId="0" applyFont="1" applyFill="1" applyAlignment="1">
      <alignment horizontal="left" wrapText="1"/>
    </xf>
    <xf numFmtId="0" fontId="14" fillId="6" borderId="17" xfId="0" applyFont="1" applyFill="1" applyBorder="1" applyAlignment="1">
      <alignment horizontal="left" wrapText="1"/>
    </xf>
    <xf numFmtId="0" fontId="0" fillId="6" borderId="17" xfId="0" applyFill="1" applyBorder="1" applyAlignment="1">
      <alignment horizontal="left" vertical="center" wrapText="1"/>
    </xf>
    <xf numFmtId="0" fontId="0" fillId="6" borderId="0" xfId="0" applyFill="1" applyAlignment="1">
      <alignment horizontal="left" wrapText="1"/>
    </xf>
    <xf numFmtId="0" fontId="41" fillId="0" borderId="6" xfId="0" applyFont="1" applyBorder="1" applyAlignment="1">
      <alignment horizontal="center" vertical="center" wrapText="1"/>
    </xf>
    <xf numFmtId="0" fontId="41" fillId="0" borderId="37" xfId="0" applyFont="1" applyBorder="1" applyAlignment="1">
      <alignment horizontal="center" vertical="center" wrapText="1"/>
    </xf>
    <xf numFmtId="0" fontId="41" fillId="0" borderId="6" xfId="63" applyNumberFormat="1" applyFont="1" applyFill="1" applyBorder="1" applyAlignment="1" applyProtection="1">
      <alignment horizontal="center" vertical="center" wrapText="1"/>
      <protection locked="0"/>
    </xf>
    <xf numFmtId="0" fontId="41" fillId="0" borderId="27" xfId="63" applyNumberFormat="1" applyFont="1" applyFill="1" applyBorder="1" applyAlignment="1" applyProtection="1">
      <alignment horizontal="center" vertical="center" wrapText="1"/>
      <protection locked="0"/>
    </xf>
    <xf numFmtId="0" fontId="41" fillId="0" borderId="2" xfId="63" applyNumberFormat="1" applyFont="1" applyFill="1" applyBorder="1" applyAlignment="1" applyProtection="1">
      <alignment horizontal="center" vertical="center" wrapText="1"/>
      <protection locked="0"/>
    </xf>
    <xf numFmtId="2" fontId="41" fillId="0" borderId="6" xfId="63" applyNumberFormat="1" applyFont="1" applyFill="1" applyBorder="1" applyAlignment="1" applyProtection="1">
      <alignment horizontal="center" vertical="center" wrapText="1"/>
      <protection locked="0"/>
    </xf>
    <xf numFmtId="2" fontId="41" fillId="0" borderId="27" xfId="63" applyNumberFormat="1" applyFont="1" applyFill="1" applyBorder="1" applyAlignment="1" applyProtection="1">
      <alignment horizontal="center" vertical="center" wrapText="1"/>
      <protection locked="0"/>
    </xf>
    <xf numFmtId="2" fontId="41" fillId="0" borderId="2" xfId="63" applyNumberFormat="1" applyFont="1" applyFill="1" applyBorder="1" applyAlignment="1" applyProtection="1">
      <alignment horizontal="center" vertical="center" wrapText="1"/>
      <protection locked="0"/>
    </xf>
    <xf numFmtId="0" fontId="34" fillId="0" borderId="15" xfId="43" applyFont="1" applyBorder="1" applyAlignment="1">
      <alignment horizontal="center" vertical="center" wrapText="1"/>
    </xf>
    <xf numFmtId="0" fontId="34" fillId="0" borderId="12" xfId="43" applyFont="1" applyBorder="1" applyAlignment="1">
      <alignment horizontal="center" vertical="center" wrapText="1"/>
    </xf>
    <xf numFmtId="0" fontId="14" fillId="0" borderId="28" xfId="0" applyFont="1" applyBorder="1" applyAlignment="1">
      <alignment horizontal="center" vertical="center" wrapText="1"/>
    </xf>
    <xf numFmtId="0" fontId="14" fillId="0" borderId="56" xfId="0" applyFont="1" applyBorder="1" applyAlignment="1">
      <alignment horizontal="center" vertical="center" wrapText="1"/>
    </xf>
    <xf numFmtId="0" fontId="14" fillId="0" borderId="59" xfId="0" applyFont="1" applyBorder="1" applyAlignment="1">
      <alignment horizontal="center" vertical="center" wrapText="1"/>
    </xf>
    <xf numFmtId="0" fontId="41" fillId="0" borderId="37" xfId="63" applyNumberFormat="1" applyFont="1" applyFill="1" applyBorder="1" applyAlignment="1" applyProtection="1">
      <alignment horizontal="center" vertical="center" wrapText="1"/>
      <protection locked="0"/>
    </xf>
    <xf numFmtId="2" fontId="41" fillId="0" borderId="6" xfId="63" applyNumberFormat="1" applyFont="1" applyFill="1" applyBorder="1" applyAlignment="1">
      <alignment horizontal="center" vertical="center" wrapText="1"/>
    </xf>
    <xf numFmtId="2" fontId="41" fillId="0" borderId="2" xfId="63" applyNumberFormat="1" applyFont="1" applyFill="1" applyBorder="1" applyAlignment="1">
      <alignment horizontal="center" vertical="center" wrapText="1"/>
    </xf>
    <xf numFmtId="2" fontId="41" fillId="0" borderId="6" xfId="0" applyNumberFormat="1" applyFont="1" applyBorder="1" applyAlignment="1">
      <alignment horizontal="center" vertical="center" wrapText="1"/>
    </xf>
    <xf numFmtId="2" fontId="41" fillId="0" borderId="2" xfId="0" applyNumberFormat="1" applyFont="1" applyBorder="1" applyAlignment="1">
      <alignment horizontal="center" vertical="center" wrapText="1"/>
    </xf>
    <xf numFmtId="0" fontId="42" fillId="0" borderId="6" xfId="68" applyFont="1" applyBorder="1" applyAlignment="1" applyProtection="1">
      <alignment horizontal="center" vertical="center" wrapText="1"/>
      <protection locked="0"/>
    </xf>
    <xf numFmtId="0" fontId="42" fillId="0" borderId="2" xfId="68" applyFont="1" applyBorder="1" applyAlignment="1" applyProtection="1">
      <alignment horizontal="center" vertical="center" wrapText="1"/>
      <protection locked="0"/>
    </xf>
    <xf numFmtId="177" fontId="41" fillId="0" borderId="55" xfId="69" applyNumberFormat="1" applyFont="1" applyBorder="1" applyAlignment="1">
      <alignment horizontal="center" vertical="center"/>
    </xf>
    <xf numFmtId="177" fontId="41" fillId="0" borderId="57" xfId="69" applyNumberFormat="1" applyFont="1" applyBorder="1" applyAlignment="1">
      <alignment horizontal="center" vertical="center"/>
    </xf>
    <xf numFmtId="177" fontId="41" fillId="0" borderId="60" xfId="69" applyNumberFormat="1" applyFont="1" applyBorder="1" applyAlignment="1">
      <alignment horizontal="center" vertical="center"/>
    </xf>
    <xf numFmtId="0" fontId="2" fillId="2" borderId="36" xfId="2" applyFill="1" applyBorder="1" applyAlignment="1">
      <alignment horizontal="center" vertical="center" wrapText="1"/>
    </xf>
    <xf numFmtId="0" fontId="29" fillId="33" borderId="29" xfId="1" applyFont="1" applyFill="1" applyBorder="1" applyAlignment="1">
      <alignment horizontal="center" vertical="center" wrapText="1"/>
    </xf>
    <xf numFmtId="0" fontId="29" fillId="33" borderId="63" xfId="1" applyFont="1" applyFill="1" applyBorder="1" applyAlignment="1">
      <alignment horizontal="center" vertical="center" wrapText="1"/>
    </xf>
    <xf numFmtId="0" fontId="29" fillId="33" borderId="64" xfId="1" applyFont="1" applyFill="1" applyBorder="1" applyAlignment="1">
      <alignment horizontal="center" vertical="center" wrapText="1"/>
    </xf>
    <xf numFmtId="0" fontId="3" fillId="2" borderId="36" xfId="2" applyFont="1" applyFill="1" applyBorder="1" applyAlignment="1">
      <alignment horizontal="center" vertical="center" wrapText="1"/>
    </xf>
    <xf numFmtId="3" fontId="2" fillId="2" borderId="36" xfId="2" applyNumberFormat="1" applyFill="1" applyBorder="1" applyAlignment="1">
      <alignment horizontal="center" vertical="center" wrapText="1"/>
    </xf>
    <xf numFmtId="0" fontId="3" fillId="2" borderId="32" xfId="1" applyFont="1" applyFill="1" applyBorder="1" applyAlignment="1">
      <alignment horizontal="center" vertical="center"/>
    </xf>
    <xf numFmtId="0" fontId="3" fillId="2" borderId="33" xfId="1" applyFont="1" applyFill="1" applyBorder="1" applyAlignment="1">
      <alignment horizontal="center" vertical="center"/>
    </xf>
    <xf numFmtId="0" fontId="3" fillId="2" borderId="34" xfId="1" applyFont="1" applyFill="1" applyBorder="1" applyAlignment="1">
      <alignment horizontal="center" vertical="center"/>
    </xf>
    <xf numFmtId="0" fontId="2" fillId="2" borderId="36" xfId="1" applyFill="1" applyBorder="1" applyAlignment="1">
      <alignment horizontal="center" vertical="center"/>
    </xf>
    <xf numFmtId="0" fontId="14" fillId="0" borderId="20" xfId="0" applyFont="1" applyBorder="1" applyAlignment="1">
      <alignment horizontal="center" vertical="center"/>
    </xf>
    <xf numFmtId="0" fontId="14" fillId="0" borderId="14" xfId="0" applyFont="1" applyBorder="1" applyAlignment="1">
      <alignment horizontal="center" vertical="center"/>
    </xf>
    <xf numFmtId="0" fontId="14" fillId="8" borderId="20" xfId="0" applyFont="1" applyFill="1" applyBorder="1" applyAlignment="1">
      <alignment horizontal="center" vertical="center" wrapText="1"/>
    </xf>
    <xf numFmtId="0" fontId="14" fillId="8" borderId="14" xfId="0" applyFont="1" applyFill="1" applyBorder="1" applyAlignment="1">
      <alignment horizontal="center" vertical="center" wrapText="1"/>
    </xf>
    <xf numFmtId="0" fontId="14" fillId="7" borderId="20" xfId="0" applyFont="1" applyFill="1" applyBorder="1" applyAlignment="1">
      <alignment horizontal="center" vertical="center" wrapText="1"/>
    </xf>
    <xf numFmtId="0" fontId="14" fillId="7" borderId="14" xfId="0" applyFont="1" applyFill="1" applyBorder="1" applyAlignment="1">
      <alignment horizontal="center" vertical="center" wrapText="1"/>
    </xf>
    <xf numFmtId="0" fontId="48" fillId="8" borderId="0" xfId="0" applyFont="1" applyFill="1" applyAlignment="1">
      <alignment horizontal="center" vertical="center"/>
    </xf>
    <xf numFmtId="0" fontId="44" fillId="36" borderId="49" xfId="0" applyFont="1" applyFill="1" applyBorder="1" applyAlignment="1">
      <alignment horizontal="center" vertical="center" wrapText="1"/>
    </xf>
    <xf numFmtId="0" fontId="44" fillId="36" borderId="50" xfId="0" applyFont="1" applyFill="1" applyBorder="1" applyAlignment="1">
      <alignment horizontal="center" vertical="center" wrapText="1"/>
    </xf>
    <xf numFmtId="0" fontId="47" fillId="0" borderId="47" xfId="0" applyFont="1" applyBorder="1" applyAlignment="1">
      <alignment horizontal="center" vertical="center" wrapText="1"/>
    </xf>
    <xf numFmtId="0" fontId="47" fillId="0" borderId="48" xfId="0" applyFont="1" applyBorder="1" applyAlignment="1">
      <alignment horizontal="center" vertical="center" wrapText="1"/>
    </xf>
    <xf numFmtId="0" fontId="47" fillId="0" borderId="51" xfId="0" applyFont="1" applyBorder="1" applyAlignment="1">
      <alignment horizontal="center" vertical="center" wrapText="1"/>
    </xf>
    <xf numFmtId="0" fontId="44" fillId="0" borderId="48" xfId="0" applyFont="1" applyBorder="1" applyAlignment="1">
      <alignment horizontal="center" vertical="center" wrapText="1"/>
    </xf>
    <xf numFmtId="0" fontId="44" fillId="0" borderId="51" xfId="0" applyFont="1" applyBorder="1" applyAlignment="1">
      <alignment horizontal="center" vertical="center" wrapText="1"/>
    </xf>
    <xf numFmtId="0" fontId="44" fillId="0" borderId="11" xfId="0" applyFont="1" applyBorder="1" applyAlignment="1">
      <alignment horizontal="center" vertical="center" wrapText="1"/>
    </xf>
    <xf numFmtId="0" fontId="44" fillId="0" borderId="45" xfId="0" applyFont="1" applyBorder="1" applyAlignment="1">
      <alignment horizontal="center" vertical="center" wrapText="1"/>
    </xf>
    <xf numFmtId="0" fontId="45" fillId="35" borderId="41" xfId="0" applyFont="1" applyFill="1" applyBorder="1" applyAlignment="1">
      <alignment horizontal="center" vertical="center" wrapText="1"/>
    </xf>
    <xf numFmtId="0" fontId="45" fillId="35" borderId="10" xfId="0" applyFont="1" applyFill="1" applyBorder="1" applyAlignment="1">
      <alignment horizontal="center" vertical="center" wrapText="1"/>
    </xf>
    <xf numFmtId="0" fontId="46" fillId="35" borderId="42" xfId="0" applyFont="1" applyFill="1" applyBorder="1" applyAlignment="1">
      <alignment horizontal="center" vertical="center" wrapText="1"/>
    </xf>
    <xf numFmtId="0" fontId="46" fillId="35" borderId="6" xfId="0" applyFont="1" applyFill="1" applyBorder="1" applyAlignment="1">
      <alignment horizontal="center" vertical="center" wrapText="1"/>
    </xf>
    <xf numFmtId="0" fontId="46" fillId="35" borderId="46" xfId="0" applyFont="1" applyFill="1" applyBorder="1" applyAlignment="1">
      <alignment horizontal="center" vertical="center" wrapText="1"/>
    </xf>
    <xf numFmtId="0" fontId="46" fillId="35" borderId="3" xfId="0" applyFont="1" applyFill="1" applyBorder="1" applyAlignment="1">
      <alignment horizontal="center" vertical="center" wrapText="1"/>
    </xf>
    <xf numFmtId="0" fontId="45" fillId="35" borderId="47" xfId="0" applyFont="1" applyFill="1" applyBorder="1" applyAlignment="1">
      <alignment horizontal="center" vertical="center" wrapText="1"/>
    </xf>
    <xf numFmtId="0" fontId="45" fillId="35" borderId="48" xfId="0" applyFont="1" applyFill="1" applyBorder="1" applyAlignment="1">
      <alignment horizontal="center" vertical="center" wrapText="1"/>
    </xf>
    <xf numFmtId="0" fontId="44" fillId="36" borderId="53" xfId="0" applyFont="1" applyFill="1" applyBorder="1" applyAlignment="1">
      <alignment horizontal="center" vertical="center" wrapText="1"/>
    </xf>
    <xf numFmtId="0" fontId="44" fillId="0" borderId="47" xfId="0" applyFont="1" applyBorder="1" applyAlignment="1">
      <alignment horizontal="center" vertical="center" wrapText="1"/>
    </xf>
    <xf numFmtId="0" fontId="44" fillId="0" borderId="43" xfId="0" applyFont="1" applyBorder="1" applyAlignment="1">
      <alignment horizontal="center" vertical="center" wrapText="1"/>
    </xf>
    <xf numFmtId="0" fontId="14" fillId="0" borderId="1" xfId="0" applyFont="1" applyBorder="1" applyAlignment="1">
      <alignment horizontal="center" vertical="center"/>
    </xf>
    <xf numFmtId="0" fontId="14" fillId="8" borderId="0" xfId="0" applyFont="1" applyFill="1" applyAlignment="1">
      <alignment horizontal="center"/>
    </xf>
    <xf numFmtId="43" fontId="0" fillId="6" borderId="1" xfId="0" applyNumberFormat="1" applyFill="1" applyBorder="1" applyAlignment="1">
      <alignment horizontal="center" vertical="center" wrapText="1"/>
    </xf>
    <xf numFmtId="43" fontId="0" fillId="6" borderId="8" xfId="0" applyNumberFormat="1" applyFill="1" applyBorder="1" applyAlignment="1">
      <alignment horizontal="center" vertical="center" wrapText="1"/>
    </xf>
    <xf numFmtId="43" fontId="0" fillId="6" borderId="0" xfId="0" applyNumberFormat="1" applyFill="1" applyAlignment="1">
      <alignment horizontal="center" vertical="center" wrapText="1"/>
    </xf>
    <xf numFmtId="0" fontId="25" fillId="17" borderId="23" xfId="0" applyFont="1" applyFill="1" applyBorder="1" applyAlignment="1">
      <alignment horizontal="center" vertical="center"/>
    </xf>
    <xf numFmtId="0" fontId="25" fillId="17" borderId="24" xfId="0" applyFont="1" applyFill="1" applyBorder="1" applyAlignment="1">
      <alignment horizontal="center" vertical="center"/>
    </xf>
    <xf numFmtId="0" fontId="25" fillId="14" borderId="22" xfId="0" applyFont="1" applyFill="1" applyBorder="1" applyAlignment="1">
      <alignment horizontal="center" vertical="center"/>
    </xf>
    <xf numFmtId="0" fontId="25" fillId="14" borderId="23" xfId="0" applyFont="1" applyFill="1" applyBorder="1" applyAlignment="1">
      <alignment horizontal="center" vertical="center"/>
    </xf>
    <xf numFmtId="0" fontId="28" fillId="22" borderId="0" xfId="0" applyFont="1" applyFill="1" applyAlignment="1">
      <alignment horizontal="center" vertical="center" textRotation="90"/>
    </xf>
    <xf numFmtId="0" fontId="28" fillId="24" borderId="0" xfId="0" applyFont="1" applyFill="1" applyAlignment="1">
      <alignment horizontal="center" vertical="center" textRotation="90"/>
    </xf>
    <xf numFmtId="0" fontId="22" fillId="0" borderId="0" xfId="0" applyFont="1" applyAlignment="1">
      <alignment horizontal="center"/>
    </xf>
  </cellXfs>
  <cellStyles count="70">
    <cellStyle name="%" xfId="5" xr:uid="{00000000-0005-0000-0000-000000000000}"/>
    <cellStyle name="_PRESUPUESTO Alto laran" xfId="6" xr:uid="{00000000-0005-0000-0000-000001000000}"/>
    <cellStyle name="Cancel" xfId="3" xr:uid="{00000000-0005-0000-0000-000002000000}"/>
    <cellStyle name="Cancel 2" xfId="7" xr:uid="{00000000-0005-0000-0000-000003000000}"/>
    <cellStyle name="Cancel 2 2" xfId="8" xr:uid="{00000000-0005-0000-0000-000004000000}"/>
    <cellStyle name="Cancel 2 2 2" xfId="9" xr:uid="{00000000-0005-0000-0000-000005000000}"/>
    <cellStyle name="Cancel 3" xfId="10" xr:uid="{00000000-0005-0000-0000-000006000000}"/>
    <cellStyle name="Cancel 4" xfId="11" xr:uid="{00000000-0005-0000-0000-000007000000}"/>
    <cellStyle name="Cancel 5" xfId="12" xr:uid="{00000000-0005-0000-0000-000008000000}"/>
    <cellStyle name="Cancel_PRESUP. CASETA GUARDIAN MODELO" xfId="13" xr:uid="{00000000-0005-0000-0000-000009000000}"/>
    <cellStyle name="Currency 2" xfId="14" xr:uid="{00000000-0005-0000-0000-00000A000000}"/>
    <cellStyle name="Currency 3" xfId="15" xr:uid="{00000000-0005-0000-0000-00000B000000}"/>
    <cellStyle name="Estilo 1" xfId="16" xr:uid="{00000000-0005-0000-0000-00000C000000}"/>
    <cellStyle name="Millares" xfId="63" builtinId="3"/>
    <cellStyle name="Millares 2" xfId="17" xr:uid="{00000000-0005-0000-0000-00000E000000}"/>
    <cellStyle name="Millares 2 2" xfId="18" xr:uid="{00000000-0005-0000-0000-00000F000000}"/>
    <cellStyle name="Millares 3" xfId="19" xr:uid="{00000000-0005-0000-0000-000010000000}"/>
    <cellStyle name="Millares 3 2" xfId="20" xr:uid="{00000000-0005-0000-0000-000011000000}"/>
    <cellStyle name="Millares 4" xfId="21" xr:uid="{00000000-0005-0000-0000-000012000000}"/>
    <cellStyle name="Millares 4 2" xfId="22" xr:uid="{00000000-0005-0000-0000-000013000000}"/>
    <cellStyle name="Millares 4 2 2" xfId="23" xr:uid="{00000000-0005-0000-0000-000014000000}"/>
    <cellStyle name="Millares 4 3" xfId="24" xr:uid="{00000000-0005-0000-0000-000015000000}"/>
    <cellStyle name="Millares 5" xfId="25" xr:uid="{00000000-0005-0000-0000-000016000000}"/>
    <cellStyle name="Millares 5 2" xfId="26" xr:uid="{00000000-0005-0000-0000-000017000000}"/>
    <cellStyle name="Millares 6" xfId="4" xr:uid="{00000000-0005-0000-0000-000018000000}"/>
    <cellStyle name="Millares 6 2" xfId="27" xr:uid="{00000000-0005-0000-0000-000019000000}"/>
    <cellStyle name="Millares 7" xfId="28" xr:uid="{00000000-0005-0000-0000-00001A000000}"/>
    <cellStyle name="Millares 8" xfId="29" xr:uid="{00000000-0005-0000-0000-00001B000000}"/>
    <cellStyle name="Millares 8 2" xfId="30" xr:uid="{00000000-0005-0000-0000-00001C000000}"/>
    <cellStyle name="Millares 9" xfId="31" xr:uid="{00000000-0005-0000-0000-00001D000000}"/>
    <cellStyle name="Moneda" xfId="69" builtinId="4"/>
    <cellStyle name="Moneda 2" xfId="32" xr:uid="{00000000-0005-0000-0000-00001F000000}"/>
    <cellStyle name="Moneda 2 2" xfId="33" xr:uid="{00000000-0005-0000-0000-000020000000}"/>
    <cellStyle name="Moneda 2 3" xfId="34" xr:uid="{00000000-0005-0000-0000-000021000000}"/>
    <cellStyle name="Moneda 3" xfId="35" xr:uid="{00000000-0005-0000-0000-000022000000}"/>
    <cellStyle name="Moneda 3 2" xfId="36" xr:uid="{00000000-0005-0000-0000-000023000000}"/>
    <cellStyle name="Moneda 4" xfId="37" xr:uid="{00000000-0005-0000-0000-000024000000}"/>
    <cellStyle name="Moneda 5" xfId="38" xr:uid="{00000000-0005-0000-0000-000025000000}"/>
    <cellStyle name="Moneda 6" xfId="39" xr:uid="{00000000-0005-0000-0000-000026000000}"/>
    <cellStyle name="Moneda 7" xfId="66" xr:uid="{00000000-0005-0000-0000-000027000000}"/>
    <cellStyle name="Normal" xfId="0" builtinId="0"/>
    <cellStyle name="Normal 12" xfId="40" xr:uid="{00000000-0005-0000-0000-000029000000}"/>
    <cellStyle name="Normal 12 2" xfId="41" xr:uid="{00000000-0005-0000-0000-00002A000000}"/>
    <cellStyle name="Normal 2" xfId="42" xr:uid="{00000000-0005-0000-0000-00002B000000}"/>
    <cellStyle name="Normal 2 2" xfId="43" xr:uid="{00000000-0005-0000-0000-00002C000000}"/>
    <cellStyle name="Normal 2 2 2" xfId="2" xr:uid="{00000000-0005-0000-0000-00002D000000}"/>
    <cellStyle name="Normal 3" xfId="44" xr:uid="{00000000-0005-0000-0000-00002E000000}"/>
    <cellStyle name="Normal 3 2" xfId="45" xr:uid="{00000000-0005-0000-0000-00002F000000}"/>
    <cellStyle name="Normal 3 3" xfId="46" xr:uid="{00000000-0005-0000-0000-000030000000}"/>
    <cellStyle name="Normal 3 3 2" xfId="47" xr:uid="{00000000-0005-0000-0000-000031000000}"/>
    <cellStyle name="Normal 4" xfId="48" xr:uid="{00000000-0005-0000-0000-000032000000}"/>
    <cellStyle name="Normal 4 2" xfId="49" xr:uid="{00000000-0005-0000-0000-000033000000}"/>
    <cellStyle name="Normal 4 2 2" xfId="64" xr:uid="{00000000-0005-0000-0000-000034000000}"/>
    <cellStyle name="Normal 5" xfId="50" xr:uid="{00000000-0005-0000-0000-000035000000}"/>
    <cellStyle name="Normal 5 2" xfId="51" xr:uid="{00000000-0005-0000-0000-000036000000}"/>
    <cellStyle name="Normal 6" xfId="52" xr:uid="{00000000-0005-0000-0000-000037000000}"/>
    <cellStyle name="Normal 7" xfId="53" xr:uid="{00000000-0005-0000-0000-000038000000}"/>
    <cellStyle name="Normal 8" xfId="1" xr:uid="{00000000-0005-0000-0000-000039000000}"/>
    <cellStyle name="Normal 9" xfId="54" xr:uid="{00000000-0005-0000-0000-00003A000000}"/>
    <cellStyle name="Normal 9 2" xfId="55" xr:uid="{00000000-0005-0000-0000-00003B000000}"/>
    <cellStyle name="Normal_PRESUPUESTO CAPEX 2009 v6 - corrigiendo amortizaciones" xfId="68" xr:uid="{00000000-0005-0000-0000-00003C000000}"/>
    <cellStyle name="Porcentual 2 2" xfId="56" xr:uid="{00000000-0005-0000-0000-00003D000000}"/>
    <cellStyle name="Style 1" xfId="57" xr:uid="{00000000-0005-0000-0000-00003E000000}"/>
    <cellStyle name="Style 1 2" xfId="58" xr:uid="{00000000-0005-0000-0000-00003F000000}"/>
    <cellStyle name="Style 2" xfId="59" xr:uid="{00000000-0005-0000-0000-000040000000}"/>
    <cellStyle name="Style 2 2" xfId="60" xr:uid="{00000000-0005-0000-0000-000041000000}"/>
    <cellStyle name="常规 4 2" xfId="65" xr:uid="{00000000-0005-0000-0000-000042000000}"/>
    <cellStyle name="常规 7" xfId="67" xr:uid="{00000000-0005-0000-0000-000043000000}"/>
    <cellStyle name="常规 7 2 2" xfId="61" xr:uid="{00000000-0005-0000-0000-000044000000}"/>
    <cellStyle name="常规 7 2 2 2" xfId="62" xr:uid="{00000000-0005-0000-0000-000045000000}"/>
  </cellStyles>
  <dxfs count="0"/>
  <tableStyles count="0" defaultTableStyle="TableStyleMedium2" defaultPivotStyle="PivotStyleLight16"/>
  <colors>
    <mruColors>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11906</xdr:colOff>
      <xdr:row>9</xdr:row>
      <xdr:rowOff>59531</xdr:rowOff>
    </xdr:from>
    <xdr:to>
      <xdr:col>14</xdr:col>
      <xdr:colOff>748121</xdr:colOff>
      <xdr:row>26</xdr:row>
      <xdr:rowOff>95248</xdr:rowOff>
    </xdr:to>
    <xdr:pic>
      <xdr:nvPicPr>
        <xdr:cNvPr id="3" name="Imagen 2">
          <a:extLst>
            <a:ext uri="{FF2B5EF4-FFF2-40B4-BE49-F238E27FC236}">
              <a16:creationId xmlns:a16="http://schemas.microsoft.com/office/drawing/2014/main" id="{8A8D0692-44C0-8194-9407-C0809508D6D4}"/>
            </a:ext>
          </a:extLst>
        </xdr:cNvPr>
        <xdr:cNvPicPr>
          <a:picLocks noChangeAspect="1"/>
        </xdr:cNvPicPr>
      </xdr:nvPicPr>
      <xdr:blipFill rotWithShape="1">
        <a:blip xmlns:r="http://schemas.openxmlformats.org/officeDocument/2006/relationships" r:embed="rId1"/>
        <a:srcRect l="9295" t="43968" r="10554" b="12375"/>
        <a:stretch>
          <a:fillRect/>
        </a:stretch>
      </xdr:blipFill>
      <xdr:spPr>
        <a:xfrm>
          <a:off x="11906" y="1774031"/>
          <a:ext cx="11404215" cy="3274217"/>
        </a:xfrm>
        <a:prstGeom prst="rect">
          <a:avLst/>
        </a:prstGeom>
      </xdr:spPr>
    </xdr:pic>
    <xdr:clientData/>
  </xdr:twoCellAnchor>
  <xdr:twoCellAnchor>
    <xdr:from>
      <xdr:col>1</xdr:col>
      <xdr:colOff>11906</xdr:colOff>
      <xdr:row>13</xdr:row>
      <xdr:rowOff>71439</xdr:rowOff>
    </xdr:from>
    <xdr:to>
      <xdr:col>15</xdr:col>
      <xdr:colOff>464344</xdr:colOff>
      <xdr:row>15</xdr:row>
      <xdr:rowOff>83345</xdr:rowOff>
    </xdr:to>
    <xdr:sp macro="" textlink="">
      <xdr:nvSpPr>
        <xdr:cNvPr id="4" name="Rectángulo: esquinas redondeadas 3">
          <a:extLst>
            <a:ext uri="{FF2B5EF4-FFF2-40B4-BE49-F238E27FC236}">
              <a16:creationId xmlns:a16="http://schemas.microsoft.com/office/drawing/2014/main" id="{A7709411-1BA5-2B8E-EBFC-49C597061650}"/>
            </a:ext>
          </a:extLst>
        </xdr:cNvPr>
        <xdr:cNvSpPr/>
      </xdr:nvSpPr>
      <xdr:spPr>
        <a:xfrm>
          <a:off x="773906" y="2571752"/>
          <a:ext cx="11120438" cy="392906"/>
        </a:xfrm>
        <a:prstGeom prst="roundRect">
          <a:avLst/>
        </a:prstGeom>
        <a:noFill/>
        <a:ln w="76200">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15</xdr:col>
      <xdr:colOff>631032</xdr:colOff>
      <xdr:row>11</xdr:row>
      <xdr:rowOff>119065</xdr:rowOff>
    </xdr:from>
    <xdr:to>
      <xdr:col>19</xdr:col>
      <xdr:colOff>404814</xdr:colOff>
      <xdr:row>20</xdr:row>
      <xdr:rowOff>23815</xdr:rowOff>
    </xdr:to>
    <xdr:pic>
      <xdr:nvPicPr>
        <xdr:cNvPr id="5" name="Imagen 4">
          <a:extLst>
            <a:ext uri="{FF2B5EF4-FFF2-40B4-BE49-F238E27FC236}">
              <a16:creationId xmlns:a16="http://schemas.microsoft.com/office/drawing/2014/main" id="{D8E695E3-A99F-42E5-872C-658206DDFAC4}"/>
            </a:ext>
          </a:extLst>
        </xdr:cNvPr>
        <xdr:cNvPicPr>
          <a:picLocks noChangeAspect="1"/>
        </xdr:cNvPicPr>
      </xdr:nvPicPr>
      <xdr:blipFill rotWithShape="1">
        <a:blip xmlns:r="http://schemas.openxmlformats.org/officeDocument/2006/relationships" r:embed="rId1"/>
        <a:srcRect l="9295" t="22219" r="70873" b="56190"/>
        <a:stretch>
          <a:fillRect/>
        </a:stretch>
      </xdr:blipFill>
      <xdr:spPr>
        <a:xfrm>
          <a:off x="12061032" y="2214565"/>
          <a:ext cx="2821782" cy="16192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imnwkassetv01\COMPARTIDO_RSE\Users\A00721~1\AppData\Local\Temp\Rar$DIb0.716\000000719255201012230001_by_Service(EQV)_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imnwkassetv01\COMPARTIDO_RSE\Documents%20and%20Settings\Administrator\Local%20Settings\Temporary%20Internet%20Files\Content.Outlook\MDQ2KD8C\Cost%20Calculation%20Tool%20for%20MSS%20Solution's%20Integrated%20Services%20V1.6.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JONHATTAN%20MENDEZ%20-%20C24614/PLANTILLAS%20VALORIZACIONES/Valorizacion%20DAS/Calculo%20costo%20-%20F.O.xlsx" TargetMode="External"/><Relationship Id="rId1" Type="http://schemas.openxmlformats.org/officeDocument/2006/relationships/externalLinkPath" Target="/JONHATTAN%20MENDEZ%20-%20C24614/PLANTILLAS%20VALORIZACIONES/Valorizacion%20DAS/Calculo%20costo%20-%20F.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ount"/>
      <sheetName val="Parameters"/>
      <sheetName val="Cover"/>
      <sheetName val="Disclaimer"/>
      <sheetName val="L1-SUMMARY"/>
      <sheetName val="L2-SUMMARY"/>
      <sheetName val="tmp"/>
      <sheetName val="L3-Maintenance Support"/>
      <sheetName val="Costos FO"/>
    </sheetNames>
    <sheetDataSet>
      <sheetData sheetId="0" refreshError="1"/>
      <sheetData sheetId="1">
        <row r="8">
          <cell r="F8" t="str">
            <v>USD</v>
          </cell>
        </row>
        <row r="20">
          <cell r="B20" t="str">
            <v>USD</v>
          </cell>
        </row>
      </sheetData>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LR &amp; Ratio of Exp. Allocation"/>
      <sheetName val="Input"/>
      <sheetName val="Output"/>
      <sheetName val="L3-CS-Summary（Core Network）"/>
      <sheetName val="Labor Rate Calculation"/>
      <sheetName val="Revision Record"/>
    </sheetNames>
    <sheetDataSet>
      <sheetData sheetId="0"/>
      <sheetData sheetId="1">
        <row r="1">
          <cell r="B1" t="str">
            <v>Vision Status</v>
          </cell>
          <cell r="C1" t="str">
            <v>Vision</v>
          </cell>
          <cell r="D1" t="str">
            <v>Baseline Name</v>
          </cell>
          <cell r="E1" t="str">
            <v>Area</v>
          </cell>
          <cell r="F1" t="str">
            <v>Sub-region Division</v>
          </cell>
          <cell r="G1" t="str">
            <v>Reg office</v>
          </cell>
          <cell r="H1" t="str">
            <v>Region Code</v>
          </cell>
          <cell r="I1" t="str">
            <v>Region name(Cn)</v>
          </cell>
          <cell r="J1" t="str">
            <v>Region name(Eng)</v>
          </cell>
          <cell r="K1" t="str">
            <v>Person attribute</v>
          </cell>
          <cell r="L1" t="str">
            <v>Job level</v>
          </cell>
          <cell r="M1" t="str">
            <v>BU</v>
          </cell>
          <cell r="N1" t="str">
            <v>Output Module</v>
          </cell>
          <cell r="O1" t="str">
            <v>Unit</v>
          </cell>
          <cell r="P1" t="str">
            <v>Value</v>
          </cell>
          <cell r="T1" t="str">
            <v>Employees Level /工程师级别</v>
          </cell>
          <cell r="U1" t="str">
            <v>Local Employees ％ /本地员工比例</v>
          </cell>
          <cell r="V1" t="str">
            <v>人时费率（含Burden Rate）</v>
          </cell>
          <cell r="W1" t="str">
            <v>判断</v>
          </cell>
        </row>
        <row r="2">
          <cell r="A2" t="str">
            <v>Namibia - Chinese employees - L4</v>
          </cell>
          <cell r="B2" t="str">
            <v>Current version</v>
          </cell>
          <cell r="C2" t="str">
            <v>V2009R2</v>
          </cell>
          <cell r="D2" t="str">
            <v>Labor Rate</v>
          </cell>
          <cell r="E2" t="str">
            <v>SA</v>
          </cell>
          <cell r="F2" t="str">
            <v>Southern Africa Sub-Regional Division</v>
          </cell>
          <cell r="G2" t="str">
            <v>Angola Rep.O.</v>
          </cell>
          <cell r="H2" t="str">
            <v>4017</v>
          </cell>
          <cell r="I2" t="str">
            <v>纳米比亚</v>
          </cell>
          <cell r="J2" t="str">
            <v>Namibia</v>
          </cell>
          <cell r="K2" t="str">
            <v>Chinese employees</v>
          </cell>
          <cell r="L2" t="str">
            <v>L4</v>
          </cell>
          <cell r="M2" t="str">
            <v>ALL</v>
          </cell>
          <cell r="N2" t="str">
            <v>FLPC(含奖金)</v>
          </cell>
          <cell r="O2" t="str">
            <v>USD/小时</v>
          </cell>
          <cell r="P2">
            <v>134.15</v>
          </cell>
          <cell r="T2" t="str">
            <v>L0</v>
          </cell>
          <cell r="U2">
            <v>0</v>
          </cell>
          <cell r="V2">
            <v>64.12</v>
          </cell>
          <cell r="W2">
            <v>64.12</v>
          </cell>
        </row>
        <row r="3">
          <cell r="A3" t="str">
            <v>Ethiopia - Chinese employees - L0</v>
          </cell>
          <cell r="B3" t="str">
            <v>Current version</v>
          </cell>
          <cell r="C3" t="str">
            <v>V2009R2</v>
          </cell>
          <cell r="D3" t="str">
            <v>Labor Rate</v>
          </cell>
          <cell r="E3" t="str">
            <v>SA</v>
          </cell>
          <cell r="F3" t="str">
            <v>Eastern Africa Sub-Regional Division</v>
          </cell>
          <cell r="G3" t="str">
            <v>Uganda Rep.O.</v>
          </cell>
          <cell r="H3" t="str">
            <v>4012</v>
          </cell>
          <cell r="I3" t="str">
            <v>埃塞俄比亚</v>
          </cell>
          <cell r="J3" t="str">
            <v>Ethiopia</v>
          </cell>
          <cell r="K3" t="str">
            <v>Chinese employees</v>
          </cell>
          <cell r="L3" t="str">
            <v>L0</v>
          </cell>
          <cell r="M3" t="str">
            <v>ALL</v>
          </cell>
          <cell r="N3" t="str">
            <v>FLPC(含奖金)</v>
          </cell>
          <cell r="O3" t="str">
            <v>USD/小时</v>
          </cell>
          <cell r="P3">
            <v>45.76</v>
          </cell>
          <cell r="T3" t="str">
            <v>L1</v>
          </cell>
          <cell r="U3">
            <v>0</v>
          </cell>
          <cell r="V3">
            <v>70.31</v>
          </cell>
          <cell r="W3">
            <v>70.31</v>
          </cell>
        </row>
        <row r="4">
          <cell r="A4" t="str">
            <v>Ethiopia - Chinese employees - L1</v>
          </cell>
          <cell r="B4" t="str">
            <v>Current version</v>
          </cell>
          <cell r="C4" t="str">
            <v>V2009R2</v>
          </cell>
          <cell r="D4" t="str">
            <v>Labor Rate</v>
          </cell>
          <cell r="E4" t="str">
            <v>SA</v>
          </cell>
          <cell r="F4" t="str">
            <v>Eastern Africa Sub-Regional Division</v>
          </cell>
          <cell r="G4" t="str">
            <v>Uganda Rep.O.</v>
          </cell>
          <cell r="H4" t="str">
            <v>4012</v>
          </cell>
          <cell r="I4" t="str">
            <v>埃塞俄比亚</v>
          </cell>
          <cell r="J4" t="str">
            <v>Ethiopia</v>
          </cell>
          <cell r="K4" t="str">
            <v>Chinese employees</v>
          </cell>
          <cell r="L4" t="str">
            <v>L1</v>
          </cell>
          <cell r="M4" t="str">
            <v>ALL</v>
          </cell>
          <cell r="N4" t="str">
            <v>FLPC(含奖金)</v>
          </cell>
          <cell r="O4" t="str">
            <v>USD/小时</v>
          </cell>
          <cell r="P4">
            <v>53.19</v>
          </cell>
          <cell r="T4" t="str">
            <v>L2</v>
          </cell>
          <cell r="U4">
            <v>0</v>
          </cell>
          <cell r="V4">
            <v>78.209999999999994</v>
          </cell>
          <cell r="W4">
            <v>78.209999999999994</v>
          </cell>
        </row>
        <row r="5">
          <cell r="A5" t="str">
            <v>Ethiopia - Chinese employees - L2</v>
          </cell>
          <cell r="B5" t="str">
            <v>Current version</v>
          </cell>
          <cell r="C5" t="str">
            <v>V2009R2</v>
          </cell>
          <cell r="D5" t="str">
            <v>Labor Rate</v>
          </cell>
          <cell r="E5" t="str">
            <v>SA</v>
          </cell>
          <cell r="F5" t="str">
            <v>Eastern Africa Sub-Regional Division</v>
          </cell>
          <cell r="G5" t="str">
            <v>Uganda Rep.O.</v>
          </cell>
          <cell r="H5" t="str">
            <v>4012</v>
          </cell>
          <cell r="I5" t="str">
            <v>埃塞俄比亚</v>
          </cell>
          <cell r="J5" t="str">
            <v>Ethiopia</v>
          </cell>
          <cell r="K5" t="str">
            <v>Chinese employees</v>
          </cell>
          <cell r="L5" t="str">
            <v>L2</v>
          </cell>
          <cell r="M5" t="str">
            <v>ALL</v>
          </cell>
          <cell r="N5" t="str">
            <v>FLPC(含奖金)</v>
          </cell>
          <cell r="O5" t="str">
            <v>USD/小时</v>
          </cell>
          <cell r="P5">
            <v>61.53</v>
          </cell>
        </row>
        <row r="6">
          <cell r="A6" t="str">
            <v>Ethiopia - Chinese employees - L3</v>
          </cell>
          <cell r="B6" t="str">
            <v>Current version</v>
          </cell>
          <cell r="C6" t="str">
            <v>V2009R2</v>
          </cell>
          <cell r="D6" t="str">
            <v>Labor Rate</v>
          </cell>
          <cell r="E6" t="str">
            <v>SA</v>
          </cell>
          <cell r="F6" t="str">
            <v>Eastern Africa Sub-Regional Division</v>
          </cell>
          <cell r="G6" t="str">
            <v>Uganda Rep.O.</v>
          </cell>
          <cell r="H6" t="str">
            <v>4012</v>
          </cell>
          <cell r="I6" t="str">
            <v>埃塞俄比亚</v>
          </cell>
          <cell r="J6" t="str">
            <v>Ethiopia</v>
          </cell>
          <cell r="K6" t="str">
            <v>Chinese employees</v>
          </cell>
          <cell r="L6" t="str">
            <v>L3</v>
          </cell>
          <cell r="M6" t="str">
            <v>ALL</v>
          </cell>
          <cell r="N6" t="str">
            <v>FLPC(含奖金)</v>
          </cell>
          <cell r="O6" t="str">
            <v>USD/小时</v>
          </cell>
          <cell r="P6">
            <v>72.8</v>
          </cell>
        </row>
        <row r="7">
          <cell r="A7" t="str">
            <v>Ethiopia - Chinese employees - L4</v>
          </cell>
          <cell r="B7" t="str">
            <v>Current version</v>
          </cell>
          <cell r="C7" t="str">
            <v>V2009R2</v>
          </cell>
          <cell r="D7" t="str">
            <v>Labor Rate</v>
          </cell>
          <cell r="E7" t="str">
            <v>SA</v>
          </cell>
          <cell r="F7" t="str">
            <v>Eastern Africa Sub-Regional Division</v>
          </cell>
          <cell r="G7" t="str">
            <v>Uganda Rep.O.</v>
          </cell>
          <cell r="H7" t="str">
            <v>4012</v>
          </cell>
          <cell r="I7" t="str">
            <v>埃塞俄比亚</v>
          </cell>
          <cell r="J7" t="str">
            <v>Ethiopia</v>
          </cell>
          <cell r="K7" t="str">
            <v>Chinese employees</v>
          </cell>
          <cell r="L7" t="str">
            <v>L4</v>
          </cell>
          <cell r="M7" t="str">
            <v>ALL</v>
          </cell>
          <cell r="N7" t="str">
            <v>FLPC(含奖金)</v>
          </cell>
          <cell r="O7" t="str">
            <v>USD/小时</v>
          </cell>
          <cell r="P7">
            <v>118.25</v>
          </cell>
        </row>
        <row r="8">
          <cell r="A8" t="str">
            <v>Uganda - Chinese employees - L0</v>
          </cell>
          <cell r="B8" t="str">
            <v>Current version</v>
          </cell>
          <cell r="C8" t="str">
            <v>V2009R2</v>
          </cell>
          <cell r="D8" t="str">
            <v>Labor Rate</v>
          </cell>
          <cell r="E8" t="str">
            <v>SA</v>
          </cell>
          <cell r="F8" t="str">
            <v>Eastern Africa Sub-Regional Division</v>
          </cell>
          <cell r="G8" t="str">
            <v>Uganda Rep.O.</v>
          </cell>
          <cell r="H8" t="str">
            <v>4003</v>
          </cell>
          <cell r="I8" t="str">
            <v>乌干达</v>
          </cell>
          <cell r="J8" t="str">
            <v>Uganda</v>
          </cell>
          <cell r="K8" t="str">
            <v>Chinese employees</v>
          </cell>
          <cell r="L8" t="str">
            <v>L0</v>
          </cell>
          <cell r="M8" t="str">
            <v>ALL</v>
          </cell>
          <cell r="N8" t="str">
            <v>FLPC(含奖金)</v>
          </cell>
          <cell r="O8" t="str">
            <v>USD/小时</v>
          </cell>
          <cell r="P8">
            <v>51.93</v>
          </cell>
        </row>
        <row r="9">
          <cell r="A9" t="str">
            <v>Uganda - Chinese employees - L1</v>
          </cell>
          <cell r="B9" t="str">
            <v>Current version</v>
          </cell>
          <cell r="C9" t="str">
            <v>V2009R2</v>
          </cell>
          <cell r="D9" t="str">
            <v>Labor Rate</v>
          </cell>
          <cell r="E9" t="str">
            <v>SA</v>
          </cell>
          <cell r="F9" t="str">
            <v>Eastern Africa Sub-Regional Division</v>
          </cell>
          <cell r="G9" t="str">
            <v>Uganda Rep.O.</v>
          </cell>
          <cell r="H9" t="str">
            <v>4003</v>
          </cell>
          <cell r="I9" t="str">
            <v>乌干达</v>
          </cell>
          <cell r="J9" t="str">
            <v>Uganda</v>
          </cell>
          <cell r="K9" t="str">
            <v>Chinese employees</v>
          </cell>
          <cell r="L9" t="str">
            <v>L1</v>
          </cell>
          <cell r="M9" t="str">
            <v>ALL</v>
          </cell>
          <cell r="N9" t="str">
            <v>FLPC(含奖金)</v>
          </cell>
          <cell r="O9" t="str">
            <v>USD/小时</v>
          </cell>
          <cell r="P9">
            <v>59.28</v>
          </cell>
        </row>
        <row r="10">
          <cell r="A10" t="str">
            <v>Uganda - Chinese employees - L2</v>
          </cell>
          <cell r="B10" t="str">
            <v>Current version</v>
          </cell>
          <cell r="C10" t="str">
            <v>V2009R2</v>
          </cell>
          <cell r="D10" t="str">
            <v>Labor Rate</v>
          </cell>
          <cell r="E10" t="str">
            <v>SA</v>
          </cell>
          <cell r="F10" t="str">
            <v>Eastern Africa Sub-Regional Division</v>
          </cell>
          <cell r="G10" t="str">
            <v>Uganda Rep.O.</v>
          </cell>
          <cell r="H10" t="str">
            <v>4003</v>
          </cell>
          <cell r="I10" t="str">
            <v>乌干达</v>
          </cell>
          <cell r="J10" t="str">
            <v>Uganda</v>
          </cell>
          <cell r="K10" t="str">
            <v>Chinese employees</v>
          </cell>
          <cell r="L10" t="str">
            <v>L2</v>
          </cell>
          <cell r="M10" t="str">
            <v>ALL</v>
          </cell>
          <cell r="N10" t="str">
            <v>FLPC(含奖金)</v>
          </cell>
          <cell r="O10" t="str">
            <v>USD/小时</v>
          </cell>
          <cell r="P10">
            <v>67.86</v>
          </cell>
        </row>
        <row r="11">
          <cell r="A11" t="str">
            <v>Uganda - Chinese employees - L3</v>
          </cell>
          <cell r="B11" t="str">
            <v>Current version</v>
          </cell>
          <cell r="C11" t="str">
            <v>V2009R2</v>
          </cell>
          <cell r="D11" t="str">
            <v>Labor Rate</v>
          </cell>
          <cell r="E11" t="str">
            <v>SA</v>
          </cell>
          <cell r="F11" t="str">
            <v>Eastern Africa Sub-Regional Division</v>
          </cell>
          <cell r="G11" t="str">
            <v>Uganda Rep.O.</v>
          </cell>
          <cell r="H11" t="str">
            <v>4003</v>
          </cell>
          <cell r="I11" t="str">
            <v>乌干达</v>
          </cell>
          <cell r="J11" t="str">
            <v>Uganda</v>
          </cell>
          <cell r="K11" t="str">
            <v>Chinese employees</v>
          </cell>
          <cell r="L11" t="str">
            <v>L3</v>
          </cell>
          <cell r="M11" t="str">
            <v>ALL</v>
          </cell>
          <cell r="N11" t="str">
            <v>FLPC(含奖金)</v>
          </cell>
          <cell r="O11" t="str">
            <v>USD/小时</v>
          </cell>
          <cell r="P11">
            <v>80.180000000000007</v>
          </cell>
        </row>
        <row r="12">
          <cell r="A12" t="str">
            <v>Uganda - Chinese employees - L4</v>
          </cell>
          <cell r="B12" t="str">
            <v>Current version</v>
          </cell>
          <cell r="C12" t="str">
            <v>V2009R2</v>
          </cell>
          <cell r="D12" t="str">
            <v>Labor Rate</v>
          </cell>
          <cell r="E12" t="str">
            <v>SA</v>
          </cell>
          <cell r="F12" t="str">
            <v>Eastern Africa Sub-Regional Division</v>
          </cell>
          <cell r="G12" t="str">
            <v>Uganda Rep.O.</v>
          </cell>
          <cell r="H12" t="str">
            <v>4003</v>
          </cell>
          <cell r="I12" t="str">
            <v>乌干达</v>
          </cell>
          <cell r="J12" t="str">
            <v>Uganda</v>
          </cell>
          <cell r="K12" t="str">
            <v>Chinese employees</v>
          </cell>
          <cell r="L12" t="str">
            <v>L4</v>
          </cell>
          <cell r="M12" t="str">
            <v>ALL</v>
          </cell>
          <cell r="N12" t="str">
            <v>FLPC(含奖金)</v>
          </cell>
          <cell r="O12" t="str">
            <v>USD/小时</v>
          </cell>
          <cell r="P12">
            <v>126.6</v>
          </cell>
        </row>
        <row r="13">
          <cell r="A13" t="str">
            <v>Rwanda - Chinese employees - L0</v>
          </cell>
          <cell r="B13" t="str">
            <v>Current version</v>
          </cell>
          <cell r="C13" t="str">
            <v>V2009R2</v>
          </cell>
          <cell r="D13" t="str">
            <v>Labor Rate</v>
          </cell>
          <cell r="E13" t="str">
            <v>SA</v>
          </cell>
          <cell r="F13" t="str">
            <v>Eastern Africa Sub-Regional Division</v>
          </cell>
          <cell r="G13" t="str">
            <v>Uganda Rep.O.</v>
          </cell>
          <cell r="H13" t="str">
            <v>4022</v>
          </cell>
          <cell r="I13" t="str">
            <v>卢旺达</v>
          </cell>
          <cell r="J13" t="str">
            <v>Rwanda</v>
          </cell>
          <cell r="K13" t="str">
            <v>Chinese employees</v>
          </cell>
          <cell r="L13" t="str">
            <v>L0</v>
          </cell>
          <cell r="M13" t="str">
            <v>ALL</v>
          </cell>
          <cell r="N13" t="str">
            <v>FLPC(含奖金)</v>
          </cell>
          <cell r="O13" t="str">
            <v>USD/小时</v>
          </cell>
          <cell r="P13">
            <v>51.35</v>
          </cell>
        </row>
        <row r="14">
          <cell r="A14" t="str">
            <v>Rwanda - Chinese employees - L1</v>
          </cell>
          <cell r="B14" t="str">
            <v>Current version</v>
          </cell>
          <cell r="C14" t="str">
            <v>V2009R2</v>
          </cell>
          <cell r="D14" t="str">
            <v>Labor Rate</v>
          </cell>
          <cell r="E14" t="str">
            <v>SA</v>
          </cell>
          <cell r="F14" t="str">
            <v>Eastern Africa Sub-Regional Division</v>
          </cell>
          <cell r="G14" t="str">
            <v>Uganda Rep.O.</v>
          </cell>
          <cell r="H14" t="str">
            <v>4022</v>
          </cell>
          <cell r="I14" t="str">
            <v>卢旺达</v>
          </cell>
          <cell r="J14" t="str">
            <v>Rwanda</v>
          </cell>
          <cell r="K14" t="str">
            <v>Chinese employees</v>
          </cell>
          <cell r="L14" t="str">
            <v>L1</v>
          </cell>
          <cell r="M14" t="str">
            <v>ALL</v>
          </cell>
          <cell r="N14" t="str">
            <v>FLPC(含奖金)</v>
          </cell>
          <cell r="O14" t="str">
            <v>USD/小时</v>
          </cell>
          <cell r="P14">
            <v>59.29</v>
          </cell>
        </row>
        <row r="15">
          <cell r="A15" t="str">
            <v>Rwanda - Chinese employees - L2</v>
          </cell>
          <cell r="B15" t="str">
            <v>Current version</v>
          </cell>
          <cell r="C15" t="str">
            <v>V2009R2</v>
          </cell>
          <cell r="D15" t="str">
            <v>Labor Rate</v>
          </cell>
          <cell r="E15" t="str">
            <v>SA</v>
          </cell>
          <cell r="F15" t="str">
            <v>Eastern Africa Sub-Regional Division</v>
          </cell>
          <cell r="G15" t="str">
            <v>Uganda Rep.O.</v>
          </cell>
          <cell r="H15" t="str">
            <v>4022</v>
          </cell>
          <cell r="I15" t="str">
            <v>卢旺达</v>
          </cell>
          <cell r="J15" t="str">
            <v>Rwanda</v>
          </cell>
          <cell r="K15" t="str">
            <v>Chinese employees</v>
          </cell>
          <cell r="L15" t="str">
            <v>L2</v>
          </cell>
          <cell r="M15" t="str">
            <v>ALL</v>
          </cell>
          <cell r="N15" t="str">
            <v>FLPC(含奖金)</v>
          </cell>
          <cell r="O15" t="str">
            <v>USD/小时</v>
          </cell>
          <cell r="P15">
            <v>68.819999999999993</v>
          </cell>
        </row>
        <row r="16">
          <cell r="A16" t="str">
            <v>Rwanda - Chinese employees - L3</v>
          </cell>
          <cell r="B16" t="str">
            <v>Current version</v>
          </cell>
          <cell r="C16" t="str">
            <v>V2009R2</v>
          </cell>
          <cell r="D16" t="str">
            <v>Labor Rate</v>
          </cell>
          <cell r="E16" t="str">
            <v>SA</v>
          </cell>
          <cell r="F16" t="str">
            <v>Eastern Africa Sub-Regional Division</v>
          </cell>
          <cell r="G16" t="str">
            <v>Uganda Rep.O.</v>
          </cell>
          <cell r="H16" t="str">
            <v>4022</v>
          </cell>
          <cell r="I16" t="str">
            <v>卢旺达</v>
          </cell>
          <cell r="J16" t="str">
            <v>Rwanda</v>
          </cell>
          <cell r="K16" t="str">
            <v>Chinese employees</v>
          </cell>
          <cell r="L16" t="str">
            <v>L3</v>
          </cell>
          <cell r="M16" t="str">
            <v>ALL</v>
          </cell>
          <cell r="N16" t="str">
            <v>FLPC(含奖金)</v>
          </cell>
          <cell r="O16" t="str">
            <v>USD/小时</v>
          </cell>
          <cell r="P16">
            <v>78.38</v>
          </cell>
        </row>
        <row r="17">
          <cell r="A17" t="str">
            <v>Rwanda - Chinese employees - L4</v>
          </cell>
          <cell r="B17" t="str">
            <v>Current version</v>
          </cell>
          <cell r="C17" t="str">
            <v>V2009R2</v>
          </cell>
          <cell r="D17" t="str">
            <v>Labor Rate</v>
          </cell>
          <cell r="E17" t="str">
            <v>SA</v>
          </cell>
          <cell r="F17" t="str">
            <v>Eastern Africa Sub-Regional Division</v>
          </cell>
          <cell r="G17" t="str">
            <v>Uganda Rep.O.</v>
          </cell>
          <cell r="H17" t="str">
            <v>4022</v>
          </cell>
          <cell r="I17" t="str">
            <v>卢旺达</v>
          </cell>
          <cell r="J17" t="str">
            <v>Rwanda</v>
          </cell>
          <cell r="K17" t="str">
            <v>Chinese employees</v>
          </cell>
          <cell r="L17" t="str">
            <v>L4</v>
          </cell>
          <cell r="M17" t="str">
            <v>ALL</v>
          </cell>
          <cell r="N17" t="str">
            <v>FLPC(含奖金)</v>
          </cell>
          <cell r="O17" t="str">
            <v>USD/小时</v>
          </cell>
          <cell r="P17">
            <v>121.92</v>
          </cell>
        </row>
        <row r="18">
          <cell r="A18" t="str">
            <v>Burundi - Chinese employees - L0</v>
          </cell>
          <cell r="B18" t="str">
            <v>Current version</v>
          </cell>
          <cell r="C18" t="str">
            <v>V2009R2</v>
          </cell>
          <cell r="D18" t="str">
            <v>Labor Rate</v>
          </cell>
          <cell r="E18" t="str">
            <v>SA</v>
          </cell>
          <cell r="F18" t="str">
            <v>Eastern Africa Sub-Regional Division</v>
          </cell>
          <cell r="G18" t="str">
            <v>Uganda Rep.O.</v>
          </cell>
          <cell r="H18" t="str">
            <v>4030</v>
          </cell>
          <cell r="I18" t="str">
            <v>布隆迪</v>
          </cell>
          <cell r="J18" t="str">
            <v>Burundi</v>
          </cell>
          <cell r="K18" t="str">
            <v>Chinese employees</v>
          </cell>
          <cell r="L18" t="str">
            <v>L0</v>
          </cell>
          <cell r="M18" t="str">
            <v>ALL</v>
          </cell>
          <cell r="N18" t="str">
            <v>FLPC(含奖金)</v>
          </cell>
          <cell r="O18" t="str">
            <v>USD/小时</v>
          </cell>
          <cell r="P18">
            <v>51.34</v>
          </cell>
        </row>
        <row r="19">
          <cell r="A19" t="str">
            <v>Burundi - Chinese employees - L1</v>
          </cell>
          <cell r="B19" t="str">
            <v>Current version</v>
          </cell>
          <cell r="C19" t="str">
            <v>V2009R2</v>
          </cell>
          <cell r="D19" t="str">
            <v>Labor Rate</v>
          </cell>
          <cell r="E19" t="str">
            <v>SA</v>
          </cell>
          <cell r="F19" t="str">
            <v>Eastern Africa Sub-Regional Division</v>
          </cell>
          <cell r="G19" t="str">
            <v>Uganda Rep.O.</v>
          </cell>
          <cell r="H19" t="str">
            <v>4030</v>
          </cell>
          <cell r="I19" t="str">
            <v>布隆迪</v>
          </cell>
          <cell r="J19" t="str">
            <v>Burundi</v>
          </cell>
          <cell r="K19" t="str">
            <v>Chinese employees</v>
          </cell>
          <cell r="L19" t="str">
            <v>L1</v>
          </cell>
          <cell r="M19" t="str">
            <v>ALL</v>
          </cell>
          <cell r="N19" t="str">
            <v>FLPC(含奖金)</v>
          </cell>
          <cell r="O19" t="str">
            <v>USD/小时</v>
          </cell>
          <cell r="P19">
            <v>57.85</v>
          </cell>
        </row>
        <row r="20">
          <cell r="A20" t="str">
            <v>Burundi - Chinese employees - L2</v>
          </cell>
          <cell r="B20" t="str">
            <v>Current version</v>
          </cell>
          <cell r="C20" t="str">
            <v>V2009R2</v>
          </cell>
          <cell r="D20" t="str">
            <v>Labor Rate</v>
          </cell>
          <cell r="E20" t="str">
            <v>SA</v>
          </cell>
          <cell r="F20" t="str">
            <v>Eastern Africa Sub-Regional Division</v>
          </cell>
          <cell r="G20" t="str">
            <v>Uganda Rep.O.</v>
          </cell>
          <cell r="H20" t="str">
            <v>4030</v>
          </cell>
          <cell r="I20" t="str">
            <v>布隆迪</v>
          </cell>
          <cell r="J20" t="str">
            <v>Burundi</v>
          </cell>
          <cell r="K20" t="str">
            <v>Chinese employees</v>
          </cell>
          <cell r="L20" t="str">
            <v>L2</v>
          </cell>
          <cell r="M20" t="str">
            <v>ALL</v>
          </cell>
          <cell r="N20" t="str">
            <v>FLPC(含奖金)</v>
          </cell>
          <cell r="O20" t="str">
            <v>USD/小时</v>
          </cell>
          <cell r="P20">
            <v>66.290000000000006</v>
          </cell>
        </row>
        <row r="21">
          <cell r="A21" t="str">
            <v>Burundi - Chinese employees - L3</v>
          </cell>
          <cell r="B21" t="str">
            <v>Current version</v>
          </cell>
          <cell r="C21" t="str">
            <v>V2009R2</v>
          </cell>
          <cell r="D21" t="str">
            <v>Labor Rate</v>
          </cell>
          <cell r="E21" t="str">
            <v>SA</v>
          </cell>
          <cell r="F21" t="str">
            <v>Eastern Africa Sub-Regional Division</v>
          </cell>
          <cell r="G21" t="str">
            <v>Uganda Rep.O.</v>
          </cell>
          <cell r="H21" t="str">
            <v>4030</v>
          </cell>
          <cell r="I21" t="str">
            <v>布隆迪</v>
          </cell>
          <cell r="J21" t="str">
            <v>Burundi</v>
          </cell>
          <cell r="K21" t="str">
            <v>Chinese employees</v>
          </cell>
          <cell r="L21" t="str">
            <v>L3</v>
          </cell>
          <cell r="M21" t="str">
            <v>ALL</v>
          </cell>
          <cell r="N21" t="str">
            <v>FLPC(含奖金)</v>
          </cell>
          <cell r="O21" t="str">
            <v>USD/小时</v>
          </cell>
          <cell r="P21">
            <v>78.37</v>
          </cell>
        </row>
        <row r="22">
          <cell r="A22" t="str">
            <v>Burundi - Chinese employees - L4</v>
          </cell>
          <cell r="B22" t="str">
            <v>Current version</v>
          </cell>
          <cell r="C22" t="str">
            <v>V2009R2</v>
          </cell>
          <cell r="D22" t="str">
            <v>Labor Rate</v>
          </cell>
          <cell r="E22" t="str">
            <v>SA</v>
          </cell>
          <cell r="F22" t="str">
            <v>Eastern Africa Sub-Regional Division</v>
          </cell>
          <cell r="G22" t="str">
            <v>Uganda Rep.O.</v>
          </cell>
          <cell r="H22" t="str">
            <v>4030</v>
          </cell>
          <cell r="I22" t="str">
            <v>布隆迪</v>
          </cell>
          <cell r="J22" t="str">
            <v>Burundi</v>
          </cell>
          <cell r="K22" t="str">
            <v>Chinese employees</v>
          </cell>
          <cell r="L22" t="str">
            <v>L4</v>
          </cell>
          <cell r="M22" t="str">
            <v>ALL</v>
          </cell>
          <cell r="N22" t="str">
            <v>FLPC(含奖金)</v>
          </cell>
          <cell r="O22" t="str">
            <v>USD/小时</v>
          </cell>
          <cell r="P22">
            <v>121.91</v>
          </cell>
        </row>
        <row r="23">
          <cell r="A23" t="str">
            <v>Tanzania - Chinese employees - L0</v>
          </cell>
          <cell r="B23" t="str">
            <v>Current version</v>
          </cell>
          <cell r="C23" t="str">
            <v>V2009R2</v>
          </cell>
          <cell r="D23" t="str">
            <v>Labor Rate</v>
          </cell>
          <cell r="E23" t="str">
            <v>SA</v>
          </cell>
          <cell r="F23" t="str">
            <v>Eastern Africa Sub-Regional Division</v>
          </cell>
          <cell r="G23" t="str">
            <v>Tanzania</v>
          </cell>
          <cell r="H23" t="str">
            <v>4013</v>
          </cell>
          <cell r="I23" t="str">
            <v>坦桑尼亚</v>
          </cell>
          <cell r="J23" t="str">
            <v>Tanzania</v>
          </cell>
          <cell r="K23" t="str">
            <v>Chinese employees</v>
          </cell>
          <cell r="L23" t="str">
            <v>L0</v>
          </cell>
          <cell r="M23" t="str">
            <v>ALL</v>
          </cell>
          <cell r="N23" t="str">
            <v>FLPC(含奖金)</v>
          </cell>
          <cell r="O23" t="str">
            <v>USD/小时</v>
          </cell>
          <cell r="P23">
            <v>51.98</v>
          </cell>
        </row>
        <row r="24">
          <cell r="A24" t="str">
            <v>Tanzania - Chinese employees - L1</v>
          </cell>
          <cell r="B24" t="str">
            <v>Current version</v>
          </cell>
          <cell r="C24" t="str">
            <v>V2009R2</v>
          </cell>
          <cell r="D24" t="str">
            <v>Labor Rate</v>
          </cell>
          <cell r="E24" t="str">
            <v>SA</v>
          </cell>
          <cell r="F24" t="str">
            <v>Eastern Africa Sub-Regional Division</v>
          </cell>
          <cell r="G24" t="str">
            <v>Tanzania</v>
          </cell>
          <cell r="H24" t="str">
            <v>4013</v>
          </cell>
          <cell r="I24" t="str">
            <v>坦桑尼亚</v>
          </cell>
          <cell r="J24" t="str">
            <v>Tanzania</v>
          </cell>
          <cell r="K24" t="str">
            <v>Chinese employees</v>
          </cell>
          <cell r="L24" t="str">
            <v>L1</v>
          </cell>
          <cell r="M24" t="str">
            <v>ALL</v>
          </cell>
          <cell r="N24" t="str">
            <v>FLPC(含奖金)</v>
          </cell>
          <cell r="O24" t="str">
            <v>USD/小时</v>
          </cell>
          <cell r="P24">
            <v>61.18</v>
          </cell>
        </row>
        <row r="25">
          <cell r="A25" t="str">
            <v>Tanzania - Chinese employees - L2</v>
          </cell>
          <cell r="B25" t="str">
            <v>Current version</v>
          </cell>
          <cell r="C25" t="str">
            <v>V2009R2</v>
          </cell>
          <cell r="D25" t="str">
            <v>Labor Rate</v>
          </cell>
          <cell r="E25" t="str">
            <v>SA</v>
          </cell>
          <cell r="F25" t="str">
            <v>Eastern Africa Sub-Regional Division</v>
          </cell>
          <cell r="G25" t="str">
            <v>Tanzania</v>
          </cell>
          <cell r="H25" t="str">
            <v>4013</v>
          </cell>
          <cell r="I25" t="str">
            <v>坦桑尼亚</v>
          </cell>
          <cell r="J25" t="str">
            <v>Tanzania</v>
          </cell>
          <cell r="K25" t="str">
            <v>Chinese employees</v>
          </cell>
          <cell r="L25" t="str">
            <v>L2</v>
          </cell>
          <cell r="M25" t="str">
            <v>ALL</v>
          </cell>
          <cell r="N25" t="str">
            <v>FLPC(含奖金)</v>
          </cell>
          <cell r="O25" t="str">
            <v>USD/小时</v>
          </cell>
          <cell r="P25">
            <v>70.040000000000006</v>
          </cell>
        </row>
        <row r="26">
          <cell r="A26" t="str">
            <v>Tanzania - Chinese employees - L3</v>
          </cell>
          <cell r="B26" t="str">
            <v>Current version</v>
          </cell>
          <cell r="C26" t="str">
            <v>V2009R2</v>
          </cell>
          <cell r="D26" t="str">
            <v>Labor Rate</v>
          </cell>
          <cell r="E26" t="str">
            <v>SA</v>
          </cell>
          <cell r="F26" t="str">
            <v>Eastern Africa Sub-Regional Division</v>
          </cell>
          <cell r="G26" t="str">
            <v>Tanzania</v>
          </cell>
          <cell r="H26" t="str">
            <v>4013</v>
          </cell>
          <cell r="I26" t="str">
            <v>坦桑尼亚</v>
          </cell>
          <cell r="J26" t="str">
            <v>Tanzania</v>
          </cell>
          <cell r="K26" t="str">
            <v>Chinese employees</v>
          </cell>
          <cell r="L26" t="str">
            <v>L3</v>
          </cell>
          <cell r="M26" t="str">
            <v>ALL</v>
          </cell>
          <cell r="N26" t="str">
            <v>FLPC(含奖金)</v>
          </cell>
          <cell r="O26" t="str">
            <v>USD/小时</v>
          </cell>
          <cell r="P26">
            <v>84.51</v>
          </cell>
        </row>
        <row r="27">
          <cell r="A27" t="str">
            <v>Tanzania - Chinese employees - L4</v>
          </cell>
          <cell r="B27" t="str">
            <v>Current version</v>
          </cell>
          <cell r="C27" t="str">
            <v>V2009R2</v>
          </cell>
          <cell r="D27" t="str">
            <v>Labor Rate</v>
          </cell>
          <cell r="E27" t="str">
            <v>SA</v>
          </cell>
          <cell r="F27" t="str">
            <v>Eastern Africa Sub-Regional Division</v>
          </cell>
          <cell r="G27" t="str">
            <v>Tanzania</v>
          </cell>
          <cell r="H27" t="str">
            <v>4013</v>
          </cell>
          <cell r="I27" t="str">
            <v>坦桑尼亚</v>
          </cell>
          <cell r="J27" t="str">
            <v>Tanzania</v>
          </cell>
          <cell r="K27" t="str">
            <v>Chinese employees</v>
          </cell>
          <cell r="L27" t="str">
            <v>L4</v>
          </cell>
          <cell r="M27" t="str">
            <v>ALL</v>
          </cell>
          <cell r="N27" t="str">
            <v>FLPC(含奖金)</v>
          </cell>
          <cell r="O27" t="str">
            <v>USD/小时</v>
          </cell>
          <cell r="P27">
            <v>122.55</v>
          </cell>
        </row>
        <row r="28">
          <cell r="A28" t="str">
            <v>Djibouti - Chinese employees - L0</v>
          </cell>
          <cell r="B28" t="str">
            <v>Current version</v>
          </cell>
          <cell r="C28" t="str">
            <v>V2009R2</v>
          </cell>
          <cell r="D28" t="str">
            <v>Labor Rate</v>
          </cell>
          <cell r="E28" t="str">
            <v>SA</v>
          </cell>
          <cell r="F28" t="str">
            <v>Eastern Africa Sub-Regional Division</v>
          </cell>
          <cell r="G28" t="str">
            <v>Kenya Rep.O.</v>
          </cell>
          <cell r="H28" t="str">
            <v>4018</v>
          </cell>
          <cell r="I28" t="str">
            <v>吉布提</v>
          </cell>
          <cell r="J28" t="str">
            <v>Djibouti</v>
          </cell>
          <cell r="K28" t="str">
            <v>Chinese employees</v>
          </cell>
          <cell r="L28" t="str">
            <v>L0</v>
          </cell>
          <cell r="M28" t="str">
            <v>ALL</v>
          </cell>
          <cell r="N28" t="str">
            <v>FLPC(含奖金)</v>
          </cell>
          <cell r="O28" t="str">
            <v>USD/小时</v>
          </cell>
          <cell r="P28">
            <v>46.32</v>
          </cell>
        </row>
        <row r="29">
          <cell r="A29" t="str">
            <v>Djibouti - Chinese employees - L1</v>
          </cell>
          <cell r="B29" t="str">
            <v>Current version</v>
          </cell>
          <cell r="C29" t="str">
            <v>V2009R2</v>
          </cell>
          <cell r="D29" t="str">
            <v>Labor Rate</v>
          </cell>
          <cell r="E29" t="str">
            <v>SA</v>
          </cell>
          <cell r="F29" t="str">
            <v>Eastern Africa Sub-Regional Division</v>
          </cell>
          <cell r="G29" t="str">
            <v>Kenya Rep.O.</v>
          </cell>
          <cell r="H29" t="str">
            <v>4018</v>
          </cell>
          <cell r="I29" t="str">
            <v>吉布提</v>
          </cell>
          <cell r="J29" t="str">
            <v>Djibouti</v>
          </cell>
          <cell r="K29" t="str">
            <v>Chinese employees</v>
          </cell>
          <cell r="L29" t="str">
            <v>L1</v>
          </cell>
          <cell r="M29" t="str">
            <v>ALL</v>
          </cell>
          <cell r="N29" t="str">
            <v>FLPC(含奖金)</v>
          </cell>
          <cell r="O29" t="str">
            <v>USD/小时</v>
          </cell>
          <cell r="P29">
            <v>52.83</v>
          </cell>
        </row>
        <row r="30">
          <cell r="A30" t="str">
            <v>Djibouti - Chinese employees - L2</v>
          </cell>
          <cell r="B30" t="str">
            <v>Current version</v>
          </cell>
          <cell r="C30" t="str">
            <v>V2009R2</v>
          </cell>
          <cell r="D30" t="str">
            <v>Labor Rate</v>
          </cell>
          <cell r="E30" t="str">
            <v>SA</v>
          </cell>
          <cell r="F30" t="str">
            <v>Eastern Africa Sub-Regional Division</v>
          </cell>
          <cell r="G30" t="str">
            <v>Kenya Rep.O.</v>
          </cell>
          <cell r="H30" t="str">
            <v>4018</v>
          </cell>
          <cell r="I30" t="str">
            <v>吉布提</v>
          </cell>
          <cell r="J30" t="str">
            <v>Djibouti</v>
          </cell>
          <cell r="K30" t="str">
            <v>Chinese employees</v>
          </cell>
          <cell r="L30" t="str">
            <v>L2</v>
          </cell>
          <cell r="M30" t="str">
            <v>ALL</v>
          </cell>
          <cell r="N30" t="str">
            <v>FLPC(含奖金)</v>
          </cell>
          <cell r="O30" t="str">
            <v>USD/小时</v>
          </cell>
          <cell r="P30">
            <v>61.28</v>
          </cell>
        </row>
        <row r="31">
          <cell r="A31" t="str">
            <v>Djibouti - Chinese employees - L3</v>
          </cell>
          <cell r="B31" t="str">
            <v>Current version</v>
          </cell>
          <cell r="C31" t="str">
            <v>V2009R2</v>
          </cell>
          <cell r="D31" t="str">
            <v>Labor Rate</v>
          </cell>
          <cell r="E31" t="str">
            <v>SA</v>
          </cell>
          <cell r="F31" t="str">
            <v>Eastern Africa Sub-Regional Division</v>
          </cell>
          <cell r="G31" t="str">
            <v>Kenya Rep.O.</v>
          </cell>
          <cell r="H31" t="str">
            <v>4018</v>
          </cell>
          <cell r="I31" t="str">
            <v>吉布提</v>
          </cell>
          <cell r="J31" t="str">
            <v>Djibouti</v>
          </cell>
          <cell r="K31" t="str">
            <v>Chinese employees</v>
          </cell>
          <cell r="L31" t="str">
            <v>L3</v>
          </cell>
          <cell r="M31" t="str">
            <v>ALL</v>
          </cell>
          <cell r="N31" t="str">
            <v>FLPC(含奖金)</v>
          </cell>
          <cell r="O31" t="str">
            <v>USD/小时</v>
          </cell>
          <cell r="P31">
            <v>73.36</v>
          </cell>
        </row>
        <row r="32">
          <cell r="A32" t="str">
            <v>Djibouti - Chinese employees - L4</v>
          </cell>
          <cell r="B32" t="str">
            <v>Current version</v>
          </cell>
          <cell r="C32" t="str">
            <v>V2009R2</v>
          </cell>
          <cell r="D32" t="str">
            <v>Labor Rate</v>
          </cell>
          <cell r="E32" t="str">
            <v>SA</v>
          </cell>
          <cell r="F32" t="str">
            <v>Eastern Africa Sub-Regional Division</v>
          </cell>
          <cell r="G32" t="str">
            <v>Kenya Rep.O.</v>
          </cell>
          <cell r="H32" t="str">
            <v>4018</v>
          </cell>
          <cell r="I32" t="str">
            <v>吉布提</v>
          </cell>
          <cell r="J32" t="str">
            <v>Djibouti</v>
          </cell>
          <cell r="K32" t="str">
            <v>Chinese employees</v>
          </cell>
          <cell r="L32" t="str">
            <v>L4</v>
          </cell>
          <cell r="M32" t="str">
            <v>ALL</v>
          </cell>
          <cell r="N32" t="str">
            <v>FLPC(含奖金)</v>
          </cell>
          <cell r="O32" t="str">
            <v>USD/小时</v>
          </cell>
          <cell r="P32">
            <v>116.89</v>
          </cell>
        </row>
        <row r="33">
          <cell r="A33" t="str">
            <v>Somalia - Chinese employees - L0</v>
          </cell>
          <cell r="B33" t="str">
            <v>Current version</v>
          </cell>
          <cell r="C33" t="str">
            <v>V2009R2</v>
          </cell>
          <cell r="D33" t="str">
            <v>Labor Rate</v>
          </cell>
          <cell r="E33" t="str">
            <v>SA</v>
          </cell>
          <cell r="F33" t="str">
            <v>Eastern Africa Sub-Regional Division</v>
          </cell>
          <cell r="G33" t="str">
            <v>Kenya Rep.O.</v>
          </cell>
          <cell r="H33" t="str">
            <v>4037</v>
          </cell>
          <cell r="I33" t="str">
            <v>索马里</v>
          </cell>
          <cell r="J33" t="str">
            <v>Somalia</v>
          </cell>
          <cell r="K33" t="str">
            <v>Chinese employees</v>
          </cell>
          <cell r="L33" t="str">
            <v>L0</v>
          </cell>
          <cell r="M33" t="str">
            <v>ALL</v>
          </cell>
          <cell r="N33" t="str">
            <v>FLPC(含奖金)</v>
          </cell>
          <cell r="O33" t="str">
            <v>USD/小时</v>
          </cell>
          <cell r="P33">
            <v>48.47</v>
          </cell>
        </row>
        <row r="34">
          <cell r="A34" t="str">
            <v>Somalia - Chinese employees - L1</v>
          </cell>
          <cell r="B34" t="str">
            <v>Current version</v>
          </cell>
          <cell r="C34" t="str">
            <v>V2009R2</v>
          </cell>
          <cell r="D34" t="str">
            <v>Labor Rate</v>
          </cell>
          <cell r="E34" t="str">
            <v>SA</v>
          </cell>
          <cell r="F34" t="str">
            <v>Eastern Africa Sub-Regional Division</v>
          </cell>
          <cell r="G34" t="str">
            <v>Kenya Rep.O.</v>
          </cell>
          <cell r="H34" t="str">
            <v>4037</v>
          </cell>
          <cell r="I34" t="str">
            <v>索马里</v>
          </cell>
          <cell r="J34" t="str">
            <v>Somalia</v>
          </cell>
          <cell r="K34" t="str">
            <v>Chinese employees</v>
          </cell>
          <cell r="L34" t="str">
            <v>L1</v>
          </cell>
          <cell r="M34" t="str">
            <v>ALL</v>
          </cell>
          <cell r="N34" t="str">
            <v>FLPC(含奖金)</v>
          </cell>
          <cell r="O34" t="str">
            <v>USD/小时</v>
          </cell>
          <cell r="P34">
            <v>54.98</v>
          </cell>
        </row>
        <row r="35">
          <cell r="A35" t="str">
            <v>Somalia - Chinese employees - L2</v>
          </cell>
          <cell r="B35" t="str">
            <v>Current version</v>
          </cell>
          <cell r="C35" t="str">
            <v>V2009R2</v>
          </cell>
          <cell r="D35" t="str">
            <v>Labor Rate</v>
          </cell>
          <cell r="E35" t="str">
            <v>SA</v>
          </cell>
          <cell r="F35" t="str">
            <v>Eastern Africa Sub-Regional Division</v>
          </cell>
          <cell r="G35" t="str">
            <v>Kenya Rep.O.</v>
          </cell>
          <cell r="H35" t="str">
            <v>4037</v>
          </cell>
          <cell r="I35" t="str">
            <v>索马里</v>
          </cell>
          <cell r="J35" t="str">
            <v>Somalia</v>
          </cell>
          <cell r="K35" t="str">
            <v>Chinese employees</v>
          </cell>
          <cell r="L35" t="str">
            <v>L2</v>
          </cell>
          <cell r="M35" t="str">
            <v>ALL</v>
          </cell>
          <cell r="N35" t="str">
            <v>FLPC(含奖金)</v>
          </cell>
          <cell r="O35" t="str">
            <v>USD/小时</v>
          </cell>
          <cell r="P35">
            <v>63.42</v>
          </cell>
        </row>
        <row r="36">
          <cell r="A36" t="str">
            <v>Somalia - Chinese employees - L3</v>
          </cell>
          <cell r="B36" t="str">
            <v>Current version</v>
          </cell>
          <cell r="C36" t="str">
            <v>V2009R2</v>
          </cell>
          <cell r="D36" t="str">
            <v>Labor Rate</v>
          </cell>
          <cell r="E36" t="str">
            <v>SA</v>
          </cell>
          <cell r="F36" t="str">
            <v>Eastern Africa Sub-Regional Division</v>
          </cell>
          <cell r="G36" t="str">
            <v>Kenya Rep.O.</v>
          </cell>
          <cell r="H36" t="str">
            <v>4037</v>
          </cell>
          <cell r="I36" t="str">
            <v>索马里</v>
          </cell>
          <cell r="J36" t="str">
            <v>Somalia</v>
          </cell>
          <cell r="K36" t="str">
            <v>Chinese employees</v>
          </cell>
          <cell r="L36" t="str">
            <v>L3</v>
          </cell>
          <cell r="M36" t="str">
            <v>ALL</v>
          </cell>
          <cell r="N36" t="str">
            <v>FLPC(含奖金)</v>
          </cell>
          <cell r="O36" t="str">
            <v>USD/小时</v>
          </cell>
          <cell r="P36">
            <v>75.510000000000005</v>
          </cell>
        </row>
        <row r="37">
          <cell r="A37" t="str">
            <v>Somalia - Chinese employees - L4</v>
          </cell>
          <cell r="B37" t="str">
            <v>Current version</v>
          </cell>
          <cell r="C37" t="str">
            <v>V2009R2</v>
          </cell>
          <cell r="D37" t="str">
            <v>Labor Rate</v>
          </cell>
          <cell r="E37" t="str">
            <v>SA</v>
          </cell>
          <cell r="F37" t="str">
            <v>Eastern Africa Sub-Regional Division</v>
          </cell>
          <cell r="G37" t="str">
            <v>Kenya Rep.O.</v>
          </cell>
          <cell r="H37" t="str">
            <v>4037</v>
          </cell>
          <cell r="I37" t="str">
            <v>索马里</v>
          </cell>
          <cell r="J37" t="str">
            <v>Somalia</v>
          </cell>
          <cell r="K37" t="str">
            <v>Chinese employees</v>
          </cell>
          <cell r="L37" t="str">
            <v>L4</v>
          </cell>
          <cell r="M37" t="str">
            <v>ALL</v>
          </cell>
          <cell r="N37" t="str">
            <v>FLPC(含奖金)</v>
          </cell>
          <cell r="O37" t="str">
            <v>USD/小时</v>
          </cell>
          <cell r="P37">
            <v>119.04</v>
          </cell>
        </row>
        <row r="38">
          <cell r="A38" t="str">
            <v>Kenya - Chinese employees - L0</v>
          </cell>
          <cell r="B38" t="str">
            <v>Current version</v>
          </cell>
          <cell r="C38" t="str">
            <v>V2009R2</v>
          </cell>
          <cell r="D38" t="str">
            <v>Labor Rate</v>
          </cell>
          <cell r="E38" t="str">
            <v>SA</v>
          </cell>
          <cell r="F38" t="str">
            <v>Eastern Africa Sub-Regional Division</v>
          </cell>
          <cell r="G38" t="str">
            <v>Kenya Rep.O.</v>
          </cell>
          <cell r="H38" t="str">
            <v>4002</v>
          </cell>
          <cell r="I38" t="str">
            <v>肯尼亚</v>
          </cell>
          <cell r="J38" t="str">
            <v>Kenya</v>
          </cell>
          <cell r="K38" t="str">
            <v>Chinese employees</v>
          </cell>
          <cell r="L38" t="str">
            <v>L0</v>
          </cell>
          <cell r="M38" t="str">
            <v>ALL</v>
          </cell>
          <cell r="N38" t="str">
            <v>FLPC(含奖金)</v>
          </cell>
          <cell r="O38" t="str">
            <v>USD/小时</v>
          </cell>
          <cell r="P38">
            <v>46.47</v>
          </cell>
        </row>
        <row r="39">
          <cell r="A39" t="str">
            <v>Kenya - Chinese employees - L1</v>
          </cell>
          <cell r="B39" t="str">
            <v>Current version</v>
          </cell>
          <cell r="C39" t="str">
            <v>V2009R2</v>
          </cell>
          <cell r="D39" t="str">
            <v>Labor Rate</v>
          </cell>
          <cell r="E39" t="str">
            <v>SA</v>
          </cell>
          <cell r="F39" t="str">
            <v>Eastern Africa Sub-Regional Division</v>
          </cell>
          <cell r="G39" t="str">
            <v>Kenya Rep.O.</v>
          </cell>
          <cell r="H39" t="str">
            <v>4002</v>
          </cell>
          <cell r="I39" t="str">
            <v>肯尼亚</v>
          </cell>
          <cell r="J39" t="str">
            <v>Kenya</v>
          </cell>
          <cell r="K39" t="str">
            <v>Chinese employees</v>
          </cell>
          <cell r="L39" t="str">
            <v>L1</v>
          </cell>
          <cell r="M39" t="str">
            <v>ALL</v>
          </cell>
          <cell r="N39" t="str">
            <v>FLPC(含奖金)</v>
          </cell>
          <cell r="O39" t="str">
            <v>USD/小时</v>
          </cell>
          <cell r="P39">
            <v>54.71</v>
          </cell>
        </row>
        <row r="40">
          <cell r="A40" t="str">
            <v>Kenya - Chinese employees - L2</v>
          </cell>
          <cell r="B40" t="str">
            <v>Current version</v>
          </cell>
          <cell r="C40" t="str">
            <v>V2009R2</v>
          </cell>
          <cell r="D40" t="str">
            <v>Labor Rate</v>
          </cell>
          <cell r="E40" t="str">
            <v>SA</v>
          </cell>
          <cell r="F40" t="str">
            <v>Eastern Africa Sub-Regional Division</v>
          </cell>
          <cell r="G40" t="str">
            <v>Kenya Rep.O.</v>
          </cell>
          <cell r="H40" t="str">
            <v>4002</v>
          </cell>
          <cell r="I40" t="str">
            <v>肯尼亚</v>
          </cell>
          <cell r="J40" t="str">
            <v>Kenya</v>
          </cell>
          <cell r="K40" t="str">
            <v>Chinese employees</v>
          </cell>
          <cell r="L40" t="str">
            <v>L2</v>
          </cell>
          <cell r="M40" t="str">
            <v>ALL</v>
          </cell>
          <cell r="N40" t="str">
            <v>FLPC(含奖金)</v>
          </cell>
          <cell r="O40" t="str">
            <v>USD/小时</v>
          </cell>
          <cell r="P40">
            <v>63.48</v>
          </cell>
        </row>
        <row r="41">
          <cell r="A41" t="str">
            <v>Kenya - Chinese employees - L3</v>
          </cell>
          <cell r="B41" t="str">
            <v>Current version</v>
          </cell>
          <cell r="C41" t="str">
            <v>V2009R2</v>
          </cell>
          <cell r="D41" t="str">
            <v>Labor Rate</v>
          </cell>
          <cell r="E41" t="str">
            <v>SA</v>
          </cell>
          <cell r="F41" t="str">
            <v>Eastern Africa Sub-Regional Division</v>
          </cell>
          <cell r="G41" t="str">
            <v>Kenya Rep.O.</v>
          </cell>
          <cell r="H41" t="str">
            <v>4002</v>
          </cell>
          <cell r="I41" t="str">
            <v>肯尼亚</v>
          </cell>
          <cell r="J41" t="str">
            <v>Kenya</v>
          </cell>
          <cell r="K41" t="str">
            <v>Chinese employees</v>
          </cell>
          <cell r="L41" t="str">
            <v>L3</v>
          </cell>
          <cell r="M41" t="str">
            <v>ALL</v>
          </cell>
          <cell r="N41" t="str">
            <v>FLPC(含奖金)</v>
          </cell>
          <cell r="O41" t="str">
            <v>USD/小时</v>
          </cell>
          <cell r="P41">
            <v>76</v>
          </cell>
        </row>
        <row r="42">
          <cell r="A42" t="str">
            <v>Kenya - Chinese employees - L4</v>
          </cell>
          <cell r="B42" t="str">
            <v>Current version</v>
          </cell>
          <cell r="C42" t="str">
            <v>V2009R2</v>
          </cell>
          <cell r="D42" t="str">
            <v>Labor Rate</v>
          </cell>
          <cell r="E42" t="str">
            <v>SA</v>
          </cell>
          <cell r="F42" t="str">
            <v>Eastern Africa Sub-Regional Division</v>
          </cell>
          <cell r="G42" t="str">
            <v>Kenya Rep.O.</v>
          </cell>
          <cell r="H42" t="str">
            <v>4002</v>
          </cell>
          <cell r="I42" t="str">
            <v>肯尼亚</v>
          </cell>
          <cell r="J42" t="str">
            <v>Kenya</v>
          </cell>
          <cell r="K42" t="str">
            <v>Chinese employees</v>
          </cell>
          <cell r="L42" t="str">
            <v>L4</v>
          </cell>
          <cell r="M42" t="str">
            <v>ALL</v>
          </cell>
          <cell r="N42" t="str">
            <v>FLPC(含奖金)</v>
          </cell>
          <cell r="O42" t="str">
            <v>USD/小时</v>
          </cell>
          <cell r="P42">
            <v>122.79</v>
          </cell>
        </row>
        <row r="43">
          <cell r="A43" t="str">
            <v>Congo (Kinshasa) - Chinese employees - L0</v>
          </cell>
          <cell r="B43" t="str">
            <v>Current version</v>
          </cell>
          <cell r="C43" t="str">
            <v>V2009R2</v>
          </cell>
          <cell r="D43" t="str">
            <v>Labor Rate</v>
          </cell>
          <cell r="E43" t="str">
            <v>SA</v>
          </cell>
          <cell r="F43" t="str">
            <v>Eastern Africa Sub-Regional Division</v>
          </cell>
          <cell r="G43" t="str">
            <v>Congo Rep.O.</v>
          </cell>
          <cell r="H43" t="str">
            <v>4014</v>
          </cell>
          <cell r="I43" t="str">
            <v>刚果（金）</v>
          </cell>
          <cell r="J43" t="str">
            <v>Congo (Kinshasa)</v>
          </cell>
          <cell r="K43" t="str">
            <v>Chinese employees</v>
          </cell>
          <cell r="L43" t="str">
            <v>L0</v>
          </cell>
          <cell r="M43" t="str">
            <v>ALL</v>
          </cell>
          <cell r="N43" t="str">
            <v>FLPC(含奖金)</v>
          </cell>
          <cell r="O43" t="str">
            <v>USD/小时</v>
          </cell>
          <cell r="P43">
            <v>64.680000000000007</v>
          </cell>
        </row>
        <row r="44">
          <cell r="A44" t="str">
            <v>Congo (Kinshasa) - Chinese employees - L1</v>
          </cell>
          <cell r="B44" t="str">
            <v>Current version</v>
          </cell>
          <cell r="C44" t="str">
            <v>V2009R2</v>
          </cell>
          <cell r="D44" t="str">
            <v>Labor Rate</v>
          </cell>
          <cell r="E44" t="str">
            <v>SA</v>
          </cell>
          <cell r="F44" t="str">
            <v>Eastern Africa Sub-Regional Division</v>
          </cell>
          <cell r="G44" t="str">
            <v>Congo Rep.O.</v>
          </cell>
          <cell r="H44" t="str">
            <v>4014</v>
          </cell>
          <cell r="I44" t="str">
            <v>刚果（金）</v>
          </cell>
          <cell r="J44" t="str">
            <v>Congo (Kinshasa)</v>
          </cell>
          <cell r="K44" t="str">
            <v>Chinese employees</v>
          </cell>
          <cell r="L44" t="str">
            <v>L1</v>
          </cell>
          <cell r="M44" t="str">
            <v>ALL</v>
          </cell>
          <cell r="N44" t="str">
            <v>FLPC(含奖金)</v>
          </cell>
          <cell r="O44" t="str">
            <v>USD/小时</v>
          </cell>
          <cell r="P44">
            <v>70.63</v>
          </cell>
        </row>
        <row r="45">
          <cell r="A45" t="str">
            <v>Congo (Kinshasa) - Chinese employees - L2</v>
          </cell>
          <cell r="B45" t="str">
            <v>Current version</v>
          </cell>
          <cell r="C45" t="str">
            <v>V2009R2</v>
          </cell>
          <cell r="D45" t="str">
            <v>Labor Rate</v>
          </cell>
          <cell r="E45" t="str">
            <v>SA</v>
          </cell>
          <cell r="F45" t="str">
            <v>Eastern Africa Sub-Regional Division</v>
          </cell>
          <cell r="G45" t="str">
            <v>Congo Rep.O.</v>
          </cell>
          <cell r="H45" t="str">
            <v>4014</v>
          </cell>
          <cell r="I45" t="str">
            <v>刚果（金）</v>
          </cell>
          <cell r="J45" t="str">
            <v>Congo (Kinshasa)</v>
          </cell>
          <cell r="K45" t="str">
            <v>Chinese employees</v>
          </cell>
          <cell r="L45" t="str">
            <v>L2</v>
          </cell>
          <cell r="M45" t="str">
            <v>ALL</v>
          </cell>
          <cell r="N45" t="str">
            <v>FLPC(含奖金)</v>
          </cell>
          <cell r="O45" t="str">
            <v>USD/小时</v>
          </cell>
          <cell r="P45">
            <v>78.34</v>
          </cell>
        </row>
        <row r="46">
          <cell r="A46" t="str">
            <v>Congo (Kinshasa) - Chinese employees - L3</v>
          </cell>
          <cell r="B46" t="str">
            <v>Current version</v>
          </cell>
          <cell r="C46" t="str">
            <v>V2009R2</v>
          </cell>
          <cell r="D46" t="str">
            <v>Labor Rate</v>
          </cell>
          <cell r="E46" t="str">
            <v>SA</v>
          </cell>
          <cell r="F46" t="str">
            <v>Eastern Africa Sub-Regional Division</v>
          </cell>
          <cell r="G46" t="str">
            <v>Congo Rep.O.</v>
          </cell>
          <cell r="H46" t="str">
            <v>4014</v>
          </cell>
          <cell r="I46" t="str">
            <v>刚果（金）</v>
          </cell>
          <cell r="J46" t="str">
            <v>Congo (Kinshasa)</v>
          </cell>
          <cell r="K46" t="str">
            <v>Chinese employees</v>
          </cell>
          <cell r="L46" t="str">
            <v>L3</v>
          </cell>
          <cell r="M46" t="str">
            <v>ALL</v>
          </cell>
          <cell r="N46" t="str">
            <v>FLPC(含奖金)</v>
          </cell>
          <cell r="O46" t="str">
            <v>USD/小时</v>
          </cell>
          <cell r="P46">
            <v>89.38</v>
          </cell>
        </row>
        <row r="47">
          <cell r="A47" t="str">
            <v>Congo (Kinshasa) - Chinese employees - L4</v>
          </cell>
          <cell r="B47" t="str">
            <v>Current version</v>
          </cell>
          <cell r="C47" t="str">
            <v>V2009R2</v>
          </cell>
          <cell r="D47" t="str">
            <v>Labor Rate</v>
          </cell>
          <cell r="E47" t="str">
            <v>SA</v>
          </cell>
          <cell r="F47" t="str">
            <v>Eastern Africa Sub-Regional Division</v>
          </cell>
          <cell r="G47" t="str">
            <v>Congo Rep.O.</v>
          </cell>
          <cell r="H47" t="str">
            <v>4014</v>
          </cell>
          <cell r="I47" t="str">
            <v>刚果（金）</v>
          </cell>
          <cell r="J47" t="str">
            <v>Congo (Kinshasa)</v>
          </cell>
          <cell r="K47" t="str">
            <v>Chinese employees</v>
          </cell>
          <cell r="L47" t="str">
            <v>L4</v>
          </cell>
          <cell r="M47" t="str">
            <v>ALL</v>
          </cell>
          <cell r="N47" t="str">
            <v>FLPC(含奖金)</v>
          </cell>
          <cell r="O47" t="str">
            <v>USD/小时</v>
          </cell>
          <cell r="P47">
            <v>129.16</v>
          </cell>
        </row>
        <row r="48">
          <cell r="A48" t="str">
            <v>Congo (Brazzaville) - Chinese employees - L0</v>
          </cell>
          <cell r="B48" t="str">
            <v>Current version</v>
          </cell>
          <cell r="C48" t="str">
            <v>V2009R2</v>
          </cell>
          <cell r="D48" t="str">
            <v>Labor Rate</v>
          </cell>
          <cell r="E48" t="str">
            <v>SA</v>
          </cell>
          <cell r="F48" t="str">
            <v>Eastern Africa Sub-Regional Division</v>
          </cell>
          <cell r="G48" t="str">
            <v>Congo Rep.O.</v>
          </cell>
          <cell r="H48" t="str">
            <v>4036</v>
          </cell>
          <cell r="I48" t="str">
            <v>刚果（布）</v>
          </cell>
          <cell r="J48" t="str">
            <v>Congo (Brazzaville)</v>
          </cell>
          <cell r="K48" t="str">
            <v>Chinese employees</v>
          </cell>
          <cell r="L48" t="str">
            <v>L0</v>
          </cell>
          <cell r="M48" t="str">
            <v>ALL</v>
          </cell>
          <cell r="N48" t="str">
            <v>FLPC(含奖金)</v>
          </cell>
          <cell r="O48" t="str">
            <v>USD/小时</v>
          </cell>
          <cell r="P48">
            <v>62.71</v>
          </cell>
        </row>
        <row r="49">
          <cell r="A49" t="str">
            <v>Congo (Brazzaville) - Chinese employees - L1</v>
          </cell>
          <cell r="B49" t="str">
            <v>Current version</v>
          </cell>
          <cell r="C49" t="str">
            <v>V2009R2</v>
          </cell>
          <cell r="D49" t="str">
            <v>Labor Rate</v>
          </cell>
          <cell r="E49" t="str">
            <v>SA</v>
          </cell>
          <cell r="F49" t="str">
            <v>Eastern Africa Sub-Regional Division</v>
          </cell>
          <cell r="G49" t="str">
            <v>Congo Rep.O.</v>
          </cell>
          <cell r="H49" t="str">
            <v>4036</v>
          </cell>
          <cell r="I49" t="str">
            <v>刚果（布）</v>
          </cell>
          <cell r="J49" t="str">
            <v>Congo (Brazzaville)</v>
          </cell>
          <cell r="K49" t="str">
            <v>Chinese employees</v>
          </cell>
          <cell r="L49" t="str">
            <v>L1</v>
          </cell>
          <cell r="M49" t="str">
            <v>ALL</v>
          </cell>
          <cell r="N49" t="str">
            <v>FLPC(含奖金)</v>
          </cell>
          <cell r="O49" t="str">
            <v>USD/小时</v>
          </cell>
          <cell r="P49">
            <v>68.67</v>
          </cell>
        </row>
        <row r="50">
          <cell r="A50" t="str">
            <v>Congo (Brazzaville) - Chinese employees - L2</v>
          </cell>
          <cell r="B50" t="str">
            <v>Current version</v>
          </cell>
          <cell r="C50" t="str">
            <v>V2009R2</v>
          </cell>
          <cell r="D50" t="str">
            <v>Labor Rate</v>
          </cell>
          <cell r="E50" t="str">
            <v>SA</v>
          </cell>
          <cell r="F50" t="str">
            <v>Eastern Africa Sub-Regional Division</v>
          </cell>
          <cell r="G50" t="str">
            <v>Congo Rep.O.</v>
          </cell>
          <cell r="H50" t="str">
            <v>4036</v>
          </cell>
          <cell r="I50" t="str">
            <v>刚果（布）</v>
          </cell>
          <cell r="J50" t="str">
            <v>Congo (Brazzaville)</v>
          </cell>
          <cell r="K50" t="str">
            <v>Chinese employees</v>
          </cell>
          <cell r="L50" t="str">
            <v>L2</v>
          </cell>
          <cell r="M50" t="str">
            <v>ALL</v>
          </cell>
          <cell r="N50" t="str">
            <v>FLPC(含奖金)</v>
          </cell>
          <cell r="O50" t="str">
            <v>USD/小时</v>
          </cell>
          <cell r="P50">
            <v>76.38</v>
          </cell>
        </row>
        <row r="51">
          <cell r="A51" t="str">
            <v>Congo (Brazzaville) - Chinese employees - L3</v>
          </cell>
          <cell r="B51" t="str">
            <v>Current version</v>
          </cell>
          <cell r="C51" t="str">
            <v>V2009R2</v>
          </cell>
          <cell r="D51" t="str">
            <v>Labor Rate</v>
          </cell>
          <cell r="E51" t="str">
            <v>SA</v>
          </cell>
          <cell r="F51" t="str">
            <v>Eastern Africa Sub-Regional Division</v>
          </cell>
          <cell r="G51" t="str">
            <v>Congo Rep.O.</v>
          </cell>
          <cell r="H51" t="str">
            <v>4036</v>
          </cell>
          <cell r="I51" t="str">
            <v>刚果（布）</v>
          </cell>
          <cell r="J51" t="str">
            <v>Congo (Brazzaville)</v>
          </cell>
          <cell r="K51" t="str">
            <v>Chinese employees</v>
          </cell>
          <cell r="L51" t="str">
            <v>L3</v>
          </cell>
          <cell r="M51" t="str">
            <v>ALL</v>
          </cell>
          <cell r="N51" t="str">
            <v>FLPC(含奖金)</v>
          </cell>
          <cell r="O51" t="str">
            <v>USD/小时</v>
          </cell>
          <cell r="P51">
            <v>87.42</v>
          </cell>
        </row>
        <row r="52">
          <cell r="A52" t="str">
            <v>Congo (Brazzaville) - Chinese employees - L4</v>
          </cell>
          <cell r="B52" t="str">
            <v>Current version</v>
          </cell>
          <cell r="C52" t="str">
            <v>V2009R2</v>
          </cell>
          <cell r="D52" t="str">
            <v>Labor Rate</v>
          </cell>
          <cell r="E52" t="str">
            <v>SA</v>
          </cell>
          <cell r="F52" t="str">
            <v>Eastern Africa Sub-Regional Division</v>
          </cell>
          <cell r="G52" t="str">
            <v>Congo Rep.O.</v>
          </cell>
          <cell r="H52" t="str">
            <v>4036</v>
          </cell>
          <cell r="I52" t="str">
            <v>刚果（布）</v>
          </cell>
          <cell r="J52" t="str">
            <v>Congo (Brazzaville)</v>
          </cell>
          <cell r="K52" t="str">
            <v>Chinese employees</v>
          </cell>
          <cell r="L52" t="str">
            <v>L4</v>
          </cell>
          <cell r="M52" t="str">
            <v>ALL</v>
          </cell>
          <cell r="N52" t="str">
            <v>FLPC(含奖金)</v>
          </cell>
          <cell r="O52" t="str">
            <v>USD/小时</v>
          </cell>
          <cell r="P52">
            <v>127.2</v>
          </cell>
        </row>
        <row r="53">
          <cell r="A53" t="str">
            <v>Espirito Santo,Brazil - Chinese employees - L0</v>
          </cell>
          <cell r="B53" t="str">
            <v>Current version</v>
          </cell>
          <cell r="C53" t="str">
            <v>V2009R2</v>
          </cell>
          <cell r="D53" t="str">
            <v>Labor Rate</v>
          </cell>
          <cell r="E53" t="str">
            <v>LA</v>
          </cell>
          <cell r="F53" t="str">
            <v>Southern South America Sub-Regional Division</v>
          </cell>
          <cell r="G53" t="str">
            <v>Espirito Santo Rep.O.</v>
          </cell>
          <cell r="H53" t="str">
            <v>6023</v>
          </cell>
          <cell r="I53" t="str">
            <v>巴西里亚桑多</v>
          </cell>
          <cell r="J53" t="str">
            <v>Espirito Santo,Brazil</v>
          </cell>
          <cell r="K53" t="str">
            <v>Chinese employees</v>
          </cell>
          <cell r="L53" t="str">
            <v>L0</v>
          </cell>
          <cell r="M53" t="str">
            <v>ALL</v>
          </cell>
          <cell r="N53" t="str">
            <v>FLPC(含奖金)</v>
          </cell>
          <cell r="O53" t="str">
            <v>USD/小时</v>
          </cell>
          <cell r="P53">
            <v>56.6</v>
          </cell>
        </row>
        <row r="54">
          <cell r="A54" t="str">
            <v>Espirito Santo,Brazil - Chinese employees - L1</v>
          </cell>
          <cell r="B54" t="str">
            <v>Current version</v>
          </cell>
          <cell r="C54" t="str">
            <v>V2009R2</v>
          </cell>
          <cell r="D54" t="str">
            <v>Labor Rate</v>
          </cell>
          <cell r="E54" t="str">
            <v>LA</v>
          </cell>
          <cell r="F54" t="str">
            <v>Southern South America Sub-Regional Division</v>
          </cell>
          <cell r="G54" t="str">
            <v>Espirito Santo Rep.O.</v>
          </cell>
          <cell r="H54" t="str">
            <v>6023</v>
          </cell>
          <cell r="I54" t="str">
            <v>巴西里亚桑多</v>
          </cell>
          <cell r="J54" t="str">
            <v>Espirito Santo,Brazil</v>
          </cell>
          <cell r="K54" t="str">
            <v>Chinese employees</v>
          </cell>
          <cell r="L54" t="str">
            <v>L1</v>
          </cell>
          <cell r="M54" t="str">
            <v>ALL</v>
          </cell>
          <cell r="N54" t="str">
            <v>FLPC(含奖金)</v>
          </cell>
          <cell r="O54" t="str">
            <v>USD/小时</v>
          </cell>
          <cell r="P54">
            <v>63.97</v>
          </cell>
        </row>
        <row r="55">
          <cell r="A55" t="str">
            <v>Espirito Santo,Brazil - Chinese employees - L2</v>
          </cell>
          <cell r="B55" t="str">
            <v>Current version</v>
          </cell>
          <cell r="C55" t="str">
            <v>V2009R2</v>
          </cell>
          <cell r="D55" t="str">
            <v>Labor Rate</v>
          </cell>
          <cell r="E55" t="str">
            <v>LA</v>
          </cell>
          <cell r="F55" t="str">
            <v>Southern South America Sub-Regional Division</v>
          </cell>
          <cell r="G55" t="str">
            <v>Espirito Santo Rep.O.</v>
          </cell>
          <cell r="H55" t="str">
            <v>6023</v>
          </cell>
          <cell r="I55" t="str">
            <v>巴西里亚桑多</v>
          </cell>
          <cell r="J55" t="str">
            <v>Espirito Santo,Brazil</v>
          </cell>
          <cell r="K55" t="str">
            <v>Chinese employees</v>
          </cell>
          <cell r="L55" t="str">
            <v>L2</v>
          </cell>
          <cell r="M55" t="str">
            <v>ALL</v>
          </cell>
          <cell r="N55" t="str">
            <v>FLPC(含奖金)</v>
          </cell>
          <cell r="O55" t="str">
            <v>USD/小时</v>
          </cell>
          <cell r="P55">
            <v>73.709999999999994</v>
          </cell>
        </row>
        <row r="56">
          <cell r="A56" t="str">
            <v>Espirito Santo,Brazil - Chinese employees - L3</v>
          </cell>
          <cell r="B56" t="str">
            <v>Current version</v>
          </cell>
          <cell r="C56" t="str">
            <v>V2009R2</v>
          </cell>
          <cell r="D56" t="str">
            <v>Labor Rate</v>
          </cell>
          <cell r="E56" t="str">
            <v>LA</v>
          </cell>
          <cell r="F56" t="str">
            <v>Southern South America Sub-Regional Division</v>
          </cell>
          <cell r="G56" t="str">
            <v>Espirito Santo Rep.O.</v>
          </cell>
          <cell r="H56" t="str">
            <v>6023</v>
          </cell>
          <cell r="I56" t="str">
            <v>巴西里亚桑多</v>
          </cell>
          <cell r="J56" t="str">
            <v>Espirito Santo,Brazil</v>
          </cell>
          <cell r="K56" t="str">
            <v>Chinese employees</v>
          </cell>
          <cell r="L56" t="str">
            <v>L3</v>
          </cell>
          <cell r="M56" t="str">
            <v>ALL</v>
          </cell>
          <cell r="N56" t="str">
            <v>FLPC(含奖金)</v>
          </cell>
          <cell r="O56" t="str">
            <v>USD/小时</v>
          </cell>
          <cell r="P56">
            <v>87.9</v>
          </cell>
        </row>
        <row r="57">
          <cell r="A57" t="str">
            <v>Espirito Santo,Brazil - Chinese employees - L4</v>
          </cell>
          <cell r="B57" t="str">
            <v>Current version</v>
          </cell>
          <cell r="C57" t="str">
            <v>V2009R2</v>
          </cell>
          <cell r="D57" t="str">
            <v>Labor Rate</v>
          </cell>
          <cell r="E57" t="str">
            <v>LA</v>
          </cell>
          <cell r="F57" t="str">
            <v>Southern South America Sub-Regional Division</v>
          </cell>
          <cell r="G57" t="str">
            <v>Espirito Santo Rep.O.</v>
          </cell>
          <cell r="H57" t="str">
            <v>6023</v>
          </cell>
          <cell r="I57" t="str">
            <v>巴西里亚桑多</v>
          </cell>
          <cell r="J57" t="str">
            <v>Espirito Santo,Brazil</v>
          </cell>
          <cell r="K57" t="str">
            <v>Chinese employees</v>
          </cell>
          <cell r="L57" t="str">
            <v>L4</v>
          </cell>
          <cell r="M57" t="str">
            <v>ALL</v>
          </cell>
          <cell r="N57" t="str">
            <v>FLPC(含奖金)</v>
          </cell>
          <cell r="O57" t="str">
            <v>USD/小时</v>
          </cell>
          <cell r="P57">
            <v>135.33000000000001</v>
          </cell>
        </row>
        <row r="58">
          <cell r="A58" t="str">
            <v>Chile - Chinese employees - L0</v>
          </cell>
          <cell r="B58" t="str">
            <v>Current version</v>
          </cell>
          <cell r="C58" t="str">
            <v>V2009R2</v>
          </cell>
          <cell r="D58" t="str">
            <v>Labor Rate</v>
          </cell>
          <cell r="E58" t="str">
            <v>LA</v>
          </cell>
          <cell r="F58" t="str">
            <v>Southern South America Sub-Regional Division</v>
          </cell>
          <cell r="G58" t="str">
            <v>Chile</v>
          </cell>
          <cell r="H58" t="str">
            <v>6003</v>
          </cell>
          <cell r="I58" t="str">
            <v>智利</v>
          </cell>
          <cell r="J58" t="str">
            <v>Chile</v>
          </cell>
          <cell r="K58" t="str">
            <v>Chinese employees</v>
          </cell>
          <cell r="L58" t="str">
            <v>L0</v>
          </cell>
          <cell r="M58" t="str">
            <v>ALL</v>
          </cell>
          <cell r="N58" t="str">
            <v>FLPC(含奖金)</v>
          </cell>
          <cell r="O58" t="str">
            <v>USD/小时</v>
          </cell>
          <cell r="P58">
            <v>48.07</v>
          </cell>
        </row>
        <row r="59">
          <cell r="A59" t="str">
            <v>Chile - Chinese employees - L1</v>
          </cell>
          <cell r="B59" t="str">
            <v>Current version</v>
          </cell>
          <cell r="C59" t="str">
            <v>V2009R2</v>
          </cell>
          <cell r="D59" t="str">
            <v>Labor Rate</v>
          </cell>
          <cell r="E59" t="str">
            <v>LA</v>
          </cell>
          <cell r="F59" t="str">
            <v>Southern South America Sub-Regional Division</v>
          </cell>
          <cell r="G59" t="str">
            <v>Chile</v>
          </cell>
          <cell r="H59" t="str">
            <v>6003</v>
          </cell>
          <cell r="I59" t="str">
            <v>智利</v>
          </cell>
          <cell r="J59" t="str">
            <v>Chile</v>
          </cell>
          <cell r="K59" t="str">
            <v>Chinese employees</v>
          </cell>
          <cell r="L59" t="str">
            <v>L1</v>
          </cell>
          <cell r="M59" t="str">
            <v>ALL</v>
          </cell>
          <cell r="N59" t="str">
            <v>FLPC(含奖金)</v>
          </cell>
          <cell r="O59" t="str">
            <v>USD/小时</v>
          </cell>
          <cell r="P59">
            <v>54.42</v>
          </cell>
        </row>
        <row r="60">
          <cell r="A60" t="str">
            <v>Chile - Chinese employees - L2</v>
          </cell>
          <cell r="B60" t="str">
            <v>Current version</v>
          </cell>
          <cell r="C60" t="str">
            <v>V2009R2</v>
          </cell>
          <cell r="D60" t="str">
            <v>Labor Rate</v>
          </cell>
          <cell r="E60" t="str">
            <v>LA</v>
          </cell>
          <cell r="F60" t="str">
            <v>Southern South America Sub-Regional Division</v>
          </cell>
          <cell r="G60" t="str">
            <v>Chile</v>
          </cell>
          <cell r="H60" t="str">
            <v>6003</v>
          </cell>
          <cell r="I60" t="str">
            <v>智利</v>
          </cell>
          <cell r="J60" t="str">
            <v>Chile</v>
          </cell>
          <cell r="K60" t="str">
            <v>Chinese employees</v>
          </cell>
          <cell r="L60" t="str">
            <v>L2</v>
          </cell>
          <cell r="M60" t="str">
            <v>ALL</v>
          </cell>
          <cell r="N60" t="str">
            <v>FLPC(含奖金)</v>
          </cell>
          <cell r="O60" t="str">
            <v>USD/小时</v>
          </cell>
          <cell r="P60">
            <v>62.65</v>
          </cell>
        </row>
        <row r="61">
          <cell r="A61" t="str">
            <v>Chile - Chinese employees - L3</v>
          </cell>
          <cell r="B61" t="str">
            <v>Current version</v>
          </cell>
          <cell r="C61" t="str">
            <v>V2009R2</v>
          </cell>
          <cell r="D61" t="str">
            <v>Labor Rate</v>
          </cell>
          <cell r="E61" t="str">
            <v>LA</v>
          </cell>
          <cell r="F61" t="str">
            <v>Southern South America Sub-Regional Division</v>
          </cell>
          <cell r="G61" t="str">
            <v>Chile</v>
          </cell>
          <cell r="H61" t="str">
            <v>6003</v>
          </cell>
          <cell r="I61" t="str">
            <v>智利</v>
          </cell>
          <cell r="J61" t="str">
            <v>Chile</v>
          </cell>
          <cell r="K61" t="str">
            <v>Chinese employees</v>
          </cell>
          <cell r="L61" t="str">
            <v>L3</v>
          </cell>
          <cell r="M61" t="str">
            <v>ALL</v>
          </cell>
          <cell r="N61" t="str">
            <v>FLPC(含奖金)</v>
          </cell>
          <cell r="O61" t="str">
            <v>USD/小时</v>
          </cell>
          <cell r="P61">
            <v>75.95</v>
          </cell>
        </row>
        <row r="62">
          <cell r="A62" t="str">
            <v>Chile - Chinese employees - L4</v>
          </cell>
          <cell r="B62" t="str">
            <v>Current version</v>
          </cell>
          <cell r="C62" t="str">
            <v>V2009R2</v>
          </cell>
          <cell r="D62" t="str">
            <v>Labor Rate</v>
          </cell>
          <cell r="E62" t="str">
            <v>LA</v>
          </cell>
          <cell r="F62" t="str">
            <v>Southern South America Sub-Regional Division</v>
          </cell>
          <cell r="G62" t="str">
            <v>Chile</v>
          </cell>
          <cell r="H62" t="str">
            <v>6003</v>
          </cell>
          <cell r="I62" t="str">
            <v>智利</v>
          </cell>
          <cell r="J62" t="str">
            <v>Chile</v>
          </cell>
          <cell r="K62" t="str">
            <v>Chinese employees</v>
          </cell>
          <cell r="L62" t="str">
            <v>L4</v>
          </cell>
          <cell r="M62" t="str">
            <v>ALL</v>
          </cell>
          <cell r="N62" t="str">
            <v>FLPC(含奖金)</v>
          </cell>
          <cell r="O62" t="str">
            <v>USD/小时</v>
          </cell>
          <cell r="P62">
            <v>118.38</v>
          </cell>
        </row>
        <row r="63">
          <cell r="A63" t="str">
            <v>Sao Paulo, Brazil - Chinese employees - L0</v>
          </cell>
          <cell r="B63" t="str">
            <v>Current version</v>
          </cell>
          <cell r="C63" t="str">
            <v>V2009R2</v>
          </cell>
          <cell r="D63" t="str">
            <v>Labor Rate</v>
          </cell>
          <cell r="E63" t="str">
            <v>LA</v>
          </cell>
          <cell r="F63" t="str">
            <v>Southern South America Sub-Regional Division</v>
          </cell>
          <cell r="G63" t="str">
            <v>Brazil-Sao Paulo Rep.O.</v>
          </cell>
          <cell r="H63" t="str">
            <v>6013</v>
          </cell>
          <cell r="I63" t="str">
            <v>巴西圣保罗</v>
          </cell>
          <cell r="J63" t="str">
            <v>Sao Paulo, Brazil</v>
          </cell>
          <cell r="K63" t="str">
            <v>Chinese employees</v>
          </cell>
          <cell r="L63" t="str">
            <v>L0</v>
          </cell>
          <cell r="M63" t="str">
            <v>ALL</v>
          </cell>
          <cell r="N63" t="str">
            <v>FLPC(含奖金)</v>
          </cell>
          <cell r="O63" t="str">
            <v>USD/小时</v>
          </cell>
          <cell r="P63">
            <v>56.6</v>
          </cell>
        </row>
        <row r="64">
          <cell r="A64" t="str">
            <v>Sao Paulo, Brazil - Chinese employees - L1</v>
          </cell>
          <cell r="B64" t="str">
            <v>Current version</v>
          </cell>
          <cell r="C64" t="str">
            <v>V2009R2</v>
          </cell>
          <cell r="D64" t="str">
            <v>Labor Rate</v>
          </cell>
          <cell r="E64" t="str">
            <v>LA</v>
          </cell>
          <cell r="F64" t="str">
            <v>Southern South America Sub-Regional Division</v>
          </cell>
          <cell r="G64" t="str">
            <v>Brazil-Sao Paulo Rep.O.</v>
          </cell>
          <cell r="H64" t="str">
            <v>6013</v>
          </cell>
          <cell r="I64" t="str">
            <v>巴西圣保罗</v>
          </cell>
          <cell r="J64" t="str">
            <v>Sao Paulo, Brazil</v>
          </cell>
          <cell r="K64" t="str">
            <v>Chinese employees</v>
          </cell>
          <cell r="L64" t="str">
            <v>L1</v>
          </cell>
          <cell r="M64" t="str">
            <v>ALL</v>
          </cell>
          <cell r="N64" t="str">
            <v>FLPC(含奖金)</v>
          </cell>
          <cell r="O64" t="str">
            <v>USD/小时</v>
          </cell>
          <cell r="P64">
            <v>63.97</v>
          </cell>
        </row>
        <row r="65">
          <cell r="A65" t="str">
            <v>Sao Paulo, Brazil - Chinese employees - L2</v>
          </cell>
          <cell r="B65" t="str">
            <v>Current version</v>
          </cell>
          <cell r="C65" t="str">
            <v>V2009R2</v>
          </cell>
          <cell r="D65" t="str">
            <v>Labor Rate</v>
          </cell>
          <cell r="E65" t="str">
            <v>LA</v>
          </cell>
          <cell r="F65" t="str">
            <v>Southern South America Sub-Regional Division</v>
          </cell>
          <cell r="G65" t="str">
            <v>Brazil-Sao Paulo Rep.O.</v>
          </cell>
          <cell r="H65" t="str">
            <v>6013</v>
          </cell>
          <cell r="I65" t="str">
            <v>巴西圣保罗</v>
          </cell>
          <cell r="J65" t="str">
            <v>Sao Paulo, Brazil</v>
          </cell>
          <cell r="K65" t="str">
            <v>Chinese employees</v>
          </cell>
          <cell r="L65" t="str">
            <v>L2</v>
          </cell>
          <cell r="M65" t="str">
            <v>ALL</v>
          </cell>
          <cell r="N65" t="str">
            <v>FLPC(含奖金)</v>
          </cell>
          <cell r="O65" t="str">
            <v>USD/小时</v>
          </cell>
          <cell r="P65">
            <v>73.709999999999994</v>
          </cell>
        </row>
        <row r="66">
          <cell r="A66" t="str">
            <v>Sao Paulo, Brazil - Chinese employees - L3</v>
          </cell>
          <cell r="B66" t="str">
            <v>Current version</v>
          </cell>
          <cell r="C66" t="str">
            <v>V2009R2</v>
          </cell>
          <cell r="D66" t="str">
            <v>Labor Rate</v>
          </cell>
          <cell r="E66" t="str">
            <v>LA</v>
          </cell>
          <cell r="F66" t="str">
            <v>Southern South America Sub-Regional Division</v>
          </cell>
          <cell r="G66" t="str">
            <v>Brazil-Sao Paulo Rep.O.</v>
          </cell>
          <cell r="H66" t="str">
            <v>6013</v>
          </cell>
          <cell r="I66" t="str">
            <v>巴西圣保罗</v>
          </cell>
          <cell r="J66" t="str">
            <v>Sao Paulo, Brazil</v>
          </cell>
          <cell r="K66" t="str">
            <v>Chinese employees</v>
          </cell>
          <cell r="L66" t="str">
            <v>L3</v>
          </cell>
          <cell r="M66" t="str">
            <v>ALL</v>
          </cell>
          <cell r="N66" t="str">
            <v>FLPC(含奖金)</v>
          </cell>
          <cell r="O66" t="str">
            <v>USD/小时</v>
          </cell>
          <cell r="P66">
            <v>87.9</v>
          </cell>
        </row>
        <row r="67">
          <cell r="A67" t="str">
            <v>Sao Paulo, Brazil - Chinese employees - L4</v>
          </cell>
          <cell r="B67" t="str">
            <v>Current version</v>
          </cell>
          <cell r="C67" t="str">
            <v>V2009R2</v>
          </cell>
          <cell r="D67" t="str">
            <v>Labor Rate</v>
          </cell>
          <cell r="E67" t="str">
            <v>LA</v>
          </cell>
          <cell r="F67" t="str">
            <v>Southern South America Sub-Regional Division</v>
          </cell>
          <cell r="G67" t="str">
            <v>Brazil-Sao Paulo Rep.O.</v>
          </cell>
          <cell r="H67" t="str">
            <v>6013</v>
          </cell>
          <cell r="I67" t="str">
            <v>巴西圣保罗</v>
          </cell>
          <cell r="J67" t="str">
            <v>Sao Paulo, Brazil</v>
          </cell>
          <cell r="K67" t="str">
            <v>Chinese employees</v>
          </cell>
          <cell r="L67" t="str">
            <v>L4</v>
          </cell>
          <cell r="M67" t="str">
            <v>ALL</v>
          </cell>
          <cell r="N67" t="str">
            <v>FLPC(含奖金)</v>
          </cell>
          <cell r="O67" t="str">
            <v>USD/小时</v>
          </cell>
          <cell r="P67">
            <v>135.33000000000001</v>
          </cell>
        </row>
        <row r="68">
          <cell r="A68" t="str">
            <v>Porto Alegre, Brazil - Chinese employees - L0</v>
          </cell>
          <cell r="B68" t="str">
            <v>Current version</v>
          </cell>
          <cell r="C68" t="str">
            <v>V2009R2</v>
          </cell>
          <cell r="D68" t="str">
            <v>Labor Rate</v>
          </cell>
          <cell r="E68" t="str">
            <v>LA</v>
          </cell>
          <cell r="F68" t="str">
            <v>Southern South America Sub-Regional Division</v>
          </cell>
          <cell r="G68" t="str">
            <v>Brazil-Sao Paulo Rep.O.</v>
          </cell>
          <cell r="H68" t="str">
            <v>6032</v>
          </cell>
          <cell r="I68" t="str">
            <v>巴西愉港</v>
          </cell>
          <cell r="J68" t="str">
            <v>Porto Alegre, Brazil</v>
          </cell>
          <cell r="K68" t="str">
            <v>Chinese employees</v>
          </cell>
          <cell r="L68" t="str">
            <v>L0</v>
          </cell>
          <cell r="M68" t="str">
            <v>ALL</v>
          </cell>
          <cell r="N68" t="str">
            <v>FLPC(含奖金)</v>
          </cell>
          <cell r="O68" t="str">
            <v>USD/小时</v>
          </cell>
          <cell r="P68">
            <v>56.6</v>
          </cell>
        </row>
        <row r="69">
          <cell r="A69" t="str">
            <v>Porto Alegre, Brazil - Chinese employees - L1</v>
          </cell>
          <cell r="B69" t="str">
            <v>Current version</v>
          </cell>
          <cell r="C69" t="str">
            <v>V2009R2</v>
          </cell>
          <cell r="D69" t="str">
            <v>Labor Rate</v>
          </cell>
          <cell r="E69" t="str">
            <v>LA</v>
          </cell>
          <cell r="F69" t="str">
            <v>Southern South America Sub-Regional Division</v>
          </cell>
          <cell r="G69" t="str">
            <v>Brazil-Sao Paulo Rep.O.</v>
          </cell>
          <cell r="H69" t="str">
            <v>6032</v>
          </cell>
          <cell r="I69" t="str">
            <v>巴西愉港</v>
          </cell>
          <cell r="J69" t="str">
            <v>Porto Alegre, Brazil</v>
          </cell>
          <cell r="K69" t="str">
            <v>Chinese employees</v>
          </cell>
          <cell r="L69" t="str">
            <v>L1</v>
          </cell>
          <cell r="M69" t="str">
            <v>ALL</v>
          </cell>
          <cell r="N69" t="str">
            <v>FLPC(含奖金)</v>
          </cell>
          <cell r="O69" t="str">
            <v>USD/小时</v>
          </cell>
          <cell r="P69">
            <v>63.97</v>
          </cell>
        </row>
        <row r="70">
          <cell r="A70" t="str">
            <v>Porto Alegre, Brazil - Chinese employees - L2</v>
          </cell>
          <cell r="B70" t="str">
            <v>Current version</v>
          </cell>
          <cell r="C70" t="str">
            <v>V2009R2</v>
          </cell>
          <cell r="D70" t="str">
            <v>Labor Rate</v>
          </cell>
          <cell r="E70" t="str">
            <v>LA</v>
          </cell>
          <cell r="F70" t="str">
            <v>Southern South America Sub-Regional Division</v>
          </cell>
          <cell r="G70" t="str">
            <v>Brazil-Sao Paulo Rep.O.</v>
          </cell>
          <cell r="H70" t="str">
            <v>6032</v>
          </cell>
          <cell r="I70" t="str">
            <v>巴西愉港</v>
          </cell>
          <cell r="J70" t="str">
            <v>Porto Alegre, Brazil</v>
          </cell>
          <cell r="K70" t="str">
            <v>Chinese employees</v>
          </cell>
          <cell r="L70" t="str">
            <v>L2</v>
          </cell>
          <cell r="M70" t="str">
            <v>ALL</v>
          </cell>
          <cell r="N70" t="str">
            <v>FLPC(含奖金)</v>
          </cell>
          <cell r="O70" t="str">
            <v>USD/小时</v>
          </cell>
          <cell r="P70">
            <v>73.709999999999994</v>
          </cell>
        </row>
        <row r="71">
          <cell r="A71" t="str">
            <v>Porto Alegre, Brazil - Chinese employees - L3</v>
          </cell>
          <cell r="B71" t="str">
            <v>Current version</v>
          </cell>
          <cell r="C71" t="str">
            <v>V2009R2</v>
          </cell>
          <cell r="D71" t="str">
            <v>Labor Rate</v>
          </cell>
          <cell r="E71" t="str">
            <v>LA</v>
          </cell>
          <cell r="F71" t="str">
            <v>Southern South America Sub-Regional Division</v>
          </cell>
          <cell r="G71" t="str">
            <v>Brazil-Sao Paulo Rep.O.</v>
          </cell>
          <cell r="H71" t="str">
            <v>6032</v>
          </cell>
          <cell r="I71" t="str">
            <v>巴西愉港</v>
          </cell>
          <cell r="J71" t="str">
            <v>Porto Alegre, Brazil</v>
          </cell>
          <cell r="K71" t="str">
            <v>Chinese employees</v>
          </cell>
          <cell r="L71" t="str">
            <v>L3</v>
          </cell>
          <cell r="M71" t="str">
            <v>ALL</v>
          </cell>
          <cell r="N71" t="str">
            <v>FLPC(含奖金)</v>
          </cell>
          <cell r="O71" t="str">
            <v>USD/小时</v>
          </cell>
          <cell r="P71">
            <v>87.9</v>
          </cell>
        </row>
        <row r="72">
          <cell r="A72" t="str">
            <v>Porto Alegre, Brazil - Chinese employees - L4</v>
          </cell>
          <cell r="B72" t="str">
            <v>Current version</v>
          </cell>
          <cell r="C72" t="str">
            <v>V2009R2</v>
          </cell>
          <cell r="D72" t="str">
            <v>Labor Rate</v>
          </cell>
          <cell r="E72" t="str">
            <v>LA</v>
          </cell>
          <cell r="F72" t="str">
            <v>Southern South America Sub-Regional Division</v>
          </cell>
          <cell r="G72" t="str">
            <v>Brazil-Sao Paulo Rep.O.</v>
          </cell>
          <cell r="H72" t="str">
            <v>6032</v>
          </cell>
          <cell r="I72" t="str">
            <v>巴西愉港</v>
          </cell>
          <cell r="J72" t="str">
            <v>Porto Alegre, Brazil</v>
          </cell>
          <cell r="K72" t="str">
            <v>Chinese employees</v>
          </cell>
          <cell r="L72" t="str">
            <v>L4</v>
          </cell>
          <cell r="M72" t="str">
            <v>ALL</v>
          </cell>
          <cell r="N72" t="str">
            <v>FLPC(含奖金)</v>
          </cell>
          <cell r="O72" t="str">
            <v>USD/小时</v>
          </cell>
          <cell r="P72">
            <v>135.33000000000001</v>
          </cell>
        </row>
        <row r="73">
          <cell r="A73" t="str">
            <v>Curitiba, Brazil - Chinese employees - L0</v>
          </cell>
          <cell r="B73" t="str">
            <v>Current version</v>
          </cell>
          <cell r="C73" t="str">
            <v>V2009R2</v>
          </cell>
          <cell r="D73" t="str">
            <v>Labor Rate</v>
          </cell>
          <cell r="E73" t="str">
            <v>LA</v>
          </cell>
          <cell r="F73" t="str">
            <v>Southern South America Sub-Regional Division</v>
          </cell>
          <cell r="G73" t="str">
            <v>Brazil-Sao Paulo Rep.O.</v>
          </cell>
          <cell r="H73" t="str">
            <v>6033</v>
          </cell>
          <cell r="I73" t="str">
            <v>巴西库里提巴</v>
          </cell>
          <cell r="J73" t="str">
            <v>Curitiba, Brazil</v>
          </cell>
          <cell r="K73" t="str">
            <v>Chinese employees</v>
          </cell>
          <cell r="L73" t="str">
            <v>L0</v>
          </cell>
          <cell r="M73" t="str">
            <v>ALL</v>
          </cell>
          <cell r="N73" t="str">
            <v>FLPC(含奖金)</v>
          </cell>
          <cell r="O73" t="str">
            <v>USD/小时</v>
          </cell>
          <cell r="P73">
            <v>56.6</v>
          </cell>
        </row>
        <row r="74">
          <cell r="A74" t="str">
            <v>Curitiba, Brazil - Chinese employees - L1</v>
          </cell>
          <cell r="B74" t="str">
            <v>Current version</v>
          </cell>
          <cell r="C74" t="str">
            <v>V2009R2</v>
          </cell>
          <cell r="D74" t="str">
            <v>Labor Rate</v>
          </cell>
          <cell r="E74" t="str">
            <v>LA</v>
          </cell>
          <cell r="F74" t="str">
            <v>Southern South America Sub-Regional Division</v>
          </cell>
          <cell r="G74" t="str">
            <v>Brazil-Sao Paulo Rep.O.</v>
          </cell>
          <cell r="H74" t="str">
            <v>6033</v>
          </cell>
          <cell r="I74" t="str">
            <v>巴西库里提巴</v>
          </cell>
          <cell r="J74" t="str">
            <v>Curitiba, Brazil</v>
          </cell>
          <cell r="K74" t="str">
            <v>Chinese employees</v>
          </cell>
          <cell r="L74" t="str">
            <v>L1</v>
          </cell>
          <cell r="M74" t="str">
            <v>ALL</v>
          </cell>
          <cell r="N74" t="str">
            <v>FLPC(含奖金)</v>
          </cell>
          <cell r="O74" t="str">
            <v>USD/小时</v>
          </cell>
          <cell r="P74">
            <v>63.97</v>
          </cell>
        </row>
        <row r="75">
          <cell r="A75" t="str">
            <v>Curitiba, Brazil - Chinese employees - L2</v>
          </cell>
          <cell r="B75" t="str">
            <v>Current version</v>
          </cell>
          <cell r="C75" t="str">
            <v>V2009R2</v>
          </cell>
          <cell r="D75" t="str">
            <v>Labor Rate</v>
          </cell>
          <cell r="E75" t="str">
            <v>LA</v>
          </cell>
          <cell r="F75" t="str">
            <v>Southern South America Sub-Regional Division</v>
          </cell>
          <cell r="G75" t="str">
            <v>Brazil-Sao Paulo Rep.O.</v>
          </cell>
          <cell r="H75" t="str">
            <v>6033</v>
          </cell>
          <cell r="I75" t="str">
            <v>巴西库里提巴</v>
          </cell>
          <cell r="J75" t="str">
            <v>Curitiba, Brazil</v>
          </cell>
          <cell r="K75" t="str">
            <v>Chinese employees</v>
          </cell>
          <cell r="L75" t="str">
            <v>L2</v>
          </cell>
          <cell r="M75" t="str">
            <v>ALL</v>
          </cell>
          <cell r="N75" t="str">
            <v>FLPC(含奖金)</v>
          </cell>
          <cell r="O75" t="str">
            <v>USD/小时</v>
          </cell>
          <cell r="P75">
            <v>73.709999999999994</v>
          </cell>
        </row>
        <row r="76">
          <cell r="A76" t="str">
            <v>Curitiba, Brazil - Chinese employees - L3</v>
          </cell>
          <cell r="B76" t="str">
            <v>Current version</v>
          </cell>
          <cell r="C76" t="str">
            <v>V2009R2</v>
          </cell>
          <cell r="D76" t="str">
            <v>Labor Rate</v>
          </cell>
          <cell r="E76" t="str">
            <v>LA</v>
          </cell>
          <cell r="F76" t="str">
            <v>Southern South America Sub-Regional Division</v>
          </cell>
          <cell r="G76" t="str">
            <v>Brazil-Sao Paulo Rep.O.</v>
          </cell>
          <cell r="H76" t="str">
            <v>6033</v>
          </cell>
          <cell r="I76" t="str">
            <v>巴西库里提巴</v>
          </cell>
          <cell r="J76" t="str">
            <v>Curitiba, Brazil</v>
          </cell>
          <cell r="K76" t="str">
            <v>Chinese employees</v>
          </cell>
          <cell r="L76" t="str">
            <v>L3</v>
          </cell>
          <cell r="M76" t="str">
            <v>ALL</v>
          </cell>
          <cell r="N76" t="str">
            <v>FLPC(含奖金)</v>
          </cell>
          <cell r="O76" t="str">
            <v>USD/小时</v>
          </cell>
          <cell r="P76">
            <v>87.9</v>
          </cell>
        </row>
        <row r="77">
          <cell r="A77" t="str">
            <v>Curitiba, Brazil - Chinese employees - L4</v>
          </cell>
          <cell r="B77" t="str">
            <v>Current version</v>
          </cell>
          <cell r="C77" t="str">
            <v>V2009R2</v>
          </cell>
          <cell r="D77" t="str">
            <v>Labor Rate</v>
          </cell>
          <cell r="E77" t="str">
            <v>LA</v>
          </cell>
          <cell r="F77" t="str">
            <v>Southern South America Sub-Regional Division</v>
          </cell>
          <cell r="G77" t="str">
            <v>Brazil-Sao Paulo Rep.O.</v>
          </cell>
          <cell r="H77" t="str">
            <v>6033</v>
          </cell>
          <cell r="I77" t="str">
            <v>巴西库里提巴</v>
          </cell>
          <cell r="J77" t="str">
            <v>Curitiba, Brazil</v>
          </cell>
          <cell r="K77" t="str">
            <v>Chinese employees</v>
          </cell>
          <cell r="L77" t="str">
            <v>L4</v>
          </cell>
          <cell r="M77" t="str">
            <v>ALL</v>
          </cell>
          <cell r="N77" t="str">
            <v>FLPC(含奖金)</v>
          </cell>
          <cell r="O77" t="str">
            <v>USD/小时</v>
          </cell>
          <cell r="P77">
            <v>135.33000000000001</v>
          </cell>
        </row>
        <row r="78">
          <cell r="A78" t="str">
            <v>Rio De Janeiro, Brazil - Chinese employees - L0</v>
          </cell>
          <cell r="B78" t="str">
            <v>Current version</v>
          </cell>
          <cell r="C78" t="str">
            <v>V2009R2</v>
          </cell>
          <cell r="D78" t="str">
            <v>Labor Rate</v>
          </cell>
          <cell r="E78" t="str">
            <v>LA</v>
          </cell>
          <cell r="F78" t="str">
            <v>Southern South America Sub-Regional Division</v>
          </cell>
          <cell r="G78" t="str">
            <v>Brazil-Jio Rep.O.</v>
          </cell>
          <cell r="H78" t="str">
            <v>6011</v>
          </cell>
          <cell r="I78" t="str">
            <v>巴西里约热内卢</v>
          </cell>
          <cell r="J78" t="str">
            <v>Rio De Janeiro, Brazil</v>
          </cell>
          <cell r="K78" t="str">
            <v>Chinese employees</v>
          </cell>
          <cell r="L78" t="str">
            <v>L0</v>
          </cell>
          <cell r="M78" t="str">
            <v>ALL</v>
          </cell>
          <cell r="N78" t="str">
            <v>FLPC(含奖金)</v>
          </cell>
          <cell r="O78" t="str">
            <v>USD/小时</v>
          </cell>
          <cell r="P78">
            <v>58.19</v>
          </cell>
        </row>
        <row r="79">
          <cell r="A79" t="str">
            <v>Rio De Janeiro, Brazil - Chinese employees - L1</v>
          </cell>
          <cell r="B79" t="str">
            <v>Current version</v>
          </cell>
          <cell r="C79" t="str">
            <v>V2009R2</v>
          </cell>
          <cell r="D79" t="str">
            <v>Labor Rate</v>
          </cell>
          <cell r="E79" t="str">
            <v>LA</v>
          </cell>
          <cell r="F79" t="str">
            <v>Southern South America Sub-Regional Division</v>
          </cell>
          <cell r="G79" t="str">
            <v>Brazil-Jio Rep.O.</v>
          </cell>
          <cell r="H79" t="str">
            <v>6011</v>
          </cell>
          <cell r="I79" t="str">
            <v>巴西里约热内卢</v>
          </cell>
          <cell r="J79" t="str">
            <v>Rio De Janeiro, Brazil</v>
          </cell>
          <cell r="K79" t="str">
            <v>Chinese employees</v>
          </cell>
          <cell r="L79" t="str">
            <v>L1</v>
          </cell>
          <cell r="M79" t="str">
            <v>ALL</v>
          </cell>
          <cell r="N79" t="str">
            <v>FLPC(含奖金)</v>
          </cell>
          <cell r="O79" t="str">
            <v>USD/小时</v>
          </cell>
          <cell r="P79">
            <v>65.77</v>
          </cell>
        </row>
        <row r="80">
          <cell r="A80" t="str">
            <v>Rio De Janeiro, Brazil - Chinese employees - L2</v>
          </cell>
          <cell r="B80" t="str">
            <v>Current version</v>
          </cell>
          <cell r="C80" t="str">
            <v>V2009R2</v>
          </cell>
          <cell r="D80" t="str">
            <v>Labor Rate</v>
          </cell>
          <cell r="E80" t="str">
            <v>LA</v>
          </cell>
          <cell r="F80" t="str">
            <v>Southern South America Sub-Regional Division</v>
          </cell>
          <cell r="G80" t="str">
            <v>Brazil-Jio Rep.O.</v>
          </cell>
          <cell r="H80" t="str">
            <v>6011</v>
          </cell>
          <cell r="I80" t="str">
            <v>巴西里约热内卢</v>
          </cell>
          <cell r="J80" t="str">
            <v>Rio De Janeiro, Brazil</v>
          </cell>
          <cell r="K80" t="str">
            <v>Chinese employees</v>
          </cell>
          <cell r="L80" t="str">
            <v>L2</v>
          </cell>
          <cell r="M80" t="str">
            <v>ALL</v>
          </cell>
          <cell r="N80" t="str">
            <v>FLPC(含奖金)</v>
          </cell>
          <cell r="O80" t="str">
            <v>USD/小时</v>
          </cell>
          <cell r="P80">
            <v>75.790000000000006</v>
          </cell>
        </row>
        <row r="81">
          <cell r="A81" t="str">
            <v>Rio De Janeiro, Brazil - Chinese employees - L3</v>
          </cell>
          <cell r="B81" t="str">
            <v>Current version</v>
          </cell>
          <cell r="C81" t="str">
            <v>V2009R2</v>
          </cell>
          <cell r="D81" t="str">
            <v>Labor Rate</v>
          </cell>
          <cell r="E81" t="str">
            <v>LA</v>
          </cell>
          <cell r="F81" t="str">
            <v>Southern South America Sub-Regional Division</v>
          </cell>
          <cell r="G81" t="str">
            <v>Brazil-Jio Rep.O.</v>
          </cell>
          <cell r="H81" t="str">
            <v>6011</v>
          </cell>
          <cell r="I81" t="str">
            <v>巴西里约热内卢</v>
          </cell>
          <cell r="J81" t="str">
            <v>Rio De Janeiro, Brazil</v>
          </cell>
          <cell r="K81" t="str">
            <v>Chinese employees</v>
          </cell>
          <cell r="L81" t="str">
            <v>L3</v>
          </cell>
          <cell r="M81" t="str">
            <v>ALL</v>
          </cell>
          <cell r="N81" t="str">
            <v>FLPC(含奖金)</v>
          </cell>
          <cell r="O81" t="str">
            <v>USD/小时</v>
          </cell>
          <cell r="P81">
            <v>90.37</v>
          </cell>
        </row>
        <row r="82">
          <cell r="A82" t="str">
            <v>Rio De Janeiro, Brazil - Chinese employees - L4</v>
          </cell>
          <cell r="B82" t="str">
            <v>Current version</v>
          </cell>
          <cell r="C82" t="str">
            <v>V2009R2</v>
          </cell>
          <cell r="D82" t="str">
            <v>Labor Rate</v>
          </cell>
          <cell r="E82" t="str">
            <v>LA</v>
          </cell>
          <cell r="F82" t="str">
            <v>Southern South America Sub-Regional Division</v>
          </cell>
          <cell r="G82" t="str">
            <v>Brazil-Jio Rep.O.</v>
          </cell>
          <cell r="H82" t="str">
            <v>6011</v>
          </cell>
          <cell r="I82" t="str">
            <v>巴西里约热内卢</v>
          </cell>
          <cell r="J82" t="str">
            <v>Rio De Janeiro, Brazil</v>
          </cell>
          <cell r="K82" t="str">
            <v>Chinese employees</v>
          </cell>
          <cell r="L82" t="str">
            <v>L4</v>
          </cell>
          <cell r="M82" t="str">
            <v>ALL</v>
          </cell>
          <cell r="N82" t="str">
            <v>FLPC(含奖金)</v>
          </cell>
          <cell r="O82" t="str">
            <v>USD/小时</v>
          </cell>
          <cell r="P82">
            <v>139.13999999999999</v>
          </cell>
        </row>
        <row r="83">
          <cell r="A83" t="str">
            <v>Bahia Salvador, Brazil - Chinese employees - L0</v>
          </cell>
          <cell r="B83" t="str">
            <v>Current version</v>
          </cell>
          <cell r="C83" t="str">
            <v>V2009R2</v>
          </cell>
          <cell r="D83" t="str">
            <v>Labor Rate</v>
          </cell>
          <cell r="E83" t="str">
            <v>LA</v>
          </cell>
          <cell r="F83" t="str">
            <v>Southern South America Sub-Regional Division</v>
          </cell>
          <cell r="G83" t="str">
            <v>Brazil-Jio Rep.O.</v>
          </cell>
          <cell r="H83" t="str">
            <v>6037</v>
          </cell>
          <cell r="I83" t="str">
            <v>巴西巴黑尔萨尔瓦多</v>
          </cell>
          <cell r="J83" t="str">
            <v>Bahia Salvador, Brazil</v>
          </cell>
          <cell r="K83" t="str">
            <v>Chinese employees</v>
          </cell>
          <cell r="L83" t="str">
            <v>L0</v>
          </cell>
          <cell r="M83" t="str">
            <v>ALL</v>
          </cell>
          <cell r="N83" t="str">
            <v>FLPC(含奖金)</v>
          </cell>
          <cell r="O83" t="str">
            <v>USD/小时</v>
          </cell>
          <cell r="P83">
            <v>58.19</v>
          </cell>
        </row>
        <row r="84">
          <cell r="A84" t="str">
            <v>Bahia Salvador, Brazil - Chinese employees - L1</v>
          </cell>
          <cell r="B84" t="str">
            <v>Current version</v>
          </cell>
          <cell r="C84" t="str">
            <v>V2009R2</v>
          </cell>
          <cell r="D84" t="str">
            <v>Labor Rate</v>
          </cell>
          <cell r="E84" t="str">
            <v>LA</v>
          </cell>
          <cell r="F84" t="str">
            <v>Southern South America Sub-Regional Division</v>
          </cell>
          <cell r="G84" t="str">
            <v>Brazil-Jio Rep.O.</v>
          </cell>
          <cell r="H84" t="str">
            <v>6037</v>
          </cell>
          <cell r="I84" t="str">
            <v>巴西巴黑尔萨尔瓦多</v>
          </cell>
          <cell r="J84" t="str">
            <v>Bahia Salvador, Brazil</v>
          </cell>
          <cell r="K84" t="str">
            <v>Chinese employees</v>
          </cell>
          <cell r="L84" t="str">
            <v>L1</v>
          </cell>
          <cell r="M84" t="str">
            <v>ALL</v>
          </cell>
          <cell r="N84" t="str">
            <v>FLPC(含奖金)</v>
          </cell>
          <cell r="O84" t="str">
            <v>USD/小时</v>
          </cell>
          <cell r="P84">
            <v>65.77</v>
          </cell>
        </row>
        <row r="85">
          <cell r="A85" t="str">
            <v>Jordan - Chinese employees - L4</v>
          </cell>
          <cell r="B85" t="str">
            <v>Current version</v>
          </cell>
          <cell r="C85" t="str">
            <v>V2009R2</v>
          </cell>
          <cell r="D85" t="str">
            <v>Labor Rate</v>
          </cell>
          <cell r="E85" t="str">
            <v>MENA</v>
          </cell>
          <cell r="F85" t="str">
            <v>Middle East Sub-Regional Division</v>
          </cell>
          <cell r="G85" t="str">
            <v>Jordan Rep.O.</v>
          </cell>
          <cell r="H85" t="str">
            <v>4994</v>
          </cell>
          <cell r="I85" t="str">
            <v>约旦</v>
          </cell>
          <cell r="J85" t="str">
            <v>Jordan</v>
          </cell>
          <cell r="K85" t="str">
            <v>Chinese employees</v>
          </cell>
          <cell r="L85" t="str">
            <v>L4</v>
          </cell>
          <cell r="M85" t="str">
            <v>ALL</v>
          </cell>
          <cell r="N85" t="str">
            <v>FLPC(含奖金)</v>
          </cell>
          <cell r="O85" t="str">
            <v>USD/小时</v>
          </cell>
          <cell r="P85">
            <v>106.82</v>
          </cell>
        </row>
        <row r="86">
          <cell r="A86" t="str">
            <v>Lebanon - Chinese employees - L0</v>
          </cell>
          <cell r="B86" t="str">
            <v>Current version</v>
          </cell>
          <cell r="C86" t="str">
            <v>V2009R2</v>
          </cell>
          <cell r="D86" t="str">
            <v>Labor Rate</v>
          </cell>
          <cell r="E86" t="str">
            <v>MENA</v>
          </cell>
          <cell r="F86" t="str">
            <v>Middle East Sub-Regional Division</v>
          </cell>
          <cell r="G86" t="str">
            <v>Jordan Rep.O.</v>
          </cell>
          <cell r="H86" t="str">
            <v>5013</v>
          </cell>
          <cell r="I86" t="str">
            <v>黎巴嫩</v>
          </cell>
          <cell r="J86" t="str">
            <v>Lebanon</v>
          </cell>
          <cell r="K86" t="str">
            <v>Chinese employees</v>
          </cell>
          <cell r="L86" t="str">
            <v>L0</v>
          </cell>
          <cell r="M86" t="str">
            <v>ALL</v>
          </cell>
          <cell r="N86" t="str">
            <v>FLPC(含奖金)</v>
          </cell>
          <cell r="O86" t="str">
            <v>USD/小时</v>
          </cell>
          <cell r="P86">
            <v>54.25</v>
          </cell>
        </row>
        <row r="87">
          <cell r="A87" t="str">
            <v>Lebanon - Chinese employees - L1</v>
          </cell>
          <cell r="B87" t="str">
            <v>Current version</v>
          </cell>
          <cell r="C87" t="str">
            <v>V2009R2</v>
          </cell>
          <cell r="D87" t="str">
            <v>Labor Rate</v>
          </cell>
          <cell r="E87" t="str">
            <v>MENA</v>
          </cell>
          <cell r="F87" t="str">
            <v>Middle East Sub-Regional Division</v>
          </cell>
          <cell r="G87" t="str">
            <v>Jordan Rep.O.</v>
          </cell>
          <cell r="H87" t="str">
            <v>5013</v>
          </cell>
          <cell r="I87" t="str">
            <v>黎巴嫩</v>
          </cell>
          <cell r="J87" t="str">
            <v>Lebanon</v>
          </cell>
          <cell r="K87" t="str">
            <v>Chinese employees</v>
          </cell>
          <cell r="L87" t="str">
            <v>L1</v>
          </cell>
          <cell r="M87" t="str">
            <v>ALL</v>
          </cell>
          <cell r="N87" t="str">
            <v>FLPC(含奖金)</v>
          </cell>
          <cell r="O87" t="str">
            <v>USD/小时</v>
          </cell>
          <cell r="P87">
            <v>60.35</v>
          </cell>
        </row>
        <row r="88">
          <cell r="A88" t="str">
            <v>Lebanon - Chinese employees - L2</v>
          </cell>
          <cell r="B88" t="str">
            <v>Current version</v>
          </cell>
          <cell r="C88" t="str">
            <v>V2009R2</v>
          </cell>
          <cell r="D88" t="str">
            <v>Labor Rate</v>
          </cell>
          <cell r="E88" t="str">
            <v>MENA</v>
          </cell>
          <cell r="F88" t="str">
            <v>Middle East Sub-Regional Division</v>
          </cell>
          <cell r="G88" t="str">
            <v>Jordan Rep.O.</v>
          </cell>
          <cell r="H88" t="str">
            <v>5013</v>
          </cell>
          <cell r="I88" t="str">
            <v>黎巴嫩</v>
          </cell>
          <cell r="J88" t="str">
            <v>Lebanon</v>
          </cell>
          <cell r="K88" t="str">
            <v>Chinese employees</v>
          </cell>
          <cell r="L88" t="str">
            <v>L2</v>
          </cell>
          <cell r="M88" t="str">
            <v>ALL</v>
          </cell>
          <cell r="N88" t="str">
            <v>FLPC(含奖金)</v>
          </cell>
          <cell r="O88" t="str">
            <v>USD/小时</v>
          </cell>
          <cell r="P88">
            <v>68.260000000000005</v>
          </cell>
        </row>
        <row r="89">
          <cell r="A89" t="str">
            <v>Lebanon - Chinese employees - L3</v>
          </cell>
          <cell r="B89" t="str">
            <v>Current version</v>
          </cell>
          <cell r="C89" t="str">
            <v>V2009R2</v>
          </cell>
          <cell r="D89" t="str">
            <v>Labor Rate</v>
          </cell>
          <cell r="E89" t="str">
            <v>MENA</v>
          </cell>
          <cell r="F89" t="str">
            <v>Middle East Sub-Regional Division</v>
          </cell>
          <cell r="G89" t="str">
            <v>Jordan Rep.O.</v>
          </cell>
          <cell r="H89" t="str">
            <v>5013</v>
          </cell>
          <cell r="I89" t="str">
            <v>黎巴嫩</v>
          </cell>
          <cell r="J89" t="str">
            <v>Lebanon</v>
          </cell>
          <cell r="K89" t="str">
            <v>Chinese employees</v>
          </cell>
          <cell r="L89" t="str">
            <v>L3</v>
          </cell>
          <cell r="M89" t="str">
            <v>ALL</v>
          </cell>
          <cell r="N89" t="str">
            <v>FLPC(含奖金)</v>
          </cell>
          <cell r="O89" t="str">
            <v>USD/小时</v>
          </cell>
          <cell r="P89">
            <v>79.58</v>
          </cell>
        </row>
        <row r="90">
          <cell r="A90" t="str">
            <v>Lebanon - Chinese employees - L4</v>
          </cell>
          <cell r="B90" t="str">
            <v>Current version</v>
          </cell>
          <cell r="C90" t="str">
            <v>V2009R2</v>
          </cell>
          <cell r="D90" t="str">
            <v>Labor Rate</v>
          </cell>
          <cell r="E90" t="str">
            <v>MENA</v>
          </cell>
          <cell r="F90" t="str">
            <v>Middle East Sub-Regional Division</v>
          </cell>
          <cell r="G90" t="str">
            <v>Jordan Rep.O.</v>
          </cell>
          <cell r="H90" t="str">
            <v>5013</v>
          </cell>
          <cell r="I90" t="str">
            <v>黎巴嫩</v>
          </cell>
          <cell r="J90" t="str">
            <v>Lebanon</v>
          </cell>
          <cell r="K90" t="str">
            <v>Chinese employees</v>
          </cell>
          <cell r="L90" t="str">
            <v>L4</v>
          </cell>
          <cell r="M90" t="str">
            <v>ALL</v>
          </cell>
          <cell r="N90" t="str">
            <v>FLPC(含奖金)</v>
          </cell>
          <cell r="O90" t="str">
            <v>USD/小时</v>
          </cell>
          <cell r="P90">
            <v>120.36</v>
          </cell>
        </row>
        <row r="91">
          <cell r="A91" t="str">
            <v>Palestin - Chinese employees - L0</v>
          </cell>
          <cell r="B91" t="str">
            <v>Current version</v>
          </cell>
          <cell r="C91" t="str">
            <v>V2009R2</v>
          </cell>
          <cell r="D91" t="str">
            <v>Labor Rate</v>
          </cell>
          <cell r="E91" t="str">
            <v>MENA</v>
          </cell>
          <cell r="F91" t="str">
            <v>Middle East Sub-Regional Division</v>
          </cell>
          <cell r="G91" t="str">
            <v>Jordan Rep.O.</v>
          </cell>
          <cell r="H91" t="str">
            <v>5024</v>
          </cell>
          <cell r="I91" t="str">
            <v>巴勒斯坦</v>
          </cell>
          <cell r="J91" t="str">
            <v>Palestin</v>
          </cell>
          <cell r="K91" t="str">
            <v>Chinese employees</v>
          </cell>
          <cell r="L91" t="str">
            <v>L0</v>
          </cell>
          <cell r="M91" t="str">
            <v>ALL</v>
          </cell>
          <cell r="N91" t="str">
            <v>FLPC(含奖金)</v>
          </cell>
          <cell r="O91" t="str">
            <v>USD/小时</v>
          </cell>
          <cell r="P91">
            <v>54.25</v>
          </cell>
        </row>
        <row r="92">
          <cell r="A92" t="str">
            <v>Palestin - Chinese employees - L1</v>
          </cell>
          <cell r="B92" t="str">
            <v>Current version</v>
          </cell>
          <cell r="C92" t="str">
            <v>V2009R2</v>
          </cell>
          <cell r="D92" t="str">
            <v>Labor Rate</v>
          </cell>
          <cell r="E92" t="str">
            <v>MENA</v>
          </cell>
          <cell r="F92" t="str">
            <v>Middle East Sub-Regional Division</v>
          </cell>
          <cell r="G92" t="str">
            <v>Jordan Rep.O.</v>
          </cell>
          <cell r="H92" t="str">
            <v>5024</v>
          </cell>
          <cell r="I92" t="str">
            <v>巴勒斯坦</v>
          </cell>
          <cell r="J92" t="str">
            <v>Palestin</v>
          </cell>
          <cell r="K92" t="str">
            <v>Chinese employees</v>
          </cell>
          <cell r="L92" t="str">
            <v>L1</v>
          </cell>
          <cell r="M92" t="str">
            <v>ALL</v>
          </cell>
          <cell r="N92" t="str">
            <v>FLPC(含奖金)</v>
          </cell>
          <cell r="O92" t="str">
            <v>USD/小时</v>
          </cell>
          <cell r="P92">
            <v>60.35</v>
          </cell>
        </row>
        <row r="93">
          <cell r="A93" t="str">
            <v>Palestin - Chinese employees - L2</v>
          </cell>
          <cell r="B93" t="str">
            <v>Current version</v>
          </cell>
          <cell r="C93" t="str">
            <v>V2009R2</v>
          </cell>
          <cell r="D93" t="str">
            <v>Labor Rate</v>
          </cell>
          <cell r="E93" t="str">
            <v>MENA</v>
          </cell>
          <cell r="F93" t="str">
            <v>Middle East Sub-Regional Division</v>
          </cell>
          <cell r="G93" t="str">
            <v>Jordan Rep.O.</v>
          </cell>
          <cell r="H93" t="str">
            <v>5024</v>
          </cell>
          <cell r="I93" t="str">
            <v>巴勒斯坦</v>
          </cell>
          <cell r="J93" t="str">
            <v>Palestin</v>
          </cell>
          <cell r="K93" t="str">
            <v>Chinese employees</v>
          </cell>
          <cell r="L93" t="str">
            <v>L2</v>
          </cell>
          <cell r="M93" t="str">
            <v>ALL</v>
          </cell>
          <cell r="N93" t="str">
            <v>FLPC(含奖金)</v>
          </cell>
          <cell r="O93" t="str">
            <v>USD/小时</v>
          </cell>
          <cell r="P93">
            <v>68.260000000000005</v>
          </cell>
        </row>
        <row r="94">
          <cell r="A94" t="str">
            <v>Palestin - Chinese employees - L3</v>
          </cell>
          <cell r="B94" t="str">
            <v>Current version</v>
          </cell>
          <cell r="C94" t="str">
            <v>V2009R2</v>
          </cell>
          <cell r="D94" t="str">
            <v>Labor Rate</v>
          </cell>
          <cell r="E94" t="str">
            <v>MENA</v>
          </cell>
          <cell r="F94" t="str">
            <v>Middle East Sub-Regional Division</v>
          </cell>
          <cell r="G94" t="str">
            <v>Jordan Rep.O.</v>
          </cell>
          <cell r="H94" t="str">
            <v>5024</v>
          </cell>
          <cell r="I94" t="str">
            <v>巴勒斯坦</v>
          </cell>
          <cell r="J94" t="str">
            <v>Palestin</v>
          </cell>
          <cell r="K94" t="str">
            <v>Chinese employees</v>
          </cell>
          <cell r="L94" t="str">
            <v>L3</v>
          </cell>
          <cell r="M94" t="str">
            <v>ALL</v>
          </cell>
          <cell r="N94" t="str">
            <v>FLPC(含奖金)</v>
          </cell>
          <cell r="O94" t="str">
            <v>USD/小时</v>
          </cell>
          <cell r="P94">
            <v>79.58</v>
          </cell>
        </row>
        <row r="95">
          <cell r="A95" t="str">
            <v>Palestin - Chinese employees - L4</v>
          </cell>
          <cell r="B95" t="str">
            <v>Current version</v>
          </cell>
          <cell r="C95" t="str">
            <v>V2009R2</v>
          </cell>
          <cell r="D95" t="str">
            <v>Labor Rate</v>
          </cell>
          <cell r="E95" t="str">
            <v>MENA</v>
          </cell>
          <cell r="F95" t="str">
            <v>Middle East Sub-Regional Division</v>
          </cell>
          <cell r="G95" t="str">
            <v>Jordan Rep.O.</v>
          </cell>
          <cell r="H95" t="str">
            <v>5024</v>
          </cell>
          <cell r="I95" t="str">
            <v>巴勒斯坦</v>
          </cell>
          <cell r="J95" t="str">
            <v>Palestin</v>
          </cell>
          <cell r="K95" t="str">
            <v>Chinese employees</v>
          </cell>
          <cell r="L95" t="str">
            <v>L4</v>
          </cell>
          <cell r="M95" t="str">
            <v>ALL</v>
          </cell>
          <cell r="N95" t="str">
            <v>FLPC(含奖金)</v>
          </cell>
          <cell r="O95" t="str">
            <v>USD/小时</v>
          </cell>
          <cell r="P95">
            <v>120.36</v>
          </cell>
        </row>
        <row r="96">
          <cell r="A96" t="str">
            <v>Iran - Chinese employees - L0</v>
          </cell>
          <cell r="B96" t="str">
            <v>Current version</v>
          </cell>
          <cell r="C96" t="str">
            <v>V2009R2</v>
          </cell>
          <cell r="D96" t="str">
            <v>Labor Rate</v>
          </cell>
          <cell r="E96" t="str">
            <v>MENA</v>
          </cell>
          <cell r="F96" t="str">
            <v>Middle East Sub-Regional Division</v>
          </cell>
          <cell r="G96" t="str">
            <v>Iran</v>
          </cell>
          <cell r="H96" t="str">
            <v>5005</v>
          </cell>
          <cell r="I96" t="str">
            <v>A2伊朗</v>
          </cell>
          <cell r="J96" t="str">
            <v>Iran</v>
          </cell>
          <cell r="K96" t="str">
            <v>Chinese employees</v>
          </cell>
          <cell r="L96" t="str">
            <v>L0</v>
          </cell>
          <cell r="M96" t="str">
            <v>ALL</v>
          </cell>
          <cell r="N96" t="str">
            <v>FLPC(含奖金)</v>
          </cell>
          <cell r="O96" t="str">
            <v>USD/小时</v>
          </cell>
          <cell r="P96">
            <v>46.74</v>
          </cell>
        </row>
        <row r="97">
          <cell r="A97" t="str">
            <v>Iran - Chinese employees - L1</v>
          </cell>
          <cell r="B97" t="str">
            <v>Current version</v>
          </cell>
          <cell r="C97" t="str">
            <v>V2009R2</v>
          </cell>
          <cell r="D97" t="str">
            <v>Labor Rate</v>
          </cell>
          <cell r="E97" t="str">
            <v>MENA</v>
          </cell>
          <cell r="F97" t="str">
            <v>Middle East Sub-Regional Division</v>
          </cell>
          <cell r="G97" t="str">
            <v>Iran</v>
          </cell>
          <cell r="H97" t="str">
            <v>5005</v>
          </cell>
          <cell r="I97" t="str">
            <v>A2伊朗</v>
          </cell>
          <cell r="J97" t="str">
            <v>Iran</v>
          </cell>
          <cell r="K97" t="str">
            <v>Chinese employees</v>
          </cell>
          <cell r="L97" t="str">
            <v>L1</v>
          </cell>
          <cell r="M97" t="str">
            <v>ALL</v>
          </cell>
          <cell r="N97" t="str">
            <v>FLPC(含奖金)</v>
          </cell>
          <cell r="O97" t="str">
            <v>USD/小时</v>
          </cell>
          <cell r="P97">
            <v>52.61</v>
          </cell>
        </row>
        <row r="98">
          <cell r="A98" t="str">
            <v>Iran - Chinese employees - L2</v>
          </cell>
          <cell r="B98" t="str">
            <v>Current version</v>
          </cell>
          <cell r="C98" t="str">
            <v>V2009R2</v>
          </cell>
          <cell r="D98" t="str">
            <v>Labor Rate</v>
          </cell>
          <cell r="E98" t="str">
            <v>MENA</v>
          </cell>
          <cell r="F98" t="str">
            <v>Middle East Sub-Regional Division</v>
          </cell>
          <cell r="G98" t="str">
            <v>Iran</v>
          </cell>
          <cell r="H98" t="str">
            <v>5005</v>
          </cell>
          <cell r="I98" t="str">
            <v>A2伊朗</v>
          </cell>
          <cell r="J98" t="str">
            <v>Iran</v>
          </cell>
          <cell r="K98" t="str">
            <v>Chinese employees</v>
          </cell>
          <cell r="L98" t="str">
            <v>L2</v>
          </cell>
          <cell r="M98" t="str">
            <v>ALL</v>
          </cell>
          <cell r="N98" t="str">
            <v>FLPC(含奖金)</v>
          </cell>
          <cell r="O98" t="str">
            <v>USD/小时</v>
          </cell>
          <cell r="P98">
            <v>60.21</v>
          </cell>
        </row>
        <row r="99">
          <cell r="A99" t="str">
            <v>Iran - Chinese employees - L3</v>
          </cell>
          <cell r="B99" t="str">
            <v>Current version</v>
          </cell>
          <cell r="C99" t="str">
            <v>V2009R2</v>
          </cell>
          <cell r="D99" t="str">
            <v>Labor Rate</v>
          </cell>
          <cell r="E99" t="str">
            <v>MENA</v>
          </cell>
          <cell r="F99" t="str">
            <v>Middle East Sub-Regional Division</v>
          </cell>
          <cell r="G99" t="str">
            <v>Iran</v>
          </cell>
          <cell r="H99" t="str">
            <v>5005</v>
          </cell>
          <cell r="I99" t="str">
            <v>A2伊朗</v>
          </cell>
          <cell r="J99" t="str">
            <v>Iran</v>
          </cell>
          <cell r="K99" t="str">
            <v>Chinese employees</v>
          </cell>
          <cell r="L99" t="str">
            <v>L3</v>
          </cell>
          <cell r="M99" t="str">
            <v>ALL</v>
          </cell>
          <cell r="N99" t="str">
            <v>FLPC(含奖金)</v>
          </cell>
          <cell r="O99" t="str">
            <v>USD/小时</v>
          </cell>
          <cell r="P99">
            <v>71.08</v>
          </cell>
        </row>
        <row r="100">
          <cell r="A100" t="str">
            <v>Iran - Chinese employees - L4</v>
          </cell>
          <cell r="B100" t="str">
            <v>Current version</v>
          </cell>
          <cell r="C100" t="str">
            <v>V2009R2</v>
          </cell>
          <cell r="D100" t="str">
            <v>Labor Rate</v>
          </cell>
          <cell r="E100" t="str">
            <v>MENA</v>
          </cell>
          <cell r="F100" t="str">
            <v>Middle East Sub-Regional Division</v>
          </cell>
          <cell r="G100" t="str">
            <v>Iran</v>
          </cell>
          <cell r="H100" t="str">
            <v>5005</v>
          </cell>
          <cell r="I100" t="str">
            <v>A2伊朗</v>
          </cell>
          <cell r="J100" t="str">
            <v>Iran</v>
          </cell>
          <cell r="K100" t="str">
            <v>Chinese employees</v>
          </cell>
          <cell r="L100" t="str">
            <v>L4</v>
          </cell>
          <cell r="M100" t="str">
            <v>ALL</v>
          </cell>
          <cell r="N100" t="str">
            <v>FLPC(含奖金)</v>
          </cell>
          <cell r="O100" t="str">
            <v>USD/小时</v>
          </cell>
          <cell r="P100">
            <v>110.26</v>
          </cell>
        </row>
        <row r="101">
          <cell r="A101" t="str">
            <v>Bahrain - Chinese employees - L0</v>
          </cell>
          <cell r="B101" t="str">
            <v>Current version</v>
          </cell>
          <cell r="C101" t="str">
            <v>V2009R2</v>
          </cell>
          <cell r="D101" t="str">
            <v>Labor Rate</v>
          </cell>
          <cell r="E101" t="str">
            <v>MENA</v>
          </cell>
          <cell r="F101" t="str">
            <v>Middle East Sub-Regional Division</v>
          </cell>
          <cell r="G101" t="str">
            <v>Bahrain</v>
          </cell>
          <cell r="H101" t="str">
            <v>5014</v>
          </cell>
          <cell r="I101" t="str">
            <v>巴林</v>
          </cell>
          <cell r="J101" t="str">
            <v>Bahrain</v>
          </cell>
          <cell r="K101" t="str">
            <v>Chinese employees</v>
          </cell>
          <cell r="L101" t="str">
            <v>L0</v>
          </cell>
          <cell r="M101" t="str">
            <v>ALL</v>
          </cell>
          <cell r="N101" t="str">
            <v>FLPC(含奖金)</v>
          </cell>
          <cell r="O101" t="str">
            <v>USD/小时</v>
          </cell>
          <cell r="P101">
            <v>45.09</v>
          </cell>
        </row>
        <row r="102">
          <cell r="A102" t="str">
            <v>Bahrain - Chinese employees - L1</v>
          </cell>
          <cell r="B102" t="str">
            <v>Current version</v>
          </cell>
          <cell r="C102" t="str">
            <v>V2009R2</v>
          </cell>
          <cell r="D102" t="str">
            <v>Labor Rate</v>
          </cell>
          <cell r="E102" t="str">
            <v>MENA</v>
          </cell>
          <cell r="F102" t="str">
            <v>Middle East Sub-Regional Division</v>
          </cell>
          <cell r="G102" t="str">
            <v>Bahrain</v>
          </cell>
          <cell r="H102" t="str">
            <v>5014</v>
          </cell>
          <cell r="I102" t="str">
            <v>巴林</v>
          </cell>
          <cell r="J102" t="str">
            <v>Bahrain</v>
          </cell>
          <cell r="K102" t="str">
            <v>Chinese employees</v>
          </cell>
          <cell r="L102" t="str">
            <v>L1</v>
          </cell>
          <cell r="M102" t="str">
            <v>ALL</v>
          </cell>
          <cell r="N102" t="str">
            <v>FLPC(含奖金)</v>
          </cell>
          <cell r="O102" t="str">
            <v>USD/小时</v>
          </cell>
          <cell r="P102">
            <v>51.21</v>
          </cell>
        </row>
        <row r="103">
          <cell r="A103" t="str">
            <v>Bahrain - Chinese employees - L2</v>
          </cell>
          <cell r="B103" t="str">
            <v>Current version</v>
          </cell>
          <cell r="C103" t="str">
            <v>V2009R2</v>
          </cell>
          <cell r="D103" t="str">
            <v>Labor Rate</v>
          </cell>
          <cell r="E103" t="str">
            <v>MENA</v>
          </cell>
          <cell r="F103" t="str">
            <v>Middle East Sub-Regional Division</v>
          </cell>
          <cell r="G103" t="str">
            <v>Bahrain</v>
          </cell>
          <cell r="H103" t="str">
            <v>5014</v>
          </cell>
          <cell r="I103" t="str">
            <v>巴林</v>
          </cell>
          <cell r="J103" t="str">
            <v>Bahrain</v>
          </cell>
          <cell r="K103" t="str">
            <v>Chinese employees</v>
          </cell>
          <cell r="L103" t="str">
            <v>L2</v>
          </cell>
          <cell r="M103" t="str">
            <v>ALL</v>
          </cell>
          <cell r="N103" t="str">
            <v>FLPC(含奖金)</v>
          </cell>
          <cell r="O103" t="str">
            <v>USD/小时</v>
          </cell>
          <cell r="P103">
            <v>59.16</v>
          </cell>
        </row>
        <row r="104">
          <cell r="A104" t="str">
            <v>Bahrain - Chinese employees - L3</v>
          </cell>
          <cell r="B104" t="str">
            <v>Current version</v>
          </cell>
          <cell r="C104" t="str">
            <v>V2009R2</v>
          </cell>
          <cell r="D104" t="str">
            <v>Labor Rate</v>
          </cell>
          <cell r="E104" t="str">
            <v>MENA</v>
          </cell>
          <cell r="F104" t="str">
            <v>Middle East Sub-Regional Division</v>
          </cell>
          <cell r="G104" t="str">
            <v>Bahrain</v>
          </cell>
          <cell r="H104" t="str">
            <v>5014</v>
          </cell>
          <cell r="I104" t="str">
            <v>巴林</v>
          </cell>
          <cell r="J104" t="str">
            <v>Bahrain</v>
          </cell>
          <cell r="K104" t="str">
            <v>Chinese employees</v>
          </cell>
          <cell r="L104" t="str">
            <v>L3</v>
          </cell>
          <cell r="M104" t="str">
            <v>ALL</v>
          </cell>
          <cell r="N104" t="str">
            <v>FLPC(含奖金)</v>
          </cell>
          <cell r="O104" t="str">
            <v>USD/小时</v>
          </cell>
          <cell r="P104">
            <v>70.52</v>
          </cell>
        </row>
        <row r="105">
          <cell r="A105" t="str">
            <v>Bahrain - Chinese employees - L4</v>
          </cell>
          <cell r="B105" t="str">
            <v>Current version</v>
          </cell>
          <cell r="C105" t="str">
            <v>V2009R2</v>
          </cell>
          <cell r="D105" t="str">
            <v>Labor Rate</v>
          </cell>
          <cell r="E105" t="str">
            <v>MENA</v>
          </cell>
          <cell r="F105" t="str">
            <v>Middle East Sub-Regional Division</v>
          </cell>
          <cell r="G105" t="str">
            <v>Bahrain</v>
          </cell>
          <cell r="H105" t="str">
            <v>5014</v>
          </cell>
          <cell r="I105" t="str">
            <v>巴林</v>
          </cell>
          <cell r="J105" t="str">
            <v>Bahrain</v>
          </cell>
          <cell r="K105" t="str">
            <v>Chinese employees</v>
          </cell>
          <cell r="L105" t="str">
            <v>L4</v>
          </cell>
          <cell r="M105" t="str">
            <v>ALL</v>
          </cell>
          <cell r="N105" t="str">
            <v>FLPC(含奖金)</v>
          </cell>
          <cell r="O105" t="str">
            <v>USD/小时</v>
          </cell>
          <cell r="P105">
            <v>111.47</v>
          </cell>
        </row>
        <row r="106">
          <cell r="A106" t="str">
            <v>Iraq - Chinese employees - L0</v>
          </cell>
          <cell r="B106" t="str">
            <v>Current version</v>
          </cell>
          <cell r="C106" t="str">
            <v>V2009R2</v>
          </cell>
          <cell r="D106" t="str">
            <v>Labor Rate</v>
          </cell>
          <cell r="E106" t="str">
            <v>MENA</v>
          </cell>
          <cell r="F106" t="str">
            <v>Middle East Sub-Regional Division</v>
          </cell>
          <cell r="G106" t="str">
            <v>A3代表处</v>
          </cell>
          <cell r="H106" t="str">
            <v>5011</v>
          </cell>
          <cell r="I106" t="str">
            <v>A3伊拉克</v>
          </cell>
          <cell r="J106" t="str">
            <v>Iraq</v>
          </cell>
          <cell r="K106" t="str">
            <v>Chinese employees</v>
          </cell>
          <cell r="L106" t="str">
            <v>L0</v>
          </cell>
          <cell r="M106" t="str">
            <v>ALL</v>
          </cell>
          <cell r="N106" t="str">
            <v>FLPC(含奖金)</v>
          </cell>
          <cell r="O106" t="str">
            <v>USD/小时</v>
          </cell>
          <cell r="P106">
            <v>44.16</v>
          </cell>
        </row>
        <row r="107">
          <cell r="A107" t="str">
            <v>Iraq - Chinese employees - L1</v>
          </cell>
          <cell r="B107" t="str">
            <v>Current version</v>
          </cell>
          <cell r="C107" t="str">
            <v>V2009R2</v>
          </cell>
          <cell r="D107" t="str">
            <v>Labor Rate</v>
          </cell>
          <cell r="E107" t="str">
            <v>MENA</v>
          </cell>
          <cell r="F107" t="str">
            <v>Middle East Sub-Regional Division</v>
          </cell>
          <cell r="G107" t="str">
            <v>A3代表处</v>
          </cell>
          <cell r="H107" t="str">
            <v>5011</v>
          </cell>
          <cell r="I107" t="str">
            <v>A3伊拉克</v>
          </cell>
          <cell r="J107" t="str">
            <v>Iraq</v>
          </cell>
          <cell r="K107" t="str">
            <v>Chinese employees</v>
          </cell>
          <cell r="L107" t="str">
            <v>L1</v>
          </cell>
          <cell r="M107" t="str">
            <v>ALL</v>
          </cell>
          <cell r="N107" t="str">
            <v>FLPC(含奖金)</v>
          </cell>
          <cell r="O107" t="str">
            <v>USD/小时</v>
          </cell>
          <cell r="P107">
            <v>50.17</v>
          </cell>
        </row>
        <row r="108">
          <cell r="A108" t="str">
            <v>Iraq - Chinese employees - L2</v>
          </cell>
          <cell r="B108" t="str">
            <v>Current version</v>
          </cell>
          <cell r="C108" t="str">
            <v>V2009R2</v>
          </cell>
          <cell r="D108" t="str">
            <v>Labor Rate</v>
          </cell>
          <cell r="E108" t="str">
            <v>MENA</v>
          </cell>
          <cell r="F108" t="str">
            <v>Middle East Sub-Regional Division</v>
          </cell>
          <cell r="G108" t="str">
            <v>A3代表处</v>
          </cell>
          <cell r="H108" t="str">
            <v>5011</v>
          </cell>
          <cell r="I108" t="str">
            <v>A3伊拉克</v>
          </cell>
          <cell r="J108" t="str">
            <v>Iraq</v>
          </cell>
          <cell r="K108" t="str">
            <v>Chinese employees</v>
          </cell>
          <cell r="L108" t="str">
            <v>L2</v>
          </cell>
          <cell r="M108" t="str">
            <v>ALL</v>
          </cell>
          <cell r="N108" t="str">
            <v>FLPC(含奖金)</v>
          </cell>
          <cell r="O108" t="str">
            <v>USD/小时</v>
          </cell>
          <cell r="P108">
            <v>57.95</v>
          </cell>
        </row>
        <row r="109">
          <cell r="A109" t="str">
            <v>Iraq - Chinese employees - L3</v>
          </cell>
          <cell r="B109" t="str">
            <v>Current version</v>
          </cell>
          <cell r="C109" t="str">
            <v>V2009R2</v>
          </cell>
          <cell r="D109" t="str">
            <v>Labor Rate</v>
          </cell>
          <cell r="E109" t="str">
            <v>MENA</v>
          </cell>
          <cell r="F109" t="str">
            <v>Middle East Sub-Regional Division</v>
          </cell>
          <cell r="G109" t="str">
            <v>A3代表处</v>
          </cell>
          <cell r="H109" t="str">
            <v>5011</v>
          </cell>
          <cell r="I109" t="str">
            <v>A3伊拉克</v>
          </cell>
          <cell r="J109" t="str">
            <v>Iraq</v>
          </cell>
          <cell r="K109" t="str">
            <v>Chinese employees</v>
          </cell>
          <cell r="L109" t="str">
            <v>L3</v>
          </cell>
          <cell r="M109" t="str">
            <v>ALL</v>
          </cell>
          <cell r="N109" t="str">
            <v>FLPC(含奖金)</v>
          </cell>
          <cell r="O109" t="str">
            <v>USD/小时</v>
          </cell>
          <cell r="P109">
            <v>69.09</v>
          </cell>
        </row>
        <row r="110">
          <cell r="A110" t="str">
            <v>Iraq - Chinese employees - L4</v>
          </cell>
          <cell r="B110" t="str">
            <v>Current version</v>
          </cell>
          <cell r="C110" t="str">
            <v>V2009R2</v>
          </cell>
          <cell r="D110" t="str">
            <v>Labor Rate</v>
          </cell>
          <cell r="E110" t="str">
            <v>MENA</v>
          </cell>
          <cell r="F110" t="str">
            <v>Middle East Sub-Regional Division</v>
          </cell>
          <cell r="G110" t="str">
            <v>A3代表处</v>
          </cell>
          <cell r="H110" t="str">
            <v>5011</v>
          </cell>
          <cell r="I110" t="str">
            <v>A3伊拉克</v>
          </cell>
          <cell r="J110" t="str">
            <v>Iraq</v>
          </cell>
          <cell r="K110" t="str">
            <v>Chinese employees</v>
          </cell>
          <cell r="L110" t="str">
            <v>L4</v>
          </cell>
          <cell r="M110" t="str">
            <v>ALL</v>
          </cell>
          <cell r="N110" t="str">
            <v>FLPC(含奖金)</v>
          </cell>
          <cell r="O110" t="str">
            <v>USD/小时</v>
          </cell>
          <cell r="P110">
            <v>109.21</v>
          </cell>
        </row>
        <row r="111">
          <cell r="A111" t="str">
            <v>Baghdad - Chinese employees - L0</v>
          </cell>
          <cell r="B111" t="str">
            <v>Current version</v>
          </cell>
          <cell r="C111" t="str">
            <v>V2009R2</v>
          </cell>
          <cell r="D111" t="str">
            <v>Labor Rate</v>
          </cell>
          <cell r="E111" t="str">
            <v>MENA</v>
          </cell>
          <cell r="F111" t="str">
            <v>Middle East Sub-Regional Division</v>
          </cell>
          <cell r="G111" t="str">
            <v>A3代表处</v>
          </cell>
          <cell r="H111" t="str">
            <v>5025</v>
          </cell>
          <cell r="I111" t="str">
            <v>巴格达</v>
          </cell>
          <cell r="J111" t="str">
            <v>Baghdad</v>
          </cell>
          <cell r="K111" t="str">
            <v>Chinese employees</v>
          </cell>
          <cell r="L111" t="str">
            <v>L0</v>
          </cell>
          <cell r="M111" t="str">
            <v>ALL</v>
          </cell>
          <cell r="N111" t="str">
            <v>FLPC(含奖金)</v>
          </cell>
          <cell r="O111" t="str">
            <v>USD/小时</v>
          </cell>
          <cell r="P111">
            <v>44.16</v>
          </cell>
        </row>
        <row r="112">
          <cell r="A112" t="str">
            <v>Baghdad - Chinese employees - L1</v>
          </cell>
          <cell r="B112" t="str">
            <v>Current version</v>
          </cell>
          <cell r="C112" t="str">
            <v>V2009R2</v>
          </cell>
          <cell r="D112" t="str">
            <v>Labor Rate</v>
          </cell>
          <cell r="E112" t="str">
            <v>MENA</v>
          </cell>
          <cell r="F112" t="str">
            <v>Middle East Sub-Regional Division</v>
          </cell>
          <cell r="G112" t="str">
            <v>A3代表处</v>
          </cell>
          <cell r="H112" t="str">
            <v>5025</v>
          </cell>
          <cell r="I112" t="str">
            <v>巴格达</v>
          </cell>
          <cell r="J112" t="str">
            <v>Baghdad</v>
          </cell>
          <cell r="K112" t="str">
            <v>Chinese employees</v>
          </cell>
          <cell r="L112" t="str">
            <v>L1</v>
          </cell>
          <cell r="M112" t="str">
            <v>ALL</v>
          </cell>
          <cell r="N112" t="str">
            <v>FLPC(含奖金)</v>
          </cell>
          <cell r="O112" t="str">
            <v>USD/小时</v>
          </cell>
          <cell r="P112">
            <v>50.17</v>
          </cell>
        </row>
        <row r="113">
          <cell r="A113" t="str">
            <v>Baghdad - Chinese employees - L2</v>
          </cell>
          <cell r="B113" t="str">
            <v>Current version</v>
          </cell>
          <cell r="C113" t="str">
            <v>V2009R2</v>
          </cell>
          <cell r="D113" t="str">
            <v>Labor Rate</v>
          </cell>
          <cell r="E113" t="str">
            <v>MENA</v>
          </cell>
          <cell r="F113" t="str">
            <v>Middle East Sub-Regional Division</v>
          </cell>
          <cell r="G113" t="str">
            <v>A3代表处</v>
          </cell>
          <cell r="H113" t="str">
            <v>5025</v>
          </cell>
          <cell r="I113" t="str">
            <v>巴格达</v>
          </cell>
          <cell r="J113" t="str">
            <v>Baghdad</v>
          </cell>
          <cell r="K113" t="str">
            <v>Chinese employees</v>
          </cell>
          <cell r="L113" t="str">
            <v>L2</v>
          </cell>
          <cell r="M113" t="str">
            <v>ALL</v>
          </cell>
          <cell r="N113" t="str">
            <v>FLPC(含奖金)</v>
          </cell>
          <cell r="O113" t="str">
            <v>USD/小时</v>
          </cell>
          <cell r="P113">
            <v>57.95</v>
          </cell>
        </row>
        <row r="114">
          <cell r="A114" t="str">
            <v>Baghdad - Chinese employees - L3</v>
          </cell>
          <cell r="B114" t="str">
            <v>Current version</v>
          </cell>
          <cell r="C114" t="str">
            <v>V2009R2</v>
          </cell>
          <cell r="D114" t="str">
            <v>Labor Rate</v>
          </cell>
          <cell r="E114" t="str">
            <v>MENA</v>
          </cell>
          <cell r="F114" t="str">
            <v>Middle East Sub-Regional Division</v>
          </cell>
          <cell r="G114" t="str">
            <v>A3代表处</v>
          </cell>
          <cell r="H114" t="str">
            <v>5025</v>
          </cell>
          <cell r="I114" t="str">
            <v>巴格达</v>
          </cell>
          <cell r="J114" t="str">
            <v>Baghdad</v>
          </cell>
          <cell r="K114" t="str">
            <v>Chinese employees</v>
          </cell>
          <cell r="L114" t="str">
            <v>L3</v>
          </cell>
          <cell r="M114" t="str">
            <v>ALL</v>
          </cell>
          <cell r="N114" t="str">
            <v>FLPC(含奖金)</v>
          </cell>
          <cell r="O114" t="str">
            <v>USD/小时</v>
          </cell>
          <cell r="P114">
            <v>69.09</v>
          </cell>
        </row>
        <row r="115">
          <cell r="A115" t="str">
            <v>Baghdad - Chinese employees - L4</v>
          </cell>
          <cell r="B115" t="str">
            <v>Current version</v>
          </cell>
          <cell r="C115" t="str">
            <v>V2009R2</v>
          </cell>
          <cell r="D115" t="str">
            <v>Labor Rate</v>
          </cell>
          <cell r="E115" t="str">
            <v>MENA</v>
          </cell>
          <cell r="F115" t="str">
            <v>Middle East Sub-Regional Division</v>
          </cell>
          <cell r="G115" t="str">
            <v>A3代表处</v>
          </cell>
          <cell r="H115" t="str">
            <v>5025</v>
          </cell>
          <cell r="I115" t="str">
            <v>巴格达</v>
          </cell>
          <cell r="J115" t="str">
            <v>Baghdad</v>
          </cell>
          <cell r="K115" t="str">
            <v>Chinese employees</v>
          </cell>
          <cell r="L115" t="str">
            <v>L4</v>
          </cell>
          <cell r="M115" t="str">
            <v>ALL</v>
          </cell>
          <cell r="N115" t="str">
            <v>FLPC(含奖金)</v>
          </cell>
          <cell r="O115" t="str">
            <v>USD/小时</v>
          </cell>
          <cell r="P115">
            <v>109.21</v>
          </cell>
        </row>
        <row r="116">
          <cell r="A116" t="str">
            <v>Malta - Chinese employees - L0</v>
          </cell>
          <cell r="B116" t="str">
            <v>Current version</v>
          </cell>
          <cell r="C116" t="str">
            <v>V2009R2</v>
          </cell>
          <cell r="D116" t="str">
            <v>Labor Rate</v>
          </cell>
          <cell r="E116" t="str">
            <v>MENA</v>
          </cell>
          <cell r="F116" t="str">
            <v>Northern Africa Sub-Regional Division</v>
          </cell>
          <cell r="G116" t="str">
            <v>Tunis Rep.O.</v>
          </cell>
          <cell r="H116" t="str">
            <v>4989</v>
          </cell>
          <cell r="I116" t="str">
            <v>马耳他</v>
          </cell>
          <cell r="J116" t="str">
            <v>Malta</v>
          </cell>
          <cell r="K116" t="str">
            <v>Chinese employees</v>
          </cell>
          <cell r="L116" t="str">
            <v>L0</v>
          </cell>
          <cell r="M116" t="str">
            <v>ALL</v>
          </cell>
          <cell r="N116" t="str">
            <v>FLPC(含奖金)</v>
          </cell>
          <cell r="O116" t="str">
            <v>USD/小时</v>
          </cell>
          <cell r="P116">
            <v>33.33</v>
          </cell>
        </row>
        <row r="117">
          <cell r="A117" t="str">
            <v>Malta - Chinese employees - L1</v>
          </cell>
          <cell r="B117" t="str">
            <v>Current version</v>
          </cell>
          <cell r="C117" t="str">
            <v>V2009R2</v>
          </cell>
          <cell r="D117" t="str">
            <v>Labor Rate</v>
          </cell>
          <cell r="E117" t="str">
            <v>MENA</v>
          </cell>
          <cell r="F117" t="str">
            <v>Northern Africa Sub-Regional Division</v>
          </cell>
          <cell r="G117" t="str">
            <v>Tunis Rep.O.</v>
          </cell>
          <cell r="H117" t="str">
            <v>4989</v>
          </cell>
          <cell r="I117" t="str">
            <v>马耳他</v>
          </cell>
          <cell r="J117" t="str">
            <v>Malta</v>
          </cell>
          <cell r="K117" t="str">
            <v>Chinese employees</v>
          </cell>
          <cell r="L117" t="str">
            <v>L1</v>
          </cell>
          <cell r="M117" t="str">
            <v>ALL</v>
          </cell>
          <cell r="N117" t="str">
            <v>FLPC(含奖金)</v>
          </cell>
          <cell r="O117" t="str">
            <v>USD/小时</v>
          </cell>
          <cell r="P117">
            <v>39.22</v>
          </cell>
        </row>
        <row r="118">
          <cell r="A118" t="str">
            <v>Malta - Chinese employees - L2</v>
          </cell>
          <cell r="B118" t="str">
            <v>Current version</v>
          </cell>
          <cell r="C118" t="str">
            <v>V2009R2</v>
          </cell>
          <cell r="D118" t="str">
            <v>Labor Rate</v>
          </cell>
          <cell r="E118" t="str">
            <v>MENA</v>
          </cell>
          <cell r="F118" t="str">
            <v>Northern Africa Sub-Regional Division</v>
          </cell>
          <cell r="G118" t="str">
            <v>Tunis Rep.O.</v>
          </cell>
          <cell r="H118" t="str">
            <v>4989</v>
          </cell>
          <cell r="I118" t="str">
            <v>马耳他</v>
          </cell>
          <cell r="J118" t="str">
            <v>Malta</v>
          </cell>
          <cell r="K118" t="str">
            <v>Chinese employees</v>
          </cell>
          <cell r="L118" t="str">
            <v>L2</v>
          </cell>
          <cell r="M118" t="str">
            <v>ALL</v>
          </cell>
          <cell r="N118" t="str">
            <v>FLPC(含奖金)</v>
          </cell>
          <cell r="O118" t="str">
            <v>USD/小时</v>
          </cell>
          <cell r="P118">
            <v>46.84</v>
          </cell>
        </row>
        <row r="119">
          <cell r="A119" t="str">
            <v>Malta - Chinese employees - L3</v>
          </cell>
          <cell r="B119" t="str">
            <v>Current version</v>
          </cell>
          <cell r="C119" t="str">
            <v>V2009R2</v>
          </cell>
          <cell r="D119" t="str">
            <v>Labor Rate</v>
          </cell>
          <cell r="E119" t="str">
            <v>MENA</v>
          </cell>
          <cell r="F119" t="str">
            <v>Northern Africa Sub-Regional Division</v>
          </cell>
          <cell r="G119" t="str">
            <v>Tunis Rep.O.</v>
          </cell>
          <cell r="H119" t="str">
            <v>4989</v>
          </cell>
          <cell r="I119" t="str">
            <v>马耳他</v>
          </cell>
          <cell r="J119" t="str">
            <v>Malta</v>
          </cell>
          <cell r="K119" t="str">
            <v>Chinese employees</v>
          </cell>
          <cell r="L119" t="str">
            <v>L3</v>
          </cell>
          <cell r="M119" t="str">
            <v>ALL</v>
          </cell>
          <cell r="N119" t="str">
            <v>FLPC(含奖金)</v>
          </cell>
          <cell r="O119" t="str">
            <v>USD/小时</v>
          </cell>
          <cell r="P119">
            <v>57.76</v>
          </cell>
        </row>
        <row r="120">
          <cell r="A120" t="str">
            <v>Malta - Chinese employees - L4</v>
          </cell>
          <cell r="B120" t="str">
            <v>Current version</v>
          </cell>
          <cell r="C120" t="str">
            <v>V2009R2</v>
          </cell>
          <cell r="D120" t="str">
            <v>Labor Rate</v>
          </cell>
          <cell r="E120" t="str">
            <v>MENA</v>
          </cell>
          <cell r="F120" t="str">
            <v>Northern Africa Sub-Regional Division</v>
          </cell>
          <cell r="G120" t="str">
            <v>Tunis Rep.O.</v>
          </cell>
          <cell r="H120" t="str">
            <v>4989</v>
          </cell>
          <cell r="I120" t="str">
            <v>马耳他</v>
          </cell>
          <cell r="J120" t="str">
            <v>Malta</v>
          </cell>
          <cell r="K120" t="str">
            <v>Chinese employees</v>
          </cell>
          <cell r="L120" t="str">
            <v>L4</v>
          </cell>
          <cell r="M120" t="str">
            <v>ALL</v>
          </cell>
          <cell r="N120" t="str">
            <v>FLPC(含奖金)</v>
          </cell>
          <cell r="O120" t="str">
            <v>USD/小时</v>
          </cell>
          <cell r="P120">
            <v>97.07</v>
          </cell>
        </row>
        <row r="121">
          <cell r="A121" t="str">
            <v>Tunis - Chinese employees - L0</v>
          </cell>
          <cell r="B121" t="str">
            <v>Current version</v>
          </cell>
          <cell r="C121" t="str">
            <v>V2009R2</v>
          </cell>
          <cell r="D121" t="str">
            <v>Labor Rate</v>
          </cell>
          <cell r="E121" t="str">
            <v>MENA</v>
          </cell>
          <cell r="F121" t="str">
            <v>Northern Africa Sub-Regional Division</v>
          </cell>
          <cell r="G121" t="str">
            <v>Tunis Rep.O.</v>
          </cell>
          <cell r="H121" t="str">
            <v>4997</v>
          </cell>
          <cell r="I121" t="str">
            <v>突尼斯</v>
          </cell>
          <cell r="J121" t="str">
            <v>Tunis</v>
          </cell>
          <cell r="K121" t="str">
            <v>Chinese employees</v>
          </cell>
          <cell r="L121" t="str">
            <v>L0</v>
          </cell>
          <cell r="M121" t="str">
            <v>ALL</v>
          </cell>
          <cell r="N121" t="str">
            <v>FLPC(含奖金)</v>
          </cell>
          <cell r="O121" t="str">
            <v>USD/小时</v>
          </cell>
          <cell r="P121">
            <v>33.33</v>
          </cell>
        </row>
        <row r="122">
          <cell r="A122" t="str">
            <v>Tunis - Chinese employees - L1</v>
          </cell>
          <cell r="B122" t="str">
            <v>Current version</v>
          </cell>
          <cell r="C122" t="str">
            <v>V2009R2</v>
          </cell>
          <cell r="D122" t="str">
            <v>Labor Rate</v>
          </cell>
          <cell r="E122" t="str">
            <v>MENA</v>
          </cell>
          <cell r="F122" t="str">
            <v>Northern Africa Sub-Regional Division</v>
          </cell>
          <cell r="G122" t="str">
            <v>Tunis Rep.O.</v>
          </cell>
          <cell r="H122" t="str">
            <v>4997</v>
          </cell>
          <cell r="I122" t="str">
            <v>突尼斯</v>
          </cell>
          <cell r="J122" t="str">
            <v>Tunis</v>
          </cell>
          <cell r="K122" t="str">
            <v>Chinese employees</v>
          </cell>
          <cell r="L122" t="str">
            <v>L1</v>
          </cell>
          <cell r="M122" t="str">
            <v>ALL</v>
          </cell>
          <cell r="N122" t="str">
            <v>FLPC(含奖金)</v>
          </cell>
          <cell r="O122" t="str">
            <v>USD/小时</v>
          </cell>
          <cell r="P122">
            <v>40.299999999999997</v>
          </cell>
        </row>
        <row r="123">
          <cell r="A123" t="str">
            <v>Tunis - Chinese employees - L2</v>
          </cell>
          <cell r="B123" t="str">
            <v>Current version</v>
          </cell>
          <cell r="C123" t="str">
            <v>V2009R2</v>
          </cell>
          <cell r="D123" t="str">
            <v>Labor Rate</v>
          </cell>
          <cell r="E123" t="str">
            <v>MENA</v>
          </cell>
          <cell r="F123" t="str">
            <v>Northern Africa Sub-Regional Division</v>
          </cell>
          <cell r="G123" t="str">
            <v>Tunis Rep.O.</v>
          </cell>
          <cell r="H123" t="str">
            <v>4997</v>
          </cell>
          <cell r="I123" t="str">
            <v>突尼斯</v>
          </cell>
          <cell r="J123" t="str">
            <v>Tunis</v>
          </cell>
          <cell r="K123" t="str">
            <v>Chinese employees</v>
          </cell>
          <cell r="L123" t="str">
            <v>L2</v>
          </cell>
          <cell r="M123" t="str">
            <v>ALL</v>
          </cell>
          <cell r="N123" t="str">
            <v>FLPC(含奖金)</v>
          </cell>
          <cell r="O123" t="str">
            <v>USD/小时</v>
          </cell>
          <cell r="P123">
            <v>47.92</v>
          </cell>
        </row>
        <row r="124">
          <cell r="A124" t="str">
            <v>Tunis - Chinese employees - L3</v>
          </cell>
          <cell r="B124" t="str">
            <v>Current version</v>
          </cell>
          <cell r="C124" t="str">
            <v>V2009R2</v>
          </cell>
          <cell r="D124" t="str">
            <v>Labor Rate</v>
          </cell>
          <cell r="E124" t="str">
            <v>MENA</v>
          </cell>
          <cell r="F124" t="str">
            <v>Northern Africa Sub-Regional Division</v>
          </cell>
          <cell r="G124" t="str">
            <v>Tunis Rep.O.</v>
          </cell>
          <cell r="H124" t="str">
            <v>4997</v>
          </cell>
          <cell r="I124" t="str">
            <v>突尼斯</v>
          </cell>
          <cell r="J124" t="str">
            <v>Tunis</v>
          </cell>
          <cell r="K124" t="str">
            <v>Chinese employees</v>
          </cell>
          <cell r="L124" t="str">
            <v>L3</v>
          </cell>
          <cell r="M124" t="str">
            <v>ALL</v>
          </cell>
          <cell r="N124" t="str">
            <v>FLPC(含奖金)</v>
          </cell>
          <cell r="O124" t="str">
            <v>USD/小时</v>
          </cell>
          <cell r="P124">
            <v>58.84</v>
          </cell>
        </row>
        <row r="125">
          <cell r="A125" t="str">
            <v>Tunis - Chinese employees - L4</v>
          </cell>
          <cell r="B125" t="str">
            <v>Current version</v>
          </cell>
          <cell r="C125" t="str">
            <v>V2009R2</v>
          </cell>
          <cell r="D125" t="str">
            <v>Labor Rate</v>
          </cell>
          <cell r="E125" t="str">
            <v>MENA</v>
          </cell>
          <cell r="F125" t="str">
            <v>Northern Africa Sub-Regional Division</v>
          </cell>
          <cell r="G125" t="str">
            <v>Tunis Rep.O.</v>
          </cell>
          <cell r="H125" t="str">
            <v>4997</v>
          </cell>
          <cell r="I125" t="str">
            <v>突尼斯</v>
          </cell>
          <cell r="J125" t="str">
            <v>Tunis</v>
          </cell>
          <cell r="K125" t="str">
            <v>Chinese employees</v>
          </cell>
          <cell r="L125" t="str">
            <v>L4</v>
          </cell>
          <cell r="M125" t="str">
            <v>ALL</v>
          </cell>
          <cell r="N125" t="str">
            <v>FLPC(含奖金)</v>
          </cell>
          <cell r="O125" t="str">
            <v>USD/小时</v>
          </cell>
          <cell r="P125">
            <v>97.07</v>
          </cell>
        </row>
        <row r="126">
          <cell r="A126" t="str">
            <v>Chad - Chinese employees - L0</v>
          </cell>
          <cell r="B126" t="str">
            <v>Current version</v>
          </cell>
          <cell r="C126" t="str">
            <v>V2009R2</v>
          </cell>
          <cell r="D126" t="str">
            <v>Labor Rate</v>
          </cell>
          <cell r="E126" t="str">
            <v>MENA</v>
          </cell>
          <cell r="F126" t="str">
            <v>Northern Africa Sub-Regional Division</v>
          </cell>
          <cell r="G126" t="str">
            <v>Tunis Rep.O.</v>
          </cell>
          <cell r="H126" t="str">
            <v>4021</v>
          </cell>
          <cell r="I126" t="str">
            <v>乍得</v>
          </cell>
          <cell r="J126" t="str">
            <v>Chad</v>
          </cell>
          <cell r="K126" t="str">
            <v>Chinese employees</v>
          </cell>
          <cell r="L126" t="str">
            <v>L0</v>
          </cell>
          <cell r="M126" t="str">
            <v>ALL</v>
          </cell>
          <cell r="N126" t="str">
            <v>FLPC(含奖金)</v>
          </cell>
          <cell r="O126" t="str">
            <v>USD/小时</v>
          </cell>
          <cell r="P126">
            <v>39.409999999999997</v>
          </cell>
        </row>
        <row r="127">
          <cell r="A127" t="str">
            <v>Bahia Salvador, Brazil - Chinese employees - L2</v>
          </cell>
          <cell r="B127" t="str">
            <v>Current version</v>
          </cell>
          <cell r="C127" t="str">
            <v>V2009R2</v>
          </cell>
          <cell r="D127" t="str">
            <v>Labor Rate</v>
          </cell>
          <cell r="E127" t="str">
            <v>LA</v>
          </cell>
          <cell r="F127" t="str">
            <v>Southern South America Sub-Regional Division</v>
          </cell>
          <cell r="G127" t="str">
            <v>Brazil-Jio Rep.O.</v>
          </cell>
          <cell r="H127" t="str">
            <v>6037</v>
          </cell>
          <cell r="I127" t="str">
            <v>巴西巴黑尔萨尔瓦多</v>
          </cell>
          <cell r="J127" t="str">
            <v>Bahia Salvador, Brazil</v>
          </cell>
          <cell r="K127" t="str">
            <v>Chinese employees</v>
          </cell>
          <cell r="L127" t="str">
            <v>L2</v>
          </cell>
          <cell r="M127" t="str">
            <v>ALL</v>
          </cell>
          <cell r="N127" t="str">
            <v>FLPC(含奖金)</v>
          </cell>
          <cell r="O127" t="str">
            <v>USD/小时</v>
          </cell>
          <cell r="P127">
            <v>75.790000000000006</v>
          </cell>
        </row>
        <row r="128">
          <cell r="A128" t="str">
            <v>Bahia Salvador, Brazil - Chinese employees - L3</v>
          </cell>
          <cell r="B128" t="str">
            <v>Current version</v>
          </cell>
          <cell r="C128" t="str">
            <v>V2009R2</v>
          </cell>
          <cell r="D128" t="str">
            <v>Labor Rate</v>
          </cell>
          <cell r="E128" t="str">
            <v>LA</v>
          </cell>
          <cell r="F128" t="str">
            <v>Southern South America Sub-Regional Division</v>
          </cell>
          <cell r="G128" t="str">
            <v>Brazil-Jio Rep.O.</v>
          </cell>
          <cell r="H128" t="str">
            <v>6037</v>
          </cell>
          <cell r="I128" t="str">
            <v>巴西巴黑尔萨尔瓦多</v>
          </cell>
          <cell r="J128" t="str">
            <v>Bahia Salvador, Brazil</v>
          </cell>
          <cell r="K128" t="str">
            <v>Chinese employees</v>
          </cell>
          <cell r="L128" t="str">
            <v>L3</v>
          </cell>
          <cell r="M128" t="str">
            <v>ALL</v>
          </cell>
          <cell r="N128" t="str">
            <v>FLPC(含奖金)</v>
          </cell>
          <cell r="O128" t="str">
            <v>USD/小时</v>
          </cell>
          <cell r="P128">
            <v>90.37</v>
          </cell>
        </row>
        <row r="129">
          <cell r="A129" t="str">
            <v>Bahia Salvador, Brazil - Chinese employees - L4</v>
          </cell>
          <cell r="B129" t="str">
            <v>Current version</v>
          </cell>
          <cell r="C129" t="str">
            <v>V2009R2</v>
          </cell>
          <cell r="D129" t="str">
            <v>Labor Rate</v>
          </cell>
          <cell r="E129" t="str">
            <v>LA</v>
          </cell>
          <cell r="F129" t="str">
            <v>Southern South America Sub-Regional Division</v>
          </cell>
          <cell r="G129" t="str">
            <v>Brazil-Jio Rep.O.</v>
          </cell>
          <cell r="H129" t="str">
            <v>6037</v>
          </cell>
          <cell r="I129" t="str">
            <v>巴西巴黑尔萨尔瓦多</v>
          </cell>
          <cell r="J129" t="str">
            <v>Bahia Salvador, Brazil</v>
          </cell>
          <cell r="K129" t="str">
            <v>Chinese employees</v>
          </cell>
          <cell r="L129" t="str">
            <v>L4</v>
          </cell>
          <cell r="M129" t="str">
            <v>ALL</v>
          </cell>
          <cell r="N129" t="str">
            <v>FLPC(含奖金)</v>
          </cell>
          <cell r="O129" t="str">
            <v>USD/小时</v>
          </cell>
          <cell r="P129">
            <v>139.13999999999999</v>
          </cell>
        </row>
        <row r="130">
          <cell r="A130" t="str">
            <v>Fortaleza, Brazil - Chinese employees - L0</v>
          </cell>
          <cell r="B130" t="str">
            <v>Current version</v>
          </cell>
          <cell r="C130" t="str">
            <v>V2009R2</v>
          </cell>
          <cell r="D130" t="str">
            <v>Labor Rate</v>
          </cell>
          <cell r="E130" t="str">
            <v>LA</v>
          </cell>
          <cell r="F130" t="str">
            <v>Southern South America Sub-Regional Division</v>
          </cell>
          <cell r="G130" t="str">
            <v>Brazil-Jio Rep.O.</v>
          </cell>
          <cell r="H130" t="str">
            <v>6038</v>
          </cell>
          <cell r="I130" t="str">
            <v>巴西福塔雷萨</v>
          </cell>
          <cell r="J130" t="str">
            <v>Fortaleza, Brazil</v>
          </cell>
          <cell r="K130" t="str">
            <v>Chinese employees</v>
          </cell>
          <cell r="L130" t="str">
            <v>L0</v>
          </cell>
          <cell r="M130" t="str">
            <v>ALL</v>
          </cell>
          <cell r="N130" t="str">
            <v>FLPC(含奖金)</v>
          </cell>
          <cell r="O130" t="str">
            <v>USD/小时</v>
          </cell>
          <cell r="P130">
            <v>58.19</v>
          </cell>
        </row>
        <row r="131">
          <cell r="A131" t="str">
            <v>Fortaleza, Brazil - Chinese employees - L1</v>
          </cell>
          <cell r="B131" t="str">
            <v>Current version</v>
          </cell>
          <cell r="C131" t="str">
            <v>V2009R2</v>
          </cell>
          <cell r="D131" t="str">
            <v>Labor Rate</v>
          </cell>
          <cell r="E131" t="str">
            <v>LA</v>
          </cell>
          <cell r="F131" t="str">
            <v>Southern South America Sub-Regional Division</v>
          </cell>
          <cell r="G131" t="str">
            <v>Brazil-Jio Rep.O.</v>
          </cell>
          <cell r="H131" t="str">
            <v>6038</v>
          </cell>
          <cell r="I131" t="str">
            <v>巴西福塔雷萨</v>
          </cell>
          <cell r="J131" t="str">
            <v>Fortaleza, Brazil</v>
          </cell>
          <cell r="K131" t="str">
            <v>Chinese employees</v>
          </cell>
          <cell r="L131" t="str">
            <v>L1</v>
          </cell>
          <cell r="M131" t="str">
            <v>ALL</v>
          </cell>
          <cell r="N131" t="str">
            <v>FLPC(含奖金)</v>
          </cell>
          <cell r="O131" t="str">
            <v>USD/小时</v>
          </cell>
          <cell r="P131">
            <v>65.77</v>
          </cell>
        </row>
        <row r="132">
          <cell r="A132" t="str">
            <v>Fortaleza, Brazil - Chinese employees - L2</v>
          </cell>
          <cell r="B132" t="str">
            <v>Current version</v>
          </cell>
          <cell r="C132" t="str">
            <v>V2009R2</v>
          </cell>
          <cell r="D132" t="str">
            <v>Labor Rate</v>
          </cell>
          <cell r="E132" t="str">
            <v>LA</v>
          </cell>
          <cell r="F132" t="str">
            <v>Southern South America Sub-Regional Division</v>
          </cell>
          <cell r="G132" t="str">
            <v>Brazil-Jio Rep.O.</v>
          </cell>
          <cell r="H132" t="str">
            <v>6038</v>
          </cell>
          <cell r="I132" t="str">
            <v>巴西福塔雷萨</v>
          </cell>
          <cell r="J132" t="str">
            <v>Fortaleza, Brazil</v>
          </cell>
          <cell r="K132" t="str">
            <v>Chinese employees</v>
          </cell>
          <cell r="L132" t="str">
            <v>L2</v>
          </cell>
          <cell r="M132" t="str">
            <v>ALL</v>
          </cell>
          <cell r="N132" t="str">
            <v>FLPC(含奖金)</v>
          </cell>
          <cell r="O132" t="str">
            <v>USD/小时</v>
          </cell>
          <cell r="P132">
            <v>75.790000000000006</v>
          </cell>
        </row>
        <row r="133">
          <cell r="A133" t="str">
            <v>Fortaleza, Brazil - Chinese employees - L3</v>
          </cell>
          <cell r="B133" t="str">
            <v>Current version</v>
          </cell>
          <cell r="C133" t="str">
            <v>V2009R2</v>
          </cell>
          <cell r="D133" t="str">
            <v>Labor Rate</v>
          </cell>
          <cell r="E133" t="str">
            <v>LA</v>
          </cell>
          <cell r="F133" t="str">
            <v>Southern South America Sub-Regional Division</v>
          </cell>
          <cell r="G133" t="str">
            <v>Brazil-Jio Rep.O.</v>
          </cell>
          <cell r="H133" t="str">
            <v>6038</v>
          </cell>
          <cell r="I133" t="str">
            <v>巴西福塔雷萨</v>
          </cell>
          <cell r="J133" t="str">
            <v>Fortaleza, Brazil</v>
          </cell>
          <cell r="K133" t="str">
            <v>Chinese employees</v>
          </cell>
          <cell r="L133" t="str">
            <v>L3</v>
          </cell>
          <cell r="M133" t="str">
            <v>ALL</v>
          </cell>
          <cell r="N133" t="str">
            <v>FLPC(含奖金)</v>
          </cell>
          <cell r="O133" t="str">
            <v>USD/小时</v>
          </cell>
          <cell r="P133">
            <v>90.37</v>
          </cell>
        </row>
        <row r="134">
          <cell r="A134" t="str">
            <v>Fortaleza, Brazil - Chinese employees - L4</v>
          </cell>
          <cell r="B134" t="str">
            <v>Current version</v>
          </cell>
          <cell r="C134" t="str">
            <v>V2009R2</v>
          </cell>
          <cell r="D134" t="str">
            <v>Labor Rate</v>
          </cell>
          <cell r="E134" t="str">
            <v>LA</v>
          </cell>
          <cell r="F134" t="str">
            <v>Southern South America Sub-Regional Division</v>
          </cell>
          <cell r="G134" t="str">
            <v>Brazil-Jio Rep.O.</v>
          </cell>
          <cell r="H134" t="str">
            <v>6038</v>
          </cell>
          <cell r="I134" t="str">
            <v>巴西福塔雷萨</v>
          </cell>
          <cell r="J134" t="str">
            <v>Fortaleza, Brazil</v>
          </cell>
          <cell r="K134" t="str">
            <v>Chinese employees</v>
          </cell>
          <cell r="L134" t="str">
            <v>L4</v>
          </cell>
          <cell r="M134" t="str">
            <v>ALL</v>
          </cell>
          <cell r="N134" t="str">
            <v>FLPC(含奖金)</v>
          </cell>
          <cell r="O134" t="str">
            <v>USD/小时</v>
          </cell>
          <cell r="P134">
            <v>139.13999999999999</v>
          </cell>
        </row>
        <row r="135">
          <cell r="A135" t="str">
            <v>Recife, Brazil - Chinese employees - L0</v>
          </cell>
          <cell r="B135" t="str">
            <v>Current version</v>
          </cell>
          <cell r="C135" t="str">
            <v>V2009R2</v>
          </cell>
          <cell r="D135" t="str">
            <v>Labor Rate</v>
          </cell>
          <cell r="E135" t="str">
            <v>LA</v>
          </cell>
          <cell r="F135" t="str">
            <v>Southern South America Sub-Regional Division</v>
          </cell>
          <cell r="G135" t="str">
            <v>Brazil-Jio Rep.O.</v>
          </cell>
          <cell r="H135" t="str">
            <v>6039</v>
          </cell>
          <cell r="I135" t="str">
            <v>巴西累西腓</v>
          </cell>
          <cell r="J135" t="str">
            <v>Recife, Brazil</v>
          </cell>
          <cell r="K135" t="str">
            <v>Chinese employees</v>
          </cell>
          <cell r="L135" t="str">
            <v>L0</v>
          </cell>
          <cell r="M135" t="str">
            <v>ALL</v>
          </cell>
          <cell r="N135" t="str">
            <v>FLPC(含奖金)</v>
          </cell>
          <cell r="O135" t="str">
            <v>USD/小时</v>
          </cell>
          <cell r="P135">
            <v>58.19</v>
          </cell>
        </row>
        <row r="136">
          <cell r="A136" t="str">
            <v>Recife, Brazil - Chinese employees - L1</v>
          </cell>
          <cell r="B136" t="str">
            <v>Current version</v>
          </cell>
          <cell r="C136" t="str">
            <v>V2009R2</v>
          </cell>
          <cell r="D136" t="str">
            <v>Labor Rate</v>
          </cell>
          <cell r="E136" t="str">
            <v>LA</v>
          </cell>
          <cell r="F136" t="str">
            <v>Southern South America Sub-Regional Division</v>
          </cell>
          <cell r="G136" t="str">
            <v>Brazil-Jio Rep.O.</v>
          </cell>
          <cell r="H136" t="str">
            <v>6039</v>
          </cell>
          <cell r="I136" t="str">
            <v>巴西累西腓</v>
          </cell>
          <cell r="J136" t="str">
            <v>Recife, Brazil</v>
          </cell>
          <cell r="K136" t="str">
            <v>Chinese employees</v>
          </cell>
          <cell r="L136" t="str">
            <v>L1</v>
          </cell>
          <cell r="M136" t="str">
            <v>ALL</v>
          </cell>
          <cell r="N136" t="str">
            <v>FLPC(含奖金)</v>
          </cell>
          <cell r="O136" t="str">
            <v>USD/小时</v>
          </cell>
          <cell r="P136">
            <v>65.77</v>
          </cell>
        </row>
        <row r="137">
          <cell r="A137" t="str">
            <v>Recife, Brazil - Chinese employees - L2</v>
          </cell>
          <cell r="B137" t="str">
            <v>Current version</v>
          </cell>
          <cell r="C137" t="str">
            <v>V2009R2</v>
          </cell>
          <cell r="D137" t="str">
            <v>Labor Rate</v>
          </cell>
          <cell r="E137" t="str">
            <v>LA</v>
          </cell>
          <cell r="F137" t="str">
            <v>Southern South America Sub-Regional Division</v>
          </cell>
          <cell r="G137" t="str">
            <v>Brazil-Jio Rep.O.</v>
          </cell>
          <cell r="H137" t="str">
            <v>6039</v>
          </cell>
          <cell r="I137" t="str">
            <v>巴西累西腓</v>
          </cell>
          <cell r="J137" t="str">
            <v>Recife, Brazil</v>
          </cell>
          <cell r="K137" t="str">
            <v>Chinese employees</v>
          </cell>
          <cell r="L137" t="str">
            <v>L2</v>
          </cell>
          <cell r="M137" t="str">
            <v>ALL</v>
          </cell>
          <cell r="N137" t="str">
            <v>FLPC(含奖金)</v>
          </cell>
          <cell r="O137" t="str">
            <v>USD/小时</v>
          </cell>
          <cell r="P137">
            <v>75.790000000000006</v>
          </cell>
        </row>
        <row r="138">
          <cell r="A138" t="str">
            <v>Recife, Brazil - Chinese employees - L3</v>
          </cell>
          <cell r="B138" t="str">
            <v>Current version</v>
          </cell>
          <cell r="C138" t="str">
            <v>V2009R2</v>
          </cell>
          <cell r="D138" t="str">
            <v>Labor Rate</v>
          </cell>
          <cell r="E138" t="str">
            <v>LA</v>
          </cell>
          <cell r="F138" t="str">
            <v>Southern South America Sub-Regional Division</v>
          </cell>
          <cell r="G138" t="str">
            <v>Brazil-Jio Rep.O.</v>
          </cell>
          <cell r="H138" t="str">
            <v>6039</v>
          </cell>
          <cell r="I138" t="str">
            <v>巴西累西腓</v>
          </cell>
          <cell r="J138" t="str">
            <v>Recife, Brazil</v>
          </cell>
          <cell r="K138" t="str">
            <v>Chinese employees</v>
          </cell>
          <cell r="L138" t="str">
            <v>L3</v>
          </cell>
          <cell r="M138" t="str">
            <v>ALL</v>
          </cell>
          <cell r="N138" t="str">
            <v>FLPC(含奖金)</v>
          </cell>
          <cell r="O138" t="str">
            <v>USD/小时</v>
          </cell>
          <cell r="P138">
            <v>90.37</v>
          </cell>
        </row>
        <row r="139">
          <cell r="A139" t="str">
            <v>Recife, Brazil - Chinese employees - L4</v>
          </cell>
          <cell r="B139" t="str">
            <v>Current version</v>
          </cell>
          <cell r="C139" t="str">
            <v>V2009R2</v>
          </cell>
          <cell r="D139" t="str">
            <v>Labor Rate</v>
          </cell>
          <cell r="E139" t="str">
            <v>LA</v>
          </cell>
          <cell r="F139" t="str">
            <v>Southern South America Sub-Regional Division</v>
          </cell>
          <cell r="G139" t="str">
            <v>Brazil-Jio Rep.O.</v>
          </cell>
          <cell r="H139" t="str">
            <v>6039</v>
          </cell>
          <cell r="I139" t="str">
            <v>巴西累西腓</v>
          </cell>
          <cell r="J139" t="str">
            <v>Recife, Brazil</v>
          </cell>
          <cell r="K139" t="str">
            <v>Chinese employees</v>
          </cell>
          <cell r="L139" t="str">
            <v>L4</v>
          </cell>
          <cell r="M139" t="str">
            <v>ALL</v>
          </cell>
          <cell r="N139" t="str">
            <v>FLPC(含奖金)</v>
          </cell>
          <cell r="O139" t="str">
            <v>USD/小时</v>
          </cell>
          <cell r="P139">
            <v>139.13999999999999</v>
          </cell>
        </row>
        <row r="140">
          <cell r="A140" t="str">
            <v>Brasilia, Brazil - Chinese employees - L0</v>
          </cell>
          <cell r="B140" t="str">
            <v>Current version</v>
          </cell>
          <cell r="C140" t="str">
            <v>V2009R2</v>
          </cell>
          <cell r="D140" t="str">
            <v>Labor Rate</v>
          </cell>
          <cell r="E140" t="str">
            <v>LA</v>
          </cell>
          <cell r="F140" t="str">
            <v>Southern South America Sub-Regional Division</v>
          </cell>
          <cell r="G140" t="str">
            <v>Brazil-Brazilia Rep.O.</v>
          </cell>
          <cell r="H140" t="str">
            <v>6012</v>
          </cell>
          <cell r="I140" t="str">
            <v>巴西巴西利亚</v>
          </cell>
          <cell r="J140" t="str">
            <v>Brasilia, Brazil</v>
          </cell>
          <cell r="K140" t="str">
            <v>Chinese employees</v>
          </cell>
          <cell r="L140" t="str">
            <v>L0</v>
          </cell>
          <cell r="M140" t="str">
            <v>ALL</v>
          </cell>
          <cell r="N140" t="str">
            <v>FLPC(含奖金)</v>
          </cell>
          <cell r="O140" t="str">
            <v>USD/小时</v>
          </cell>
          <cell r="P140">
            <v>56.6</v>
          </cell>
        </row>
        <row r="141">
          <cell r="A141" t="str">
            <v>Brasilia, Brazil - Chinese employees - L1</v>
          </cell>
          <cell r="B141" t="str">
            <v>Current version</v>
          </cell>
          <cell r="C141" t="str">
            <v>V2009R2</v>
          </cell>
          <cell r="D141" t="str">
            <v>Labor Rate</v>
          </cell>
          <cell r="E141" t="str">
            <v>LA</v>
          </cell>
          <cell r="F141" t="str">
            <v>Southern South America Sub-Regional Division</v>
          </cell>
          <cell r="G141" t="str">
            <v>Brazil-Brazilia Rep.O.</v>
          </cell>
          <cell r="H141" t="str">
            <v>6012</v>
          </cell>
          <cell r="I141" t="str">
            <v>巴西巴西利亚</v>
          </cell>
          <cell r="J141" t="str">
            <v>Brasilia, Brazil</v>
          </cell>
          <cell r="K141" t="str">
            <v>Chinese employees</v>
          </cell>
          <cell r="L141" t="str">
            <v>L1</v>
          </cell>
          <cell r="M141" t="str">
            <v>ALL</v>
          </cell>
          <cell r="N141" t="str">
            <v>FLPC(含奖金)</v>
          </cell>
          <cell r="O141" t="str">
            <v>USD/小时</v>
          </cell>
          <cell r="P141">
            <v>63.97</v>
          </cell>
        </row>
        <row r="142">
          <cell r="A142" t="str">
            <v>Brasilia, Brazil - Chinese employees - L2</v>
          </cell>
          <cell r="B142" t="str">
            <v>Current version</v>
          </cell>
          <cell r="C142" t="str">
            <v>V2009R2</v>
          </cell>
          <cell r="D142" t="str">
            <v>Labor Rate</v>
          </cell>
          <cell r="E142" t="str">
            <v>LA</v>
          </cell>
          <cell r="F142" t="str">
            <v>Southern South America Sub-Regional Division</v>
          </cell>
          <cell r="G142" t="str">
            <v>Brazil-Brazilia Rep.O.</v>
          </cell>
          <cell r="H142" t="str">
            <v>6012</v>
          </cell>
          <cell r="I142" t="str">
            <v>巴西巴西利亚</v>
          </cell>
          <cell r="J142" t="str">
            <v>Brasilia, Brazil</v>
          </cell>
          <cell r="K142" t="str">
            <v>Chinese employees</v>
          </cell>
          <cell r="L142" t="str">
            <v>L2</v>
          </cell>
          <cell r="M142" t="str">
            <v>ALL</v>
          </cell>
          <cell r="N142" t="str">
            <v>FLPC(含奖金)</v>
          </cell>
          <cell r="O142" t="str">
            <v>USD/小时</v>
          </cell>
          <cell r="P142">
            <v>73.709999999999994</v>
          </cell>
        </row>
        <row r="143">
          <cell r="A143" t="str">
            <v>Brasilia, Brazil - Chinese employees - L3</v>
          </cell>
          <cell r="B143" t="str">
            <v>Current version</v>
          </cell>
          <cell r="C143" t="str">
            <v>V2009R2</v>
          </cell>
          <cell r="D143" t="str">
            <v>Labor Rate</v>
          </cell>
          <cell r="E143" t="str">
            <v>LA</v>
          </cell>
          <cell r="F143" t="str">
            <v>Southern South America Sub-Regional Division</v>
          </cell>
          <cell r="G143" t="str">
            <v>Brazil-Brazilia Rep.O.</v>
          </cell>
          <cell r="H143" t="str">
            <v>6012</v>
          </cell>
          <cell r="I143" t="str">
            <v>巴西巴西利亚</v>
          </cell>
          <cell r="J143" t="str">
            <v>Brasilia, Brazil</v>
          </cell>
          <cell r="K143" t="str">
            <v>Chinese employees</v>
          </cell>
          <cell r="L143" t="str">
            <v>L3</v>
          </cell>
          <cell r="M143" t="str">
            <v>ALL</v>
          </cell>
          <cell r="N143" t="str">
            <v>FLPC(含奖金)</v>
          </cell>
          <cell r="O143" t="str">
            <v>USD/小时</v>
          </cell>
          <cell r="P143">
            <v>87.9</v>
          </cell>
        </row>
        <row r="144">
          <cell r="A144" t="str">
            <v>Brasilia, Brazil - Chinese employees - L4</v>
          </cell>
          <cell r="B144" t="str">
            <v>Current version</v>
          </cell>
          <cell r="C144" t="str">
            <v>V2009R2</v>
          </cell>
          <cell r="D144" t="str">
            <v>Labor Rate</v>
          </cell>
          <cell r="E144" t="str">
            <v>LA</v>
          </cell>
          <cell r="F144" t="str">
            <v>Southern South America Sub-Regional Division</v>
          </cell>
          <cell r="G144" t="str">
            <v>Brazil-Brazilia Rep.O.</v>
          </cell>
          <cell r="H144" t="str">
            <v>6012</v>
          </cell>
          <cell r="I144" t="str">
            <v>巴西巴西利亚</v>
          </cell>
          <cell r="J144" t="str">
            <v>Brasilia, Brazil</v>
          </cell>
          <cell r="K144" t="str">
            <v>Chinese employees</v>
          </cell>
          <cell r="L144" t="str">
            <v>L4</v>
          </cell>
          <cell r="M144" t="str">
            <v>ALL</v>
          </cell>
          <cell r="N144" t="str">
            <v>FLPC(含奖金)</v>
          </cell>
          <cell r="O144" t="str">
            <v>USD/小时</v>
          </cell>
          <cell r="P144">
            <v>135.33000000000001</v>
          </cell>
        </row>
        <row r="145">
          <cell r="A145" t="str">
            <v>Uberlandia, Brazil - Chinese employees - L0</v>
          </cell>
          <cell r="B145" t="str">
            <v>Current version</v>
          </cell>
          <cell r="C145" t="str">
            <v>V2009R2</v>
          </cell>
          <cell r="D145" t="str">
            <v>Labor Rate</v>
          </cell>
          <cell r="E145" t="str">
            <v>LA</v>
          </cell>
          <cell r="F145" t="str">
            <v>Southern South America Sub-Regional Division</v>
          </cell>
          <cell r="G145" t="str">
            <v>Brazil-Brazilia Rep.O.</v>
          </cell>
          <cell r="H145" t="str">
            <v>6034</v>
          </cell>
          <cell r="I145" t="str">
            <v>巴西乌贝兰迪亚</v>
          </cell>
          <cell r="J145" t="str">
            <v>Uberlandia, Brazil</v>
          </cell>
          <cell r="K145" t="str">
            <v>Chinese employees</v>
          </cell>
          <cell r="L145" t="str">
            <v>L0</v>
          </cell>
          <cell r="M145" t="str">
            <v>ALL</v>
          </cell>
          <cell r="N145" t="str">
            <v>FLPC(含奖金)</v>
          </cell>
          <cell r="O145" t="str">
            <v>USD/小时</v>
          </cell>
          <cell r="P145">
            <v>56.6</v>
          </cell>
        </row>
        <row r="146">
          <cell r="A146" t="str">
            <v>Uberlandia, Brazil - Chinese employees - L1</v>
          </cell>
          <cell r="B146" t="str">
            <v>Current version</v>
          </cell>
          <cell r="C146" t="str">
            <v>V2009R2</v>
          </cell>
          <cell r="D146" t="str">
            <v>Labor Rate</v>
          </cell>
          <cell r="E146" t="str">
            <v>LA</v>
          </cell>
          <cell r="F146" t="str">
            <v>Southern South America Sub-Regional Division</v>
          </cell>
          <cell r="G146" t="str">
            <v>Brazil-Brazilia Rep.O.</v>
          </cell>
          <cell r="H146" t="str">
            <v>6034</v>
          </cell>
          <cell r="I146" t="str">
            <v>巴西乌贝兰迪亚</v>
          </cell>
          <cell r="J146" t="str">
            <v>Uberlandia, Brazil</v>
          </cell>
          <cell r="K146" t="str">
            <v>Chinese employees</v>
          </cell>
          <cell r="L146" t="str">
            <v>L1</v>
          </cell>
          <cell r="M146" t="str">
            <v>ALL</v>
          </cell>
          <cell r="N146" t="str">
            <v>FLPC(含奖金)</v>
          </cell>
          <cell r="O146" t="str">
            <v>USD/小时</v>
          </cell>
          <cell r="P146">
            <v>63.97</v>
          </cell>
        </row>
        <row r="147">
          <cell r="A147" t="str">
            <v>Uberlandia, Brazil - Chinese employees - L2</v>
          </cell>
          <cell r="B147" t="str">
            <v>Current version</v>
          </cell>
          <cell r="C147" t="str">
            <v>V2009R2</v>
          </cell>
          <cell r="D147" t="str">
            <v>Labor Rate</v>
          </cell>
          <cell r="E147" t="str">
            <v>LA</v>
          </cell>
          <cell r="F147" t="str">
            <v>Southern South America Sub-Regional Division</v>
          </cell>
          <cell r="G147" t="str">
            <v>Brazil-Brazilia Rep.O.</v>
          </cell>
          <cell r="H147" t="str">
            <v>6034</v>
          </cell>
          <cell r="I147" t="str">
            <v>巴西乌贝兰迪亚</v>
          </cell>
          <cell r="J147" t="str">
            <v>Uberlandia, Brazil</v>
          </cell>
          <cell r="K147" t="str">
            <v>Chinese employees</v>
          </cell>
          <cell r="L147" t="str">
            <v>L2</v>
          </cell>
          <cell r="M147" t="str">
            <v>ALL</v>
          </cell>
          <cell r="N147" t="str">
            <v>FLPC(含奖金)</v>
          </cell>
          <cell r="O147" t="str">
            <v>USD/小时</v>
          </cell>
          <cell r="P147">
            <v>73.709999999999994</v>
          </cell>
        </row>
        <row r="148">
          <cell r="A148" t="str">
            <v>Uberlandia, Brazil - Chinese employees - L3</v>
          </cell>
          <cell r="B148" t="str">
            <v>Current version</v>
          </cell>
          <cell r="C148" t="str">
            <v>V2009R2</v>
          </cell>
          <cell r="D148" t="str">
            <v>Labor Rate</v>
          </cell>
          <cell r="E148" t="str">
            <v>LA</v>
          </cell>
          <cell r="F148" t="str">
            <v>Southern South America Sub-Regional Division</v>
          </cell>
          <cell r="G148" t="str">
            <v>Brazil-Brazilia Rep.O.</v>
          </cell>
          <cell r="H148" t="str">
            <v>6034</v>
          </cell>
          <cell r="I148" t="str">
            <v>巴西乌贝兰迪亚</v>
          </cell>
          <cell r="J148" t="str">
            <v>Uberlandia, Brazil</v>
          </cell>
          <cell r="K148" t="str">
            <v>Chinese employees</v>
          </cell>
          <cell r="L148" t="str">
            <v>L3</v>
          </cell>
          <cell r="M148" t="str">
            <v>ALL</v>
          </cell>
          <cell r="N148" t="str">
            <v>FLPC(含奖金)</v>
          </cell>
          <cell r="O148" t="str">
            <v>USD/小时</v>
          </cell>
          <cell r="P148">
            <v>87.9</v>
          </cell>
        </row>
        <row r="149">
          <cell r="A149" t="str">
            <v>Uberlandia, Brazil - Chinese employees - L4</v>
          </cell>
          <cell r="B149" t="str">
            <v>Current version</v>
          </cell>
          <cell r="C149" t="str">
            <v>V2009R2</v>
          </cell>
          <cell r="D149" t="str">
            <v>Labor Rate</v>
          </cell>
          <cell r="E149" t="str">
            <v>LA</v>
          </cell>
          <cell r="F149" t="str">
            <v>Southern South America Sub-Regional Division</v>
          </cell>
          <cell r="G149" t="str">
            <v>Brazil-Brazilia Rep.O.</v>
          </cell>
          <cell r="H149" t="str">
            <v>6034</v>
          </cell>
          <cell r="I149" t="str">
            <v>巴西乌贝兰迪亚</v>
          </cell>
          <cell r="J149" t="str">
            <v>Uberlandia, Brazil</v>
          </cell>
          <cell r="K149" t="str">
            <v>Chinese employees</v>
          </cell>
          <cell r="L149" t="str">
            <v>L4</v>
          </cell>
          <cell r="M149" t="str">
            <v>ALL</v>
          </cell>
          <cell r="N149" t="str">
            <v>FLPC(含奖金)</v>
          </cell>
          <cell r="O149" t="str">
            <v>USD/小时</v>
          </cell>
          <cell r="P149">
            <v>135.33000000000001</v>
          </cell>
        </row>
        <row r="150">
          <cell r="A150" t="str">
            <v>Belem, Brazil - Chinese employees - L0</v>
          </cell>
          <cell r="B150" t="str">
            <v>Current version</v>
          </cell>
          <cell r="C150" t="str">
            <v>V2009R2</v>
          </cell>
          <cell r="D150" t="str">
            <v>Labor Rate</v>
          </cell>
          <cell r="E150" t="str">
            <v>LA</v>
          </cell>
          <cell r="F150" t="str">
            <v>Southern South America Sub-Regional Division</v>
          </cell>
          <cell r="G150" t="str">
            <v>Brazil-Brazilia Rep.O.</v>
          </cell>
          <cell r="H150" t="str">
            <v>6035</v>
          </cell>
          <cell r="I150" t="str">
            <v>巴西贝仑</v>
          </cell>
          <cell r="J150" t="str">
            <v>Belem, Brazil</v>
          </cell>
          <cell r="K150" t="str">
            <v>Chinese employees</v>
          </cell>
          <cell r="L150" t="str">
            <v>L0</v>
          </cell>
          <cell r="M150" t="str">
            <v>ALL</v>
          </cell>
          <cell r="N150" t="str">
            <v>FLPC(含奖金)</v>
          </cell>
          <cell r="O150" t="str">
            <v>USD/小时</v>
          </cell>
          <cell r="P150">
            <v>56.6</v>
          </cell>
        </row>
        <row r="151">
          <cell r="A151" t="str">
            <v>Belem, Brazil - Chinese employees - L1</v>
          </cell>
          <cell r="B151" t="str">
            <v>Current version</v>
          </cell>
          <cell r="C151" t="str">
            <v>V2009R2</v>
          </cell>
          <cell r="D151" t="str">
            <v>Labor Rate</v>
          </cell>
          <cell r="E151" t="str">
            <v>LA</v>
          </cell>
          <cell r="F151" t="str">
            <v>Southern South America Sub-Regional Division</v>
          </cell>
          <cell r="G151" t="str">
            <v>Brazil-Brazilia Rep.O.</v>
          </cell>
          <cell r="H151" t="str">
            <v>6035</v>
          </cell>
          <cell r="I151" t="str">
            <v>巴西贝仑</v>
          </cell>
          <cell r="J151" t="str">
            <v>Belem, Brazil</v>
          </cell>
          <cell r="K151" t="str">
            <v>Chinese employees</v>
          </cell>
          <cell r="L151" t="str">
            <v>L1</v>
          </cell>
          <cell r="M151" t="str">
            <v>ALL</v>
          </cell>
          <cell r="N151" t="str">
            <v>FLPC(含奖金)</v>
          </cell>
          <cell r="O151" t="str">
            <v>USD/小时</v>
          </cell>
          <cell r="P151">
            <v>63.97</v>
          </cell>
        </row>
        <row r="152">
          <cell r="A152" t="str">
            <v>Belem, Brazil - Chinese employees - L2</v>
          </cell>
          <cell r="B152" t="str">
            <v>Current version</v>
          </cell>
          <cell r="C152" t="str">
            <v>V2009R2</v>
          </cell>
          <cell r="D152" t="str">
            <v>Labor Rate</v>
          </cell>
          <cell r="E152" t="str">
            <v>LA</v>
          </cell>
          <cell r="F152" t="str">
            <v>Southern South America Sub-Regional Division</v>
          </cell>
          <cell r="G152" t="str">
            <v>Brazil-Brazilia Rep.O.</v>
          </cell>
          <cell r="H152" t="str">
            <v>6035</v>
          </cell>
          <cell r="I152" t="str">
            <v>巴西贝仑</v>
          </cell>
          <cell r="J152" t="str">
            <v>Belem, Brazil</v>
          </cell>
          <cell r="K152" t="str">
            <v>Chinese employees</v>
          </cell>
          <cell r="L152" t="str">
            <v>L2</v>
          </cell>
          <cell r="M152" t="str">
            <v>ALL</v>
          </cell>
          <cell r="N152" t="str">
            <v>FLPC(含奖金)</v>
          </cell>
          <cell r="O152" t="str">
            <v>USD/小时</v>
          </cell>
          <cell r="P152">
            <v>73.709999999999994</v>
          </cell>
        </row>
        <row r="153">
          <cell r="A153" t="str">
            <v>Belem, Brazil - Chinese employees - L3</v>
          </cell>
          <cell r="B153" t="str">
            <v>Current version</v>
          </cell>
          <cell r="C153" t="str">
            <v>V2009R2</v>
          </cell>
          <cell r="D153" t="str">
            <v>Labor Rate</v>
          </cell>
          <cell r="E153" t="str">
            <v>LA</v>
          </cell>
          <cell r="F153" t="str">
            <v>Southern South America Sub-Regional Division</v>
          </cell>
          <cell r="G153" t="str">
            <v>Brazil-Brazilia Rep.O.</v>
          </cell>
          <cell r="H153" t="str">
            <v>6035</v>
          </cell>
          <cell r="I153" t="str">
            <v>巴西贝仑</v>
          </cell>
          <cell r="J153" t="str">
            <v>Belem, Brazil</v>
          </cell>
          <cell r="K153" t="str">
            <v>Chinese employees</v>
          </cell>
          <cell r="L153" t="str">
            <v>L3</v>
          </cell>
          <cell r="M153" t="str">
            <v>ALL</v>
          </cell>
          <cell r="N153" t="str">
            <v>FLPC(含奖金)</v>
          </cell>
          <cell r="O153" t="str">
            <v>USD/小时</v>
          </cell>
          <cell r="P153">
            <v>87.9</v>
          </cell>
        </row>
        <row r="154">
          <cell r="A154" t="str">
            <v>Belem, Brazil - Chinese employees - L4</v>
          </cell>
          <cell r="B154" t="str">
            <v>Current version</v>
          </cell>
          <cell r="C154" t="str">
            <v>V2009R2</v>
          </cell>
          <cell r="D154" t="str">
            <v>Labor Rate</v>
          </cell>
          <cell r="E154" t="str">
            <v>LA</v>
          </cell>
          <cell r="F154" t="str">
            <v>Southern South America Sub-Regional Division</v>
          </cell>
          <cell r="G154" t="str">
            <v>Brazil-Brazilia Rep.O.</v>
          </cell>
          <cell r="H154" t="str">
            <v>6035</v>
          </cell>
          <cell r="I154" t="str">
            <v>巴西贝仑</v>
          </cell>
          <cell r="J154" t="str">
            <v>Belem, Brazil</v>
          </cell>
          <cell r="K154" t="str">
            <v>Chinese employees</v>
          </cell>
          <cell r="L154" t="str">
            <v>L4</v>
          </cell>
          <cell r="M154" t="str">
            <v>ALL</v>
          </cell>
          <cell r="N154" t="str">
            <v>FLPC(含奖金)</v>
          </cell>
          <cell r="O154" t="str">
            <v>USD/小时</v>
          </cell>
          <cell r="P154">
            <v>135.33000000000001</v>
          </cell>
        </row>
        <row r="155">
          <cell r="A155" t="str">
            <v>Belo Horizonte, Brazil - Chinese employees - L0</v>
          </cell>
          <cell r="B155" t="str">
            <v>Current version</v>
          </cell>
          <cell r="C155" t="str">
            <v>V2009R2</v>
          </cell>
          <cell r="D155" t="str">
            <v>Labor Rate</v>
          </cell>
          <cell r="E155" t="str">
            <v>LA</v>
          </cell>
          <cell r="F155" t="str">
            <v>Southern South America Sub-Regional Division</v>
          </cell>
          <cell r="G155" t="str">
            <v>Brazil-Brazilia Rep.O.</v>
          </cell>
          <cell r="H155" t="str">
            <v>6036</v>
          </cell>
          <cell r="I155" t="str">
            <v>巴西贝洛奥里藏特</v>
          </cell>
          <cell r="J155" t="str">
            <v>Belo Horizonte, Brazil</v>
          </cell>
          <cell r="K155" t="str">
            <v>Chinese employees</v>
          </cell>
          <cell r="L155" t="str">
            <v>L0</v>
          </cell>
          <cell r="M155" t="str">
            <v>ALL</v>
          </cell>
          <cell r="N155" t="str">
            <v>FLPC(含奖金)</v>
          </cell>
          <cell r="O155" t="str">
            <v>USD/小时</v>
          </cell>
          <cell r="P155">
            <v>56.6</v>
          </cell>
        </row>
        <row r="156">
          <cell r="A156" t="str">
            <v>Belo Horizonte, Brazil - Chinese employees - L1</v>
          </cell>
          <cell r="B156" t="str">
            <v>Current version</v>
          </cell>
          <cell r="C156" t="str">
            <v>V2009R2</v>
          </cell>
          <cell r="D156" t="str">
            <v>Labor Rate</v>
          </cell>
          <cell r="E156" t="str">
            <v>LA</v>
          </cell>
          <cell r="F156" t="str">
            <v>Southern South America Sub-Regional Division</v>
          </cell>
          <cell r="G156" t="str">
            <v>Brazil-Brazilia Rep.O.</v>
          </cell>
          <cell r="H156" t="str">
            <v>6036</v>
          </cell>
          <cell r="I156" t="str">
            <v>巴西贝洛奥里藏特</v>
          </cell>
          <cell r="J156" t="str">
            <v>Belo Horizonte, Brazil</v>
          </cell>
          <cell r="K156" t="str">
            <v>Chinese employees</v>
          </cell>
          <cell r="L156" t="str">
            <v>L1</v>
          </cell>
          <cell r="M156" t="str">
            <v>ALL</v>
          </cell>
          <cell r="N156" t="str">
            <v>FLPC(含奖金)</v>
          </cell>
          <cell r="O156" t="str">
            <v>USD/小时</v>
          </cell>
          <cell r="P156">
            <v>63.97</v>
          </cell>
        </row>
        <row r="157">
          <cell r="A157" t="str">
            <v>Belo Horizonte, Brazil - Chinese employees - L2</v>
          </cell>
          <cell r="B157" t="str">
            <v>Current version</v>
          </cell>
          <cell r="C157" t="str">
            <v>V2009R2</v>
          </cell>
          <cell r="D157" t="str">
            <v>Labor Rate</v>
          </cell>
          <cell r="E157" t="str">
            <v>LA</v>
          </cell>
          <cell r="F157" t="str">
            <v>Southern South America Sub-Regional Division</v>
          </cell>
          <cell r="G157" t="str">
            <v>Brazil-Brazilia Rep.O.</v>
          </cell>
          <cell r="H157" t="str">
            <v>6036</v>
          </cell>
          <cell r="I157" t="str">
            <v>巴西贝洛奥里藏特</v>
          </cell>
          <cell r="J157" t="str">
            <v>Belo Horizonte, Brazil</v>
          </cell>
          <cell r="K157" t="str">
            <v>Chinese employees</v>
          </cell>
          <cell r="L157" t="str">
            <v>L2</v>
          </cell>
          <cell r="M157" t="str">
            <v>ALL</v>
          </cell>
          <cell r="N157" t="str">
            <v>FLPC(含奖金)</v>
          </cell>
          <cell r="O157" t="str">
            <v>USD/小时</v>
          </cell>
          <cell r="P157">
            <v>73.709999999999994</v>
          </cell>
        </row>
        <row r="158">
          <cell r="A158" t="str">
            <v>Belo Horizonte, Brazil - Chinese employees - L3</v>
          </cell>
          <cell r="B158" t="str">
            <v>Current version</v>
          </cell>
          <cell r="C158" t="str">
            <v>V2009R2</v>
          </cell>
          <cell r="D158" t="str">
            <v>Labor Rate</v>
          </cell>
          <cell r="E158" t="str">
            <v>LA</v>
          </cell>
          <cell r="F158" t="str">
            <v>Southern South America Sub-Regional Division</v>
          </cell>
          <cell r="G158" t="str">
            <v>Brazil-Brazilia Rep.O.</v>
          </cell>
          <cell r="H158" t="str">
            <v>6036</v>
          </cell>
          <cell r="I158" t="str">
            <v>巴西贝洛奥里藏特</v>
          </cell>
          <cell r="J158" t="str">
            <v>Belo Horizonte, Brazil</v>
          </cell>
          <cell r="K158" t="str">
            <v>Chinese employees</v>
          </cell>
          <cell r="L158" t="str">
            <v>L3</v>
          </cell>
          <cell r="M158" t="str">
            <v>ALL</v>
          </cell>
          <cell r="N158" t="str">
            <v>FLPC(含奖金)</v>
          </cell>
          <cell r="O158" t="str">
            <v>USD/小时</v>
          </cell>
          <cell r="P158">
            <v>87.9</v>
          </cell>
        </row>
        <row r="159">
          <cell r="A159" t="str">
            <v>Belo Horizonte, Brazil - Chinese employees - L4</v>
          </cell>
          <cell r="B159" t="str">
            <v>Current version</v>
          </cell>
          <cell r="C159" t="str">
            <v>V2009R2</v>
          </cell>
          <cell r="D159" t="str">
            <v>Labor Rate</v>
          </cell>
          <cell r="E159" t="str">
            <v>LA</v>
          </cell>
          <cell r="F159" t="str">
            <v>Southern South America Sub-Regional Division</v>
          </cell>
          <cell r="G159" t="str">
            <v>Brazil-Brazilia Rep.O.</v>
          </cell>
          <cell r="H159" t="str">
            <v>6036</v>
          </cell>
          <cell r="I159" t="str">
            <v>巴西贝洛奥里藏特</v>
          </cell>
          <cell r="J159" t="str">
            <v>Belo Horizonte, Brazil</v>
          </cell>
          <cell r="K159" t="str">
            <v>Chinese employees</v>
          </cell>
          <cell r="L159" t="str">
            <v>L4</v>
          </cell>
          <cell r="M159" t="str">
            <v>ALL</v>
          </cell>
          <cell r="N159" t="str">
            <v>FLPC(含奖金)</v>
          </cell>
          <cell r="O159" t="str">
            <v>USD/小时</v>
          </cell>
          <cell r="P159">
            <v>135.33000000000001</v>
          </cell>
        </row>
        <row r="160">
          <cell r="A160" t="str">
            <v>Brazil Main Office - Chinese employees - L0</v>
          </cell>
          <cell r="B160" t="str">
            <v>Current version</v>
          </cell>
          <cell r="C160" t="str">
            <v>V2009R2</v>
          </cell>
          <cell r="D160" t="str">
            <v>Labor Rate</v>
          </cell>
          <cell r="E160" t="str">
            <v>LA</v>
          </cell>
          <cell r="F160" t="str">
            <v>Southern South America Sub-Regional Division</v>
          </cell>
          <cell r="G160" t="str">
            <v>Brasil Main Office</v>
          </cell>
          <cell r="H160" t="str">
            <v>6001</v>
          </cell>
          <cell r="I160" t="str">
            <v>巴西主部</v>
          </cell>
          <cell r="J160" t="str">
            <v>Brazil Main Office</v>
          </cell>
          <cell r="K160" t="str">
            <v>Chinese employees</v>
          </cell>
          <cell r="L160" t="str">
            <v>L0</v>
          </cell>
          <cell r="M160" t="str">
            <v>ALL</v>
          </cell>
          <cell r="N160" t="str">
            <v>FLPC(含奖金)</v>
          </cell>
          <cell r="O160" t="str">
            <v>USD/小时</v>
          </cell>
          <cell r="P160">
            <v>56.6</v>
          </cell>
        </row>
        <row r="161">
          <cell r="A161" t="str">
            <v>Brazil Main Office - Chinese employees - L1</v>
          </cell>
          <cell r="B161" t="str">
            <v>Current version</v>
          </cell>
          <cell r="C161" t="str">
            <v>V2009R2</v>
          </cell>
          <cell r="D161" t="str">
            <v>Labor Rate</v>
          </cell>
          <cell r="E161" t="str">
            <v>LA</v>
          </cell>
          <cell r="F161" t="str">
            <v>Southern South America Sub-Regional Division</v>
          </cell>
          <cell r="G161" t="str">
            <v>Brasil Main Office</v>
          </cell>
          <cell r="H161" t="str">
            <v>6001</v>
          </cell>
          <cell r="I161" t="str">
            <v>巴西主部</v>
          </cell>
          <cell r="J161" t="str">
            <v>Brazil Main Office</v>
          </cell>
          <cell r="K161" t="str">
            <v>Chinese employees</v>
          </cell>
          <cell r="L161" t="str">
            <v>L1</v>
          </cell>
          <cell r="M161" t="str">
            <v>ALL</v>
          </cell>
          <cell r="N161" t="str">
            <v>FLPC(含奖金)</v>
          </cell>
          <cell r="O161" t="str">
            <v>USD/小时</v>
          </cell>
          <cell r="P161">
            <v>63.97</v>
          </cell>
        </row>
        <row r="162">
          <cell r="A162" t="str">
            <v>Brazil Main Office - Chinese employees - L2</v>
          </cell>
          <cell r="B162" t="str">
            <v>Current version</v>
          </cell>
          <cell r="C162" t="str">
            <v>V2009R2</v>
          </cell>
          <cell r="D162" t="str">
            <v>Labor Rate</v>
          </cell>
          <cell r="E162" t="str">
            <v>LA</v>
          </cell>
          <cell r="F162" t="str">
            <v>Southern South America Sub-Regional Division</v>
          </cell>
          <cell r="G162" t="str">
            <v>Brasil Main Office</v>
          </cell>
          <cell r="H162" t="str">
            <v>6001</v>
          </cell>
          <cell r="I162" t="str">
            <v>巴西主部</v>
          </cell>
          <cell r="J162" t="str">
            <v>Brazil Main Office</v>
          </cell>
          <cell r="K162" t="str">
            <v>Chinese employees</v>
          </cell>
          <cell r="L162" t="str">
            <v>L2</v>
          </cell>
          <cell r="M162" t="str">
            <v>ALL</v>
          </cell>
          <cell r="N162" t="str">
            <v>FLPC(含奖金)</v>
          </cell>
          <cell r="O162" t="str">
            <v>USD/小时</v>
          </cell>
          <cell r="P162">
            <v>73.709999999999994</v>
          </cell>
        </row>
        <row r="163">
          <cell r="A163" t="str">
            <v>Brazil Main Office - Chinese employees - L3</v>
          </cell>
          <cell r="B163" t="str">
            <v>Current version</v>
          </cell>
          <cell r="C163" t="str">
            <v>V2009R2</v>
          </cell>
          <cell r="D163" t="str">
            <v>Labor Rate</v>
          </cell>
          <cell r="E163" t="str">
            <v>LA</v>
          </cell>
          <cell r="F163" t="str">
            <v>Southern South America Sub-Regional Division</v>
          </cell>
          <cell r="G163" t="str">
            <v>Brasil Main Office</v>
          </cell>
          <cell r="H163" t="str">
            <v>6001</v>
          </cell>
          <cell r="I163" t="str">
            <v>巴西主部</v>
          </cell>
          <cell r="J163" t="str">
            <v>Brazil Main Office</v>
          </cell>
          <cell r="K163" t="str">
            <v>Chinese employees</v>
          </cell>
          <cell r="L163" t="str">
            <v>L3</v>
          </cell>
          <cell r="M163" t="str">
            <v>ALL</v>
          </cell>
          <cell r="N163" t="str">
            <v>FLPC(含奖金)</v>
          </cell>
          <cell r="O163" t="str">
            <v>USD/小时</v>
          </cell>
          <cell r="P163">
            <v>87.9</v>
          </cell>
        </row>
        <row r="164">
          <cell r="A164" t="str">
            <v>Brazil Main Office - Chinese employees - L4</v>
          </cell>
          <cell r="B164" t="str">
            <v>Current version</v>
          </cell>
          <cell r="C164" t="str">
            <v>V2009R2</v>
          </cell>
          <cell r="D164" t="str">
            <v>Labor Rate</v>
          </cell>
          <cell r="E164" t="str">
            <v>LA</v>
          </cell>
          <cell r="F164" t="str">
            <v>Southern South America Sub-Regional Division</v>
          </cell>
          <cell r="G164" t="str">
            <v>Brasil Main Office</v>
          </cell>
          <cell r="H164" t="str">
            <v>6001</v>
          </cell>
          <cell r="I164" t="str">
            <v>巴西主部</v>
          </cell>
          <cell r="J164" t="str">
            <v>Brazil Main Office</v>
          </cell>
          <cell r="K164" t="str">
            <v>Chinese employees</v>
          </cell>
          <cell r="L164" t="str">
            <v>L4</v>
          </cell>
          <cell r="M164" t="str">
            <v>ALL</v>
          </cell>
          <cell r="N164" t="str">
            <v>FLPC(含奖金)</v>
          </cell>
          <cell r="O164" t="str">
            <v>USD/小时</v>
          </cell>
          <cell r="P164">
            <v>135.33000000000001</v>
          </cell>
        </row>
        <row r="165">
          <cell r="A165" t="str">
            <v>Argentina - Chinese employees - L0</v>
          </cell>
          <cell r="B165" t="str">
            <v>Current version</v>
          </cell>
          <cell r="C165" t="str">
            <v>V2009R2</v>
          </cell>
          <cell r="D165" t="str">
            <v>Labor Rate</v>
          </cell>
          <cell r="E165" t="str">
            <v>LA</v>
          </cell>
          <cell r="F165" t="str">
            <v>Southern South America Sub-Regional Division</v>
          </cell>
          <cell r="G165" t="str">
            <v>Argentina Rep.O.</v>
          </cell>
          <cell r="H165" t="str">
            <v>6004</v>
          </cell>
          <cell r="I165" t="str">
            <v>阿根廷</v>
          </cell>
          <cell r="J165" t="str">
            <v>Argentina</v>
          </cell>
          <cell r="K165" t="str">
            <v>Chinese employees</v>
          </cell>
          <cell r="L165" t="str">
            <v>L0</v>
          </cell>
          <cell r="M165" t="str">
            <v>ALL</v>
          </cell>
          <cell r="N165" t="str">
            <v>FLPC(含奖金)</v>
          </cell>
          <cell r="O165" t="str">
            <v>USD/小时</v>
          </cell>
          <cell r="P165">
            <v>48.2</v>
          </cell>
        </row>
        <row r="166">
          <cell r="A166" t="str">
            <v>Argentina - Chinese employees - L1</v>
          </cell>
          <cell r="B166" t="str">
            <v>Current version</v>
          </cell>
          <cell r="C166" t="str">
            <v>V2009R2</v>
          </cell>
          <cell r="D166" t="str">
            <v>Labor Rate</v>
          </cell>
          <cell r="E166" t="str">
            <v>LA</v>
          </cell>
          <cell r="F166" t="str">
            <v>Southern South America Sub-Regional Division</v>
          </cell>
          <cell r="G166" t="str">
            <v>Argentina Rep.O.</v>
          </cell>
          <cell r="H166" t="str">
            <v>6004</v>
          </cell>
          <cell r="I166" t="str">
            <v>阿根廷</v>
          </cell>
          <cell r="J166" t="str">
            <v>Argentina</v>
          </cell>
          <cell r="K166" t="str">
            <v>Chinese employees</v>
          </cell>
          <cell r="L166" t="str">
            <v>L1</v>
          </cell>
          <cell r="M166" t="str">
            <v>ALL</v>
          </cell>
          <cell r="N166" t="str">
            <v>FLPC(含奖金)</v>
          </cell>
          <cell r="O166" t="str">
            <v>USD/小时</v>
          </cell>
          <cell r="P166">
            <v>59.15</v>
          </cell>
        </row>
        <row r="167">
          <cell r="A167" t="str">
            <v>Argentina - Chinese employees - L2</v>
          </cell>
          <cell r="B167" t="str">
            <v>Current version</v>
          </cell>
          <cell r="C167" t="str">
            <v>V2009R2</v>
          </cell>
          <cell r="D167" t="str">
            <v>Labor Rate</v>
          </cell>
          <cell r="E167" t="str">
            <v>LA</v>
          </cell>
          <cell r="F167" t="str">
            <v>Southern South America Sub-Regional Division</v>
          </cell>
          <cell r="G167" t="str">
            <v>Argentina Rep.O.</v>
          </cell>
          <cell r="H167" t="str">
            <v>6004</v>
          </cell>
          <cell r="I167" t="str">
            <v>阿根廷</v>
          </cell>
          <cell r="J167" t="str">
            <v>Argentina</v>
          </cell>
          <cell r="K167" t="str">
            <v>Chinese employees</v>
          </cell>
          <cell r="L167" t="str">
            <v>L2</v>
          </cell>
          <cell r="M167" t="str">
            <v>ALL</v>
          </cell>
          <cell r="N167" t="str">
            <v>FLPC(含奖金)</v>
          </cell>
          <cell r="O167" t="str">
            <v>USD/小时</v>
          </cell>
          <cell r="P167">
            <v>68.989999999999995</v>
          </cell>
        </row>
        <row r="168">
          <cell r="A168" t="str">
            <v>Argentina - Chinese employees - L3</v>
          </cell>
          <cell r="B168" t="str">
            <v>Current version</v>
          </cell>
          <cell r="C168" t="str">
            <v>V2009R2</v>
          </cell>
          <cell r="D168" t="str">
            <v>Labor Rate</v>
          </cell>
          <cell r="E168" t="str">
            <v>LA</v>
          </cell>
          <cell r="F168" t="str">
            <v>Southern South America Sub-Regional Division</v>
          </cell>
          <cell r="G168" t="str">
            <v>Argentina Rep.O.</v>
          </cell>
          <cell r="H168" t="str">
            <v>6004</v>
          </cell>
          <cell r="I168" t="str">
            <v>阿根廷</v>
          </cell>
          <cell r="J168" t="str">
            <v>Argentina</v>
          </cell>
          <cell r="K168" t="str">
            <v>Chinese employees</v>
          </cell>
          <cell r="L168" t="str">
            <v>L3</v>
          </cell>
          <cell r="M168" t="str">
            <v>ALL</v>
          </cell>
          <cell r="N168" t="str">
            <v>FLPC(含奖金)</v>
          </cell>
          <cell r="O168" t="str">
            <v>USD/小时</v>
          </cell>
          <cell r="P168">
            <v>83.64</v>
          </cell>
        </row>
        <row r="169">
          <cell r="A169" t="str">
            <v>Chad - Chinese employees - L1</v>
          </cell>
          <cell r="B169" t="str">
            <v>Current version</v>
          </cell>
          <cell r="C169" t="str">
            <v>V2009R2</v>
          </cell>
          <cell r="D169" t="str">
            <v>Labor Rate</v>
          </cell>
          <cell r="E169" t="str">
            <v>MENA</v>
          </cell>
          <cell r="F169" t="str">
            <v>Northern Africa Sub-Regional Division</v>
          </cell>
          <cell r="G169" t="str">
            <v>Tunis Rep.O.</v>
          </cell>
          <cell r="H169" t="str">
            <v>4021</v>
          </cell>
          <cell r="I169" t="str">
            <v>乍得</v>
          </cell>
          <cell r="J169" t="str">
            <v>Chad</v>
          </cell>
          <cell r="K169" t="str">
            <v>Chinese employees</v>
          </cell>
          <cell r="L169" t="str">
            <v>L1</v>
          </cell>
          <cell r="M169" t="str">
            <v>ALL</v>
          </cell>
          <cell r="N169" t="str">
            <v>FLPC(含奖金)</v>
          </cell>
          <cell r="O169" t="str">
            <v>USD/小时</v>
          </cell>
          <cell r="P169">
            <v>45.17</v>
          </cell>
        </row>
        <row r="170">
          <cell r="A170" t="str">
            <v>Chad - Chinese employees - L2</v>
          </cell>
          <cell r="B170" t="str">
            <v>Current version</v>
          </cell>
          <cell r="C170" t="str">
            <v>V2009R2</v>
          </cell>
          <cell r="D170" t="str">
            <v>Labor Rate</v>
          </cell>
          <cell r="E170" t="str">
            <v>MENA</v>
          </cell>
          <cell r="F170" t="str">
            <v>Northern Africa Sub-Regional Division</v>
          </cell>
          <cell r="G170" t="str">
            <v>Tunis Rep.O.</v>
          </cell>
          <cell r="H170" t="str">
            <v>4021</v>
          </cell>
          <cell r="I170" t="str">
            <v>乍得</v>
          </cell>
          <cell r="J170" t="str">
            <v>Chad</v>
          </cell>
          <cell r="K170" t="str">
            <v>Chinese employees</v>
          </cell>
          <cell r="L170" t="str">
            <v>L2</v>
          </cell>
          <cell r="M170" t="str">
            <v>ALL</v>
          </cell>
          <cell r="N170" t="str">
            <v>FLPC(含奖金)</v>
          </cell>
          <cell r="O170" t="str">
            <v>USD/小时</v>
          </cell>
          <cell r="P170">
            <v>52.65</v>
          </cell>
        </row>
        <row r="171">
          <cell r="A171" t="str">
            <v>Chad - Chinese employees - L3</v>
          </cell>
          <cell r="B171" t="str">
            <v>Current version</v>
          </cell>
          <cell r="C171" t="str">
            <v>V2009R2</v>
          </cell>
          <cell r="D171" t="str">
            <v>Labor Rate</v>
          </cell>
          <cell r="E171" t="str">
            <v>MENA</v>
          </cell>
          <cell r="F171" t="str">
            <v>Northern Africa Sub-Regional Division</v>
          </cell>
          <cell r="G171" t="str">
            <v>Tunis Rep.O.</v>
          </cell>
          <cell r="H171" t="str">
            <v>4021</v>
          </cell>
          <cell r="I171" t="str">
            <v>乍得</v>
          </cell>
          <cell r="J171" t="str">
            <v>Chad</v>
          </cell>
          <cell r="K171" t="str">
            <v>Chinese employees</v>
          </cell>
          <cell r="L171" t="str">
            <v>L3</v>
          </cell>
          <cell r="M171" t="str">
            <v>ALL</v>
          </cell>
          <cell r="N171" t="str">
            <v>FLPC(含奖金)</v>
          </cell>
          <cell r="O171" t="str">
            <v>USD/小时</v>
          </cell>
          <cell r="P171">
            <v>63.34</v>
          </cell>
        </row>
        <row r="172">
          <cell r="A172" t="str">
            <v>Chad - Chinese employees - L4</v>
          </cell>
          <cell r="B172" t="str">
            <v>Current version</v>
          </cell>
          <cell r="C172" t="str">
            <v>V2009R2</v>
          </cell>
          <cell r="D172" t="str">
            <v>Labor Rate</v>
          </cell>
          <cell r="E172" t="str">
            <v>MENA</v>
          </cell>
          <cell r="F172" t="str">
            <v>Northern Africa Sub-Regional Division</v>
          </cell>
          <cell r="G172" t="str">
            <v>Tunis Rep.O.</v>
          </cell>
          <cell r="H172" t="str">
            <v>4021</v>
          </cell>
          <cell r="I172" t="str">
            <v>乍得</v>
          </cell>
          <cell r="J172" t="str">
            <v>Chad</v>
          </cell>
          <cell r="K172" t="str">
            <v>Chinese employees</v>
          </cell>
          <cell r="L172" t="str">
            <v>L4</v>
          </cell>
          <cell r="M172" t="str">
            <v>ALL</v>
          </cell>
          <cell r="N172" t="str">
            <v>FLPC(含奖金)</v>
          </cell>
          <cell r="O172" t="str">
            <v>USD/小时</v>
          </cell>
          <cell r="P172">
            <v>101.88</v>
          </cell>
        </row>
        <row r="173">
          <cell r="A173" t="str">
            <v>Niger - Chinese employees - L0</v>
          </cell>
          <cell r="B173" t="str">
            <v>Current version</v>
          </cell>
          <cell r="C173" t="str">
            <v>V2009R2</v>
          </cell>
          <cell r="D173" t="str">
            <v>Labor Rate</v>
          </cell>
          <cell r="E173" t="str">
            <v>MENA</v>
          </cell>
          <cell r="F173" t="str">
            <v>Northern Africa Sub-Regional Division</v>
          </cell>
          <cell r="G173" t="str">
            <v>Tunis Rep.O.</v>
          </cell>
          <cell r="H173" t="str">
            <v>4024</v>
          </cell>
          <cell r="I173" t="str">
            <v>尼日尔</v>
          </cell>
          <cell r="J173" t="str">
            <v>Niger</v>
          </cell>
          <cell r="K173" t="str">
            <v>Chinese employees</v>
          </cell>
          <cell r="L173" t="str">
            <v>L0</v>
          </cell>
          <cell r="M173" t="str">
            <v>ALL</v>
          </cell>
          <cell r="N173" t="str">
            <v>FLPC(含奖金)</v>
          </cell>
          <cell r="O173" t="str">
            <v>USD/小时</v>
          </cell>
          <cell r="P173">
            <v>39.409999999999997</v>
          </cell>
        </row>
        <row r="174">
          <cell r="A174" t="str">
            <v>Niger - Chinese employees - L1</v>
          </cell>
          <cell r="B174" t="str">
            <v>Current version</v>
          </cell>
          <cell r="C174" t="str">
            <v>V2009R2</v>
          </cell>
          <cell r="D174" t="str">
            <v>Labor Rate</v>
          </cell>
          <cell r="E174" t="str">
            <v>MENA</v>
          </cell>
          <cell r="F174" t="str">
            <v>Northern Africa Sub-Regional Division</v>
          </cell>
          <cell r="G174" t="str">
            <v>Tunis Rep.O.</v>
          </cell>
          <cell r="H174" t="str">
            <v>4024</v>
          </cell>
          <cell r="I174" t="str">
            <v>尼日尔</v>
          </cell>
          <cell r="J174" t="str">
            <v>Niger</v>
          </cell>
          <cell r="K174" t="str">
            <v>Chinese employees</v>
          </cell>
          <cell r="L174" t="str">
            <v>L1</v>
          </cell>
          <cell r="M174" t="str">
            <v>ALL</v>
          </cell>
          <cell r="N174" t="str">
            <v>FLPC(含奖金)</v>
          </cell>
          <cell r="O174" t="str">
            <v>USD/小时</v>
          </cell>
          <cell r="P174">
            <v>45.17</v>
          </cell>
        </row>
        <row r="175">
          <cell r="A175" t="str">
            <v>Niger - Chinese employees - L2</v>
          </cell>
          <cell r="B175" t="str">
            <v>Current version</v>
          </cell>
          <cell r="C175" t="str">
            <v>V2009R2</v>
          </cell>
          <cell r="D175" t="str">
            <v>Labor Rate</v>
          </cell>
          <cell r="E175" t="str">
            <v>MENA</v>
          </cell>
          <cell r="F175" t="str">
            <v>Northern Africa Sub-Regional Division</v>
          </cell>
          <cell r="G175" t="str">
            <v>Tunis Rep.O.</v>
          </cell>
          <cell r="H175" t="str">
            <v>4024</v>
          </cell>
          <cell r="I175" t="str">
            <v>尼日尔</v>
          </cell>
          <cell r="J175" t="str">
            <v>Niger</v>
          </cell>
          <cell r="K175" t="str">
            <v>Chinese employees</v>
          </cell>
          <cell r="L175" t="str">
            <v>L2</v>
          </cell>
          <cell r="M175" t="str">
            <v>ALL</v>
          </cell>
          <cell r="N175" t="str">
            <v>FLPC(含奖金)</v>
          </cell>
          <cell r="O175" t="str">
            <v>USD/小时</v>
          </cell>
          <cell r="P175">
            <v>52.65</v>
          </cell>
        </row>
        <row r="176">
          <cell r="A176" t="str">
            <v>Niger - Chinese employees - L3</v>
          </cell>
          <cell r="B176" t="str">
            <v>Current version</v>
          </cell>
          <cell r="C176" t="str">
            <v>V2009R2</v>
          </cell>
          <cell r="D176" t="str">
            <v>Labor Rate</v>
          </cell>
          <cell r="E176" t="str">
            <v>MENA</v>
          </cell>
          <cell r="F176" t="str">
            <v>Northern Africa Sub-Regional Division</v>
          </cell>
          <cell r="G176" t="str">
            <v>Tunis Rep.O.</v>
          </cell>
          <cell r="H176" t="str">
            <v>4024</v>
          </cell>
          <cell r="I176" t="str">
            <v>尼日尔</v>
          </cell>
          <cell r="J176" t="str">
            <v>Niger</v>
          </cell>
          <cell r="K176" t="str">
            <v>Chinese employees</v>
          </cell>
          <cell r="L176" t="str">
            <v>L3</v>
          </cell>
          <cell r="M176" t="str">
            <v>ALL</v>
          </cell>
          <cell r="N176" t="str">
            <v>FLPC(含奖金)</v>
          </cell>
          <cell r="O176" t="str">
            <v>USD/小时</v>
          </cell>
          <cell r="P176">
            <v>63.34</v>
          </cell>
        </row>
        <row r="177">
          <cell r="A177" t="str">
            <v>Niger - Chinese employees - L4</v>
          </cell>
          <cell r="B177" t="str">
            <v>Current version</v>
          </cell>
          <cell r="C177" t="str">
            <v>V2009R2</v>
          </cell>
          <cell r="D177" t="str">
            <v>Labor Rate</v>
          </cell>
          <cell r="E177" t="str">
            <v>MENA</v>
          </cell>
          <cell r="F177" t="str">
            <v>Northern Africa Sub-Regional Division</v>
          </cell>
          <cell r="G177" t="str">
            <v>Tunis Rep.O.</v>
          </cell>
          <cell r="H177" t="str">
            <v>4024</v>
          </cell>
          <cell r="I177" t="str">
            <v>尼日尔</v>
          </cell>
          <cell r="J177" t="str">
            <v>Niger</v>
          </cell>
          <cell r="K177" t="str">
            <v>Chinese employees</v>
          </cell>
          <cell r="L177" t="str">
            <v>L4</v>
          </cell>
          <cell r="M177" t="str">
            <v>ALL</v>
          </cell>
          <cell r="N177" t="str">
            <v>FLPC(含奖金)</v>
          </cell>
          <cell r="O177" t="str">
            <v>USD/小时</v>
          </cell>
          <cell r="P177">
            <v>101.88</v>
          </cell>
        </row>
        <row r="178">
          <cell r="A178" t="str">
            <v>Senegal - Chinese employees - L0</v>
          </cell>
          <cell r="B178" t="str">
            <v>Current version</v>
          </cell>
          <cell r="C178" t="str">
            <v>V2009R2</v>
          </cell>
          <cell r="D178" t="str">
            <v>Labor Rate</v>
          </cell>
          <cell r="E178" t="str">
            <v>MENA</v>
          </cell>
          <cell r="F178" t="str">
            <v>Northern Africa Sub-Regional Division</v>
          </cell>
          <cell r="G178" t="str">
            <v>Senegal Rep.O.</v>
          </cell>
          <cell r="H178" t="str">
            <v>4025</v>
          </cell>
          <cell r="I178" t="str">
            <v>塞内加尔</v>
          </cell>
          <cell r="J178" t="str">
            <v>Senegal</v>
          </cell>
          <cell r="K178" t="str">
            <v>Chinese employees</v>
          </cell>
          <cell r="L178" t="str">
            <v>L0</v>
          </cell>
          <cell r="M178" t="str">
            <v>ALL</v>
          </cell>
          <cell r="N178" t="str">
            <v>FLPC(含奖金)</v>
          </cell>
          <cell r="O178" t="str">
            <v>USD/小时</v>
          </cell>
          <cell r="P178">
            <v>45.24</v>
          </cell>
        </row>
        <row r="179">
          <cell r="A179" t="str">
            <v>Senegal - Chinese employees - L1</v>
          </cell>
          <cell r="B179" t="str">
            <v>Current version</v>
          </cell>
          <cell r="C179" t="str">
            <v>V2009R2</v>
          </cell>
          <cell r="D179" t="str">
            <v>Labor Rate</v>
          </cell>
          <cell r="E179" t="str">
            <v>MENA</v>
          </cell>
          <cell r="F179" t="str">
            <v>Northern Africa Sub-Regional Division</v>
          </cell>
          <cell r="G179" t="str">
            <v>Senegal Rep.O.</v>
          </cell>
          <cell r="H179" t="str">
            <v>4025</v>
          </cell>
          <cell r="I179" t="str">
            <v>塞内加尔</v>
          </cell>
          <cell r="J179" t="str">
            <v>Senegal</v>
          </cell>
          <cell r="K179" t="str">
            <v>Chinese employees</v>
          </cell>
          <cell r="L179" t="str">
            <v>L1</v>
          </cell>
          <cell r="M179" t="str">
            <v>ALL</v>
          </cell>
          <cell r="N179" t="str">
            <v>FLPC(含奖金)</v>
          </cell>
          <cell r="O179" t="str">
            <v>USD/小时</v>
          </cell>
          <cell r="P179">
            <v>51.45</v>
          </cell>
        </row>
        <row r="180">
          <cell r="A180" t="str">
            <v>Senegal - Chinese employees - L2</v>
          </cell>
          <cell r="B180" t="str">
            <v>Current version</v>
          </cell>
          <cell r="C180" t="str">
            <v>V2009R2</v>
          </cell>
          <cell r="D180" t="str">
            <v>Labor Rate</v>
          </cell>
          <cell r="E180" t="str">
            <v>MENA</v>
          </cell>
          <cell r="F180" t="str">
            <v>Northern Africa Sub-Regional Division</v>
          </cell>
          <cell r="G180" t="str">
            <v>Senegal Rep.O.</v>
          </cell>
          <cell r="H180" t="str">
            <v>4025</v>
          </cell>
          <cell r="I180" t="str">
            <v>塞内加尔</v>
          </cell>
          <cell r="J180" t="str">
            <v>Senegal</v>
          </cell>
          <cell r="K180" t="str">
            <v>Chinese employees</v>
          </cell>
          <cell r="L180" t="str">
            <v>L2</v>
          </cell>
          <cell r="M180" t="str">
            <v>ALL</v>
          </cell>
          <cell r="N180" t="str">
            <v>FLPC(含奖金)</v>
          </cell>
          <cell r="O180" t="str">
            <v>USD/小时</v>
          </cell>
          <cell r="P180">
            <v>60.56</v>
          </cell>
        </row>
        <row r="181">
          <cell r="A181" t="str">
            <v>Senegal - Chinese employees - L3</v>
          </cell>
          <cell r="B181" t="str">
            <v>Current version</v>
          </cell>
          <cell r="C181" t="str">
            <v>V2009R2</v>
          </cell>
          <cell r="D181" t="str">
            <v>Labor Rate</v>
          </cell>
          <cell r="E181" t="str">
            <v>MENA</v>
          </cell>
          <cell r="F181" t="str">
            <v>Northern Africa Sub-Regional Division</v>
          </cell>
          <cell r="G181" t="str">
            <v>Senegal Rep.O.</v>
          </cell>
          <cell r="H181" t="str">
            <v>4025</v>
          </cell>
          <cell r="I181" t="str">
            <v>塞内加尔</v>
          </cell>
          <cell r="J181" t="str">
            <v>Senegal</v>
          </cell>
          <cell r="K181" t="str">
            <v>Chinese employees</v>
          </cell>
          <cell r="L181" t="str">
            <v>L3</v>
          </cell>
          <cell r="M181" t="str">
            <v>ALL</v>
          </cell>
          <cell r="N181" t="str">
            <v>FLPC(含奖金)</v>
          </cell>
          <cell r="O181" t="str">
            <v>USD/小时</v>
          </cell>
          <cell r="P181">
            <v>71.45</v>
          </cell>
        </row>
        <row r="182">
          <cell r="A182" t="str">
            <v>Senegal - Chinese employees - L4</v>
          </cell>
          <cell r="B182" t="str">
            <v>Current version</v>
          </cell>
          <cell r="C182" t="str">
            <v>V2009R2</v>
          </cell>
          <cell r="D182" t="str">
            <v>Labor Rate</v>
          </cell>
          <cell r="E182" t="str">
            <v>MENA</v>
          </cell>
          <cell r="F182" t="str">
            <v>Northern Africa Sub-Regional Division</v>
          </cell>
          <cell r="G182" t="str">
            <v>Senegal Rep.O.</v>
          </cell>
          <cell r="H182" t="str">
            <v>4025</v>
          </cell>
          <cell r="I182" t="str">
            <v>塞内加尔</v>
          </cell>
          <cell r="J182" t="str">
            <v>Senegal</v>
          </cell>
          <cell r="K182" t="str">
            <v>Chinese employees</v>
          </cell>
          <cell r="L182" t="str">
            <v>L4</v>
          </cell>
          <cell r="M182" t="str">
            <v>ALL</v>
          </cell>
          <cell r="N182" t="str">
            <v>FLPC(含奖金)</v>
          </cell>
          <cell r="O182" t="str">
            <v>USD/小时</v>
          </cell>
          <cell r="P182">
            <v>107.42</v>
          </cell>
        </row>
        <row r="183">
          <cell r="A183" t="str">
            <v>Gambia - Chinese employees - L0</v>
          </cell>
          <cell r="B183" t="str">
            <v>Current version</v>
          </cell>
          <cell r="C183" t="str">
            <v>V2009R2</v>
          </cell>
          <cell r="D183" t="str">
            <v>Labor Rate</v>
          </cell>
          <cell r="E183" t="str">
            <v>MENA</v>
          </cell>
          <cell r="F183" t="str">
            <v>Northern Africa Sub-Regional Division</v>
          </cell>
          <cell r="G183" t="str">
            <v>Senegal Rep.O.</v>
          </cell>
          <cell r="H183" t="str">
            <v>4990</v>
          </cell>
          <cell r="I183" t="str">
            <v>冈比亚</v>
          </cell>
          <cell r="J183" t="str">
            <v>Gambia</v>
          </cell>
          <cell r="K183" t="str">
            <v>Chinese employees</v>
          </cell>
          <cell r="L183" t="str">
            <v>L0</v>
          </cell>
          <cell r="M183" t="str">
            <v>ALL</v>
          </cell>
          <cell r="N183" t="str">
            <v>FLPC(含奖金)</v>
          </cell>
          <cell r="O183" t="str">
            <v>USD/小时</v>
          </cell>
          <cell r="P183">
            <v>44.81</v>
          </cell>
        </row>
        <row r="184">
          <cell r="A184" t="str">
            <v>Gambia - Chinese employees - L1</v>
          </cell>
          <cell r="B184" t="str">
            <v>Current version</v>
          </cell>
          <cell r="C184" t="str">
            <v>V2009R2</v>
          </cell>
          <cell r="D184" t="str">
            <v>Labor Rate</v>
          </cell>
          <cell r="E184" t="str">
            <v>MENA</v>
          </cell>
          <cell r="F184" t="str">
            <v>Northern Africa Sub-Regional Division</v>
          </cell>
          <cell r="G184" t="str">
            <v>Senegal Rep.O.</v>
          </cell>
          <cell r="H184" t="str">
            <v>4990</v>
          </cell>
          <cell r="I184" t="str">
            <v>冈比亚</v>
          </cell>
          <cell r="J184" t="str">
            <v>Gambia</v>
          </cell>
          <cell r="K184" t="str">
            <v>Chinese employees</v>
          </cell>
          <cell r="L184" t="str">
            <v>L1</v>
          </cell>
          <cell r="M184" t="str">
            <v>ALL</v>
          </cell>
          <cell r="N184" t="str">
            <v>FLPC(含奖金)</v>
          </cell>
          <cell r="O184" t="str">
            <v>USD/小时</v>
          </cell>
          <cell r="P184">
            <v>50.59</v>
          </cell>
        </row>
        <row r="185">
          <cell r="A185" t="str">
            <v>Gambia - Chinese employees - L2</v>
          </cell>
          <cell r="B185" t="str">
            <v>Current version</v>
          </cell>
          <cell r="C185" t="str">
            <v>V2009R2</v>
          </cell>
          <cell r="D185" t="str">
            <v>Labor Rate</v>
          </cell>
          <cell r="E185" t="str">
            <v>MENA</v>
          </cell>
          <cell r="F185" t="str">
            <v>Northern Africa Sub-Regional Division</v>
          </cell>
          <cell r="G185" t="str">
            <v>Senegal Rep.O.</v>
          </cell>
          <cell r="H185" t="str">
            <v>4990</v>
          </cell>
          <cell r="I185" t="str">
            <v>冈比亚</v>
          </cell>
          <cell r="J185" t="str">
            <v>Gambia</v>
          </cell>
          <cell r="K185" t="str">
            <v>Chinese employees</v>
          </cell>
          <cell r="L185" t="str">
            <v>L2</v>
          </cell>
          <cell r="M185" t="str">
            <v>ALL</v>
          </cell>
          <cell r="N185" t="str">
            <v>FLPC(含奖金)</v>
          </cell>
          <cell r="O185" t="str">
            <v>USD/小时</v>
          </cell>
          <cell r="P185">
            <v>58.1</v>
          </cell>
        </row>
        <row r="186">
          <cell r="A186" t="str">
            <v>Gambia - Chinese employees - L3</v>
          </cell>
          <cell r="B186" t="str">
            <v>Current version</v>
          </cell>
          <cell r="C186" t="str">
            <v>V2009R2</v>
          </cell>
          <cell r="D186" t="str">
            <v>Labor Rate</v>
          </cell>
          <cell r="E186" t="str">
            <v>MENA</v>
          </cell>
          <cell r="F186" t="str">
            <v>Northern Africa Sub-Regional Division</v>
          </cell>
          <cell r="G186" t="str">
            <v>Senegal Rep.O.</v>
          </cell>
          <cell r="H186" t="str">
            <v>4990</v>
          </cell>
          <cell r="I186" t="str">
            <v>冈比亚</v>
          </cell>
          <cell r="J186" t="str">
            <v>Gambia</v>
          </cell>
          <cell r="K186" t="str">
            <v>Chinese employees</v>
          </cell>
          <cell r="L186" t="str">
            <v>L3</v>
          </cell>
          <cell r="M186" t="str">
            <v>ALL</v>
          </cell>
          <cell r="N186" t="str">
            <v>FLPC(含奖金)</v>
          </cell>
          <cell r="O186" t="str">
            <v>USD/小时</v>
          </cell>
          <cell r="P186">
            <v>68.84</v>
          </cell>
        </row>
        <row r="187">
          <cell r="A187" t="str">
            <v>Gambia - Chinese employees - L4</v>
          </cell>
          <cell r="B187" t="str">
            <v>Current version</v>
          </cell>
          <cell r="C187" t="str">
            <v>V2009R2</v>
          </cell>
          <cell r="D187" t="str">
            <v>Labor Rate</v>
          </cell>
          <cell r="E187" t="str">
            <v>MENA</v>
          </cell>
          <cell r="F187" t="str">
            <v>Northern Africa Sub-Regional Division</v>
          </cell>
          <cell r="G187" t="str">
            <v>Senegal Rep.O.</v>
          </cell>
          <cell r="H187" t="str">
            <v>4990</v>
          </cell>
          <cell r="I187" t="str">
            <v>冈比亚</v>
          </cell>
          <cell r="J187" t="str">
            <v>Gambia</v>
          </cell>
          <cell r="K187" t="str">
            <v>Chinese employees</v>
          </cell>
          <cell r="L187" t="str">
            <v>L4</v>
          </cell>
          <cell r="M187" t="str">
            <v>ALL</v>
          </cell>
          <cell r="N187" t="str">
            <v>FLPC(含奖金)</v>
          </cell>
          <cell r="O187" t="str">
            <v>USD/小时</v>
          </cell>
          <cell r="P187">
            <v>107.53</v>
          </cell>
        </row>
        <row r="188">
          <cell r="A188" t="str">
            <v>Cape Verde - Chinese employees - L0</v>
          </cell>
          <cell r="B188" t="str">
            <v>Current version</v>
          </cell>
          <cell r="C188" t="str">
            <v>V2009R2</v>
          </cell>
          <cell r="D188" t="str">
            <v>Labor Rate</v>
          </cell>
          <cell r="E188" t="str">
            <v>MENA</v>
          </cell>
          <cell r="F188" t="str">
            <v>Northern Africa Sub-Regional Division</v>
          </cell>
          <cell r="G188" t="str">
            <v>Senegal Rep.O.</v>
          </cell>
          <cell r="H188" t="str">
            <v>5023</v>
          </cell>
          <cell r="I188" t="str">
            <v>佛得角</v>
          </cell>
          <cell r="J188" t="str">
            <v>Cape Verde</v>
          </cell>
          <cell r="K188" t="str">
            <v>Chinese employees</v>
          </cell>
          <cell r="L188" t="str">
            <v>L0</v>
          </cell>
          <cell r="M188" t="str">
            <v>ALL</v>
          </cell>
          <cell r="N188" t="str">
            <v>FLPC(含奖金)</v>
          </cell>
          <cell r="O188" t="str">
            <v>USD/小时</v>
          </cell>
          <cell r="P188">
            <v>41.73</v>
          </cell>
        </row>
        <row r="189">
          <cell r="A189" t="str">
            <v>Cape Verde - Chinese employees - L1</v>
          </cell>
          <cell r="B189" t="str">
            <v>Current version</v>
          </cell>
          <cell r="C189" t="str">
            <v>V2009R2</v>
          </cell>
          <cell r="D189" t="str">
            <v>Labor Rate</v>
          </cell>
          <cell r="E189" t="str">
            <v>MENA</v>
          </cell>
          <cell r="F189" t="str">
            <v>Northern Africa Sub-Regional Division</v>
          </cell>
          <cell r="G189" t="str">
            <v>Senegal Rep.O.</v>
          </cell>
          <cell r="H189" t="str">
            <v>5023</v>
          </cell>
          <cell r="I189" t="str">
            <v>佛得角</v>
          </cell>
          <cell r="J189" t="str">
            <v>Cape Verde</v>
          </cell>
          <cell r="K189" t="str">
            <v>Chinese employees</v>
          </cell>
          <cell r="L189" t="str">
            <v>L1</v>
          </cell>
          <cell r="M189" t="str">
            <v>ALL</v>
          </cell>
          <cell r="N189" t="str">
            <v>FLPC(含奖金)</v>
          </cell>
          <cell r="O189" t="str">
            <v>USD/小时</v>
          </cell>
          <cell r="P189">
            <v>47.52</v>
          </cell>
        </row>
        <row r="190">
          <cell r="A190" t="str">
            <v>Cape Verde - Chinese employees - L2</v>
          </cell>
          <cell r="B190" t="str">
            <v>Current version</v>
          </cell>
          <cell r="C190" t="str">
            <v>V2009R2</v>
          </cell>
          <cell r="D190" t="str">
            <v>Labor Rate</v>
          </cell>
          <cell r="E190" t="str">
            <v>MENA</v>
          </cell>
          <cell r="F190" t="str">
            <v>Northern Africa Sub-Regional Division</v>
          </cell>
          <cell r="G190" t="str">
            <v>Senegal Rep.O.</v>
          </cell>
          <cell r="H190" t="str">
            <v>5023</v>
          </cell>
          <cell r="I190" t="str">
            <v>佛得角</v>
          </cell>
          <cell r="J190" t="str">
            <v>Cape Verde</v>
          </cell>
          <cell r="K190" t="str">
            <v>Chinese employees</v>
          </cell>
          <cell r="L190" t="str">
            <v>L2</v>
          </cell>
          <cell r="M190" t="str">
            <v>ALL</v>
          </cell>
          <cell r="N190" t="str">
            <v>FLPC(含奖金)</v>
          </cell>
          <cell r="O190" t="str">
            <v>USD/小时</v>
          </cell>
          <cell r="P190">
            <v>55.02</v>
          </cell>
        </row>
        <row r="191">
          <cell r="A191" t="str">
            <v>Cape Verde - Chinese employees - L3</v>
          </cell>
          <cell r="B191" t="str">
            <v>Current version</v>
          </cell>
          <cell r="C191" t="str">
            <v>V2009R2</v>
          </cell>
          <cell r="D191" t="str">
            <v>Labor Rate</v>
          </cell>
          <cell r="E191" t="str">
            <v>MENA</v>
          </cell>
          <cell r="F191" t="str">
            <v>Northern Africa Sub-Regional Division</v>
          </cell>
          <cell r="G191" t="str">
            <v>Senegal Rep.O.</v>
          </cell>
          <cell r="H191" t="str">
            <v>5023</v>
          </cell>
          <cell r="I191" t="str">
            <v>佛得角</v>
          </cell>
          <cell r="J191" t="str">
            <v>Cape Verde</v>
          </cell>
          <cell r="K191" t="str">
            <v>Chinese employees</v>
          </cell>
          <cell r="L191" t="str">
            <v>L3</v>
          </cell>
          <cell r="M191" t="str">
            <v>ALL</v>
          </cell>
          <cell r="N191" t="str">
            <v>FLPC(含奖金)</v>
          </cell>
          <cell r="O191" t="str">
            <v>USD/小时</v>
          </cell>
          <cell r="P191">
            <v>65.760000000000005</v>
          </cell>
        </row>
        <row r="192">
          <cell r="A192" t="str">
            <v>Cape Verde - Chinese employees - L4</v>
          </cell>
          <cell r="B192" t="str">
            <v>Current version</v>
          </cell>
          <cell r="C192" t="str">
            <v>V2009R2</v>
          </cell>
          <cell r="D192" t="str">
            <v>Labor Rate</v>
          </cell>
          <cell r="E192" t="str">
            <v>MENA</v>
          </cell>
          <cell r="F192" t="str">
            <v>Northern Africa Sub-Regional Division</v>
          </cell>
          <cell r="G192" t="str">
            <v>Senegal Rep.O.</v>
          </cell>
          <cell r="H192" t="str">
            <v>5023</v>
          </cell>
          <cell r="I192" t="str">
            <v>佛得角</v>
          </cell>
          <cell r="J192" t="str">
            <v>Cape Verde</v>
          </cell>
          <cell r="K192" t="str">
            <v>Chinese employees</v>
          </cell>
          <cell r="L192" t="str">
            <v>L4</v>
          </cell>
          <cell r="M192" t="str">
            <v>ALL</v>
          </cell>
          <cell r="N192" t="str">
            <v>FLPC(含奖金)</v>
          </cell>
          <cell r="O192" t="str">
            <v>USD/小时</v>
          </cell>
          <cell r="P192">
            <v>104.45</v>
          </cell>
        </row>
        <row r="193">
          <cell r="A193" t="str">
            <v>Mali - Chinese employees - L0</v>
          </cell>
          <cell r="B193" t="str">
            <v>Current version</v>
          </cell>
          <cell r="C193" t="str">
            <v>V2009R2</v>
          </cell>
          <cell r="D193" t="str">
            <v>Labor Rate</v>
          </cell>
          <cell r="E193" t="str">
            <v>MENA</v>
          </cell>
          <cell r="F193" t="str">
            <v>Northern Africa Sub-Regional Division</v>
          </cell>
          <cell r="G193" t="str">
            <v>Senegal Rep.O.</v>
          </cell>
          <cell r="H193" t="str">
            <v>4023</v>
          </cell>
          <cell r="I193" t="str">
            <v>马里</v>
          </cell>
          <cell r="J193" t="str">
            <v>Mali</v>
          </cell>
          <cell r="K193" t="str">
            <v>Chinese employees</v>
          </cell>
          <cell r="L193" t="str">
            <v>L0</v>
          </cell>
          <cell r="M193" t="str">
            <v>ALL</v>
          </cell>
          <cell r="N193" t="str">
            <v>FLPC(含奖金)</v>
          </cell>
          <cell r="O193" t="str">
            <v>USD/小时</v>
          </cell>
          <cell r="P193">
            <v>42.57</v>
          </cell>
        </row>
        <row r="194">
          <cell r="A194" t="str">
            <v>Mali - Chinese employees - L1</v>
          </cell>
          <cell r="B194" t="str">
            <v>Current version</v>
          </cell>
          <cell r="C194" t="str">
            <v>V2009R2</v>
          </cell>
          <cell r="D194" t="str">
            <v>Labor Rate</v>
          </cell>
          <cell r="E194" t="str">
            <v>MENA</v>
          </cell>
          <cell r="F194" t="str">
            <v>Northern Africa Sub-Regional Division</v>
          </cell>
          <cell r="G194" t="str">
            <v>Senegal Rep.O.</v>
          </cell>
          <cell r="H194" t="str">
            <v>4023</v>
          </cell>
          <cell r="I194" t="str">
            <v>马里</v>
          </cell>
          <cell r="J194" t="str">
            <v>Mali</v>
          </cell>
          <cell r="K194" t="str">
            <v>Chinese employees</v>
          </cell>
          <cell r="L194" t="str">
            <v>L1</v>
          </cell>
          <cell r="M194" t="str">
            <v>ALL</v>
          </cell>
          <cell r="N194" t="str">
            <v>FLPC(含奖金)</v>
          </cell>
          <cell r="O194" t="str">
            <v>USD/小时</v>
          </cell>
          <cell r="P194">
            <v>49.5</v>
          </cell>
        </row>
        <row r="195">
          <cell r="A195" t="str">
            <v>Mali - Chinese employees - L2</v>
          </cell>
          <cell r="B195" t="str">
            <v>Current version</v>
          </cell>
          <cell r="C195" t="str">
            <v>V2009R2</v>
          </cell>
          <cell r="D195" t="str">
            <v>Labor Rate</v>
          </cell>
          <cell r="E195" t="str">
            <v>MENA</v>
          </cell>
          <cell r="F195" t="str">
            <v>Northern Africa Sub-Regional Division</v>
          </cell>
          <cell r="G195" t="str">
            <v>Senegal Rep.O.</v>
          </cell>
          <cell r="H195" t="str">
            <v>4023</v>
          </cell>
          <cell r="I195" t="str">
            <v>马里</v>
          </cell>
          <cell r="J195" t="str">
            <v>Mali</v>
          </cell>
          <cell r="K195" t="str">
            <v>Chinese employees</v>
          </cell>
          <cell r="L195" t="str">
            <v>L2</v>
          </cell>
          <cell r="M195" t="str">
            <v>ALL</v>
          </cell>
          <cell r="N195" t="str">
            <v>FLPC(含奖金)</v>
          </cell>
          <cell r="O195" t="str">
            <v>USD/小时</v>
          </cell>
          <cell r="P195">
            <v>56.98</v>
          </cell>
        </row>
        <row r="196">
          <cell r="A196" t="str">
            <v>Mali - Chinese employees - L3</v>
          </cell>
          <cell r="B196" t="str">
            <v>Current version</v>
          </cell>
          <cell r="C196" t="str">
            <v>V2009R2</v>
          </cell>
          <cell r="D196" t="str">
            <v>Labor Rate</v>
          </cell>
          <cell r="E196" t="str">
            <v>MENA</v>
          </cell>
          <cell r="F196" t="str">
            <v>Northern Africa Sub-Regional Division</v>
          </cell>
          <cell r="G196" t="str">
            <v>Senegal Rep.O.</v>
          </cell>
          <cell r="H196" t="str">
            <v>4023</v>
          </cell>
          <cell r="I196" t="str">
            <v>马里</v>
          </cell>
          <cell r="J196" t="str">
            <v>Mali</v>
          </cell>
          <cell r="K196" t="str">
            <v>Chinese employees</v>
          </cell>
          <cell r="L196" t="str">
            <v>L3</v>
          </cell>
          <cell r="M196" t="str">
            <v>ALL</v>
          </cell>
          <cell r="N196" t="str">
            <v>FLPC(含奖金)</v>
          </cell>
          <cell r="O196" t="str">
            <v>USD/小时</v>
          </cell>
          <cell r="P196">
            <v>66.510000000000005</v>
          </cell>
        </row>
        <row r="197">
          <cell r="A197" t="str">
            <v>Mali - Chinese employees - L4</v>
          </cell>
          <cell r="B197" t="str">
            <v>Current version</v>
          </cell>
          <cell r="C197" t="str">
            <v>V2009R2</v>
          </cell>
          <cell r="D197" t="str">
            <v>Labor Rate</v>
          </cell>
          <cell r="E197" t="str">
            <v>MENA</v>
          </cell>
          <cell r="F197" t="str">
            <v>Northern Africa Sub-Regional Division</v>
          </cell>
          <cell r="G197" t="str">
            <v>Senegal Rep.O.</v>
          </cell>
          <cell r="H197" t="str">
            <v>4023</v>
          </cell>
          <cell r="I197" t="str">
            <v>马里</v>
          </cell>
          <cell r="J197" t="str">
            <v>Mali</v>
          </cell>
          <cell r="K197" t="str">
            <v>Chinese employees</v>
          </cell>
          <cell r="L197" t="str">
            <v>L4</v>
          </cell>
          <cell r="M197" t="str">
            <v>ALL</v>
          </cell>
          <cell r="N197" t="str">
            <v>FLPC(含奖金)</v>
          </cell>
          <cell r="O197" t="str">
            <v>USD/小时</v>
          </cell>
          <cell r="P197">
            <v>105.05</v>
          </cell>
        </row>
        <row r="198">
          <cell r="A198" t="str">
            <v>Mauritania - Chinese employees - L0</v>
          </cell>
          <cell r="B198" t="str">
            <v>Current version</v>
          </cell>
          <cell r="C198" t="str">
            <v>V2009R2</v>
          </cell>
          <cell r="D198" t="str">
            <v>Labor Rate</v>
          </cell>
          <cell r="E198" t="str">
            <v>MENA</v>
          </cell>
          <cell r="F198" t="str">
            <v>Northern Africa Sub-Regional Division</v>
          </cell>
          <cell r="G198" t="str">
            <v>Morocco Rep.O.</v>
          </cell>
          <cell r="H198" t="str">
            <v>4995</v>
          </cell>
          <cell r="I198" t="str">
            <v>毛里塔尼亚</v>
          </cell>
          <cell r="J198" t="str">
            <v>Mauritania</v>
          </cell>
          <cell r="K198" t="str">
            <v>Chinese employees</v>
          </cell>
          <cell r="L198" t="str">
            <v>L0</v>
          </cell>
          <cell r="M198" t="str">
            <v>ALL</v>
          </cell>
          <cell r="N198" t="str">
            <v>FLPC(含奖金)</v>
          </cell>
          <cell r="O198" t="str">
            <v>USD/小时</v>
          </cell>
          <cell r="P198">
            <v>52.14</v>
          </cell>
        </row>
        <row r="199">
          <cell r="A199" t="str">
            <v>Mauritania - Chinese employees - L1</v>
          </cell>
          <cell r="B199" t="str">
            <v>Current version</v>
          </cell>
          <cell r="C199" t="str">
            <v>V2009R2</v>
          </cell>
          <cell r="D199" t="str">
            <v>Labor Rate</v>
          </cell>
          <cell r="E199" t="str">
            <v>MENA</v>
          </cell>
          <cell r="F199" t="str">
            <v>Northern Africa Sub-Regional Division</v>
          </cell>
          <cell r="G199" t="str">
            <v>Morocco Rep.O.</v>
          </cell>
          <cell r="H199" t="str">
            <v>4995</v>
          </cell>
          <cell r="I199" t="str">
            <v>毛里塔尼亚</v>
          </cell>
          <cell r="J199" t="str">
            <v>Mauritania</v>
          </cell>
          <cell r="K199" t="str">
            <v>Chinese employees</v>
          </cell>
          <cell r="L199" t="str">
            <v>L1</v>
          </cell>
          <cell r="M199" t="str">
            <v>ALL</v>
          </cell>
          <cell r="N199" t="str">
            <v>FLPC(含奖金)</v>
          </cell>
          <cell r="O199" t="str">
            <v>USD/小时</v>
          </cell>
          <cell r="P199">
            <v>58.17</v>
          </cell>
        </row>
        <row r="200">
          <cell r="A200" t="str">
            <v>Mauritania - Chinese employees - L2</v>
          </cell>
          <cell r="B200" t="str">
            <v>Current version</v>
          </cell>
          <cell r="C200" t="str">
            <v>V2009R2</v>
          </cell>
          <cell r="D200" t="str">
            <v>Labor Rate</v>
          </cell>
          <cell r="E200" t="str">
            <v>MENA</v>
          </cell>
          <cell r="F200" t="str">
            <v>Northern Africa Sub-Regional Division</v>
          </cell>
          <cell r="G200" t="str">
            <v>Morocco Rep.O.</v>
          </cell>
          <cell r="H200" t="str">
            <v>4995</v>
          </cell>
          <cell r="I200" t="str">
            <v>毛里塔尼亚</v>
          </cell>
          <cell r="J200" t="str">
            <v>Mauritania</v>
          </cell>
          <cell r="K200" t="str">
            <v>Chinese employees</v>
          </cell>
          <cell r="L200" t="str">
            <v>L2</v>
          </cell>
          <cell r="M200" t="str">
            <v>ALL</v>
          </cell>
          <cell r="N200" t="str">
            <v>FLPC(含奖金)</v>
          </cell>
          <cell r="O200" t="str">
            <v>USD/小时</v>
          </cell>
          <cell r="P200">
            <v>65.989999999999995</v>
          </cell>
        </row>
        <row r="201">
          <cell r="A201" t="str">
            <v>Mauritania - Chinese employees - L3</v>
          </cell>
          <cell r="B201" t="str">
            <v>Current version</v>
          </cell>
          <cell r="C201" t="str">
            <v>V2009R2</v>
          </cell>
          <cell r="D201" t="str">
            <v>Labor Rate</v>
          </cell>
          <cell r="E201" t="str">
            <v>MENA</v>
          </cell>
          <cell r="F201" t="str">
            <v>Northern Africa Sub-Regional Division</v>
          </cell>
          <cell r="G201" t="str">
            <v>Morocco Rep.O.</v>
          </cell>
          <cell r="H201" t="str">
            <v>4995</v>
          </cell>
          <cell r="I201" t="str">
            <v>毛里塔尼亚</v>
          </cell>
          <cell r="J201" t="str">
            <v>Mauritania</v>
          </cell>
          <cell r="K201" t="str">
            <v>Chinese employees</v>
          </cell>
          <cell r="L201" t="str">
            <v>L3</v>
          </cell>
          <cell r="M201" t="str">
            <v>ALL</v>
          </cell>
          <cell r="N201" t="str">
            <v>FLPC(含奖金)</v>
          </cell>
          <cell r="O201" t="str">
            <v>USD/小时</v>
          </cell>
          <cell r="P201">
            <v>77.17</v>
          </cell>
        </row>
        <row r="202">
          <cell r="A202" t="str">
            <v>Mauritania - Chinese employees - L4</v>
          </cell>
          <cell r="B202" t="str">
            <v>Current version</v>
          </cell>
          <cell r="C202" t="str">
            <v>V2009R2</v>
          </cell>
          <cell r="D202" t="str">
            <v>Labor Rate</v>
          </cell>
          <cell r="E202" t="str">
            <v>MENA</v>
          </cell>
          <cell r="F202" t="str">
            <v>Northern Africa Sub-Regional Division</v>
          </cell>
          <cell r="G202" t="str">
            <v>Morocco Rep.O.</v>
          </cell>
          <cell r="H202" t="str">
            <v>4995</v>
          </cell>
          <cell r="I202" t="str">
            <v>毛里塔尼亚</v>
          </cell>
          <cell r="J202" t="str">
            <v>Mauritania</v>
          </cell>
          <cell r="K202" t="str">
            <v>Chinese employees</v>
          </cell>
          <cell r="L202" t="str">
            <v>L4</v>
          </cell>
          <cell r="M202" t="str">
            <v>ALL</v>
          </cell>
          <cell r="N202" t="str">
            <v>FLPC(含奖金)</v>
          </cell>
          <cell r="O202" t="str">
            <v>USD/小时</v>
          </cell>
          <cell r="P202">
            <v>117.47</v>
          </cell>
        </row>
        <row r="203">
          <cell r="A203" t="str">
            <v>Morocco - Chinese employees - L0</v>
          </cell>
          <cell r="B203" t="str">
            <v>Current version</v>
          </cell>
          <cell r="C203" t="str">
            <v>V2009R2</v>
          </cell>
          <cell r="D203" t="str">
            <v>Labor Rate</v>
          </cell>
          <cell r="E203" t="str">
            <v>MENA</v>
          </cell>
          <cell r="F203" t="str">
            <v>Northern Africa Sub-Regional Division</v>
          </cell>
          <cell r="G203" t="str">
            <v>Morocco Rep.O.</v>
          </cell>
          <cell r="H203" t="str">
            <v>4996</v>
          </cell>
          <cell r="I203" t="str">
            <v>摩洛哥</v>
          </cell>
          <cell r="J203" t="str">
            <v>Morocco</v>
          </cell>
          <cell r="K203" t="str">
            <v>Chinese employees</v>
          </cell>
          <cell r="L203" t="str">
            <v>L0</v>
          </cell>
          <cell r="M203" t="str">
            <v>ALL</v>
          </cell>
          <cell r="N203" t="str">
            <v>FLPC(含奖金)</v>
          </cell>
          <cell r="O203" t="str">
            <v>USD/小时</v>
          </cell>
          <cell r="P203">
            <v>42.2</v>
          </cell>
        </row>
        <row r="204">
          <cell r="A204" t="str">
            <v>Morocco - Chinese employees - L1</v>
          </cell>
          <cell r="B204" t="str">
            <v>Current version</v>
          </cell>
          <cell r="C204" t="str">
            <v>V2009R2</v>
          </cell>
          <cell r="D204" t="str">
            <v>Labor Rate</v>
          </cell>
          <cell r="E204" t="str">
            <v>MENA</v>
          </cell>
          <cell r="F204" t="str">
            <v>Northern Africa Sub-Regional Division</v>
          </cell>
          <cell r="G204" t="str">
            <v>Morocco Rep.O.</v>
          </cell>
          <cell r="H204" t="str">
            <v>4996</v>
          </cell>
          <cell r="I204" t="str">
            <v>摩洛哥</v>
          </cell>
          <cell r="J204" t="str">
            <v>Morocco</v>
          </cell>
          <cell r="K204" t="str">
            <v>Chinese employees</v>
          </cell>
          <cell r="L204" t="str">
            <v>L1</v>
          </cell>
          <cell r="M204" t="str">
            <v>ALL</v>
          </cell>
          <cell r="N204" t="str">
            <v>FLPC(含奖金)</v>
          </cell>
          <cell r="O204" t="str">
            <v>USD/小时</v>
          </cell>
          <cell r="P204">
            <v>49.6</v>
          </cell>
        </row>
        <row r="205">
          <cell r="A205" t="str">
            <v>Morocco - Chinese employees - L2</v>
          </cell>
          <cell r="B205" t="str">
            <v>Current version</v>
          </cell>
          <cell r="C205" t="str">
            <v>V2009R2</v>
          </cell>
          <cell r="D205" t="str">
            <v>Labor Rate</v>
          </cell>
          <cell r="E205" t="str">
            <v>MENA</v>
          </cell>
          <cell r="F205" t="str">
            <v>Northern Africa Sub-Regional Division</v>
          </cell>
          <cell r="G205" t="str">
            <v>Morocco Rep.O.</v>
          </cell>
          <cell r="H205" t="str">
            <v>4996</v>
          </cell>
          <cell r="I205" t="str">
            <v>摩洛哥</v>
          </cell>
          <cell r="J205" t="str">
            <v>Morocco</v>
          </cell>
          <cell r="K205" t="str">
            <v>Chinese employees</v>
          </cell>
          <cell r="L205" t="str">
            <v>L2</v>
          </cell>
          <cell r="M205" t="str">
            <v>ALL</v>
          </cell>
          <cell r="N205" t="str">
            <v>FLPC(含奖金)</v>
          </cell>
          <cell r="O205" t="str">
            <v>USD/小时</v>
          </cell>
          <cell r="P205">
            <v>57.43</v>
          </cell>
        </row>
        <row r="206">
          <cell r="A206" t="str">
            <v>Morocco - Chinese employees - L3</v>
          </cell>
          <cell r="B206" t="str">
            <v>Current version</v>
          </cell>
          <cell r="C206" t="str">
            <v>V2009R2</v>
          </cell>
          <cell r="D206" t="str">
            <v>Labor Rate</v>
          </cell>
          <cell r="E206" t="str">
            <v>MENA</v>
          </cell>
          <cell r="F206" t="str">
            <v>Northern Africa Sub-Regional Division</v>
          </cell>
          <cell r="G206" t="str">
            <v>Morocco Rep.O.</v>
          </cell>
          <cell r="H206" t="str">
            <v>4996</v>
          </cell>
          <cell r="I206" t="str">
            <v>摩洛哥</v>
          </cell>
          <cell r="J206" t="str">
            <v>Morocco</v>
          </cell>
          <cell r="K206" t="str">
            <v>Chinese employees</v>
          </cell>
          <cell r="L206" t="str">
            <v>L3</v>
          </cell>
          <cell r="M206" t="str">
            <v>ALL</v>
          </cell>
          <cell r="N206" t="str">
            <v>FLPC(含奖金)</v>
          </cell>
          <cell r="O206" t="str">
            <v>USD/小时</v>
          </cell>
          <cell r="P206">
            <v>68.67</v>
          </cell>
        </row>
        <row r="207">
          <cell r="A207" t="str">
            <v>Morocco - Chinese employees - L4</v>
          </cell>
          <cell r="B207" t="str">
            <v>Current version</v>
          </cell>
          <cell r="C207" t="str">
            <v>V2009R2</v>
          </cell>
          <cell r="D207" t="str">
            <v>Labor Rate</v>
          </cell>
          <cell r="E207" t="str">
            <v>MENA</v>
          </cell>
          <cell r="F207" t="str">
            <v>Northern Africa Sub-Regional Division</v>
          </cell>
          <cell r="G207" t="str">
            <v>Morocco Rep.O.</v>
          </cell>
          <cell r="H207" t="str">
            <v>4996</v>
          </cell>
          <cell r="I207" t="str">
            <v>摩洛哥</v>
          </cell>
          <cell r="J207" t="str">
            <v>Morocco</v>
          </cell>
          <cell r="K207" t="str">
            <v>Chinese employees</v>
          </cell>
          <cell r="L207" t="str">
            <v>L4</v>
          </cell>
          <cell r="M207" t="str">
            <v>ALL</v>
          </cell>
          <cell r="N207" t="str">
            <v>FLPC(含奖金)</v>
          </cell>
          <cell r="O207" t="str">
            <v>USD/小时</v>
          </cell>
          <cell r="P207">
            <v>107.53</v>
          </cell>
        </row>
        <row r="208">
          <cell r="A208" t="str">
            <v>Algeria - Chinese employees - L0</v>
          </cell>
          <cell r="B208" t="str">
            <v>Current version</v>
          </cell>
          <cell r="C208" t="str">
            <v>V2009R2</v>
          </cell>
          <cell r="D208" t="str">
            <v>Labor Rate</v>
          </cell>
          <cell r="E208" t="str">
            <v>MENA</v>
          </cell>
          <cell r="F208" t="str">
            <v>Northern Africa Sub-Regional Division</v>
          </cell>
          <cell r="G208" t="str">
            <v>Algeria</v>
          </cell>
          <cell r="H208" t="str">
            <v>4998</v>
          </cell>
          <cell r="I208" t="str">
            <v>阿尔及利亚</v>
          </cell>
          <cell r="J208" t="str">
            <v>Algeria</v>
          </cell>
          <cell r="K208" t="str">
            <v>Chinese employees</v>
          </cell>
          <cell r="L208" t="str">
            <v>L0</v>
          </cell>
          <cell r="M208" t="str">
            <v>ALL</v>
          </cell>
          <cell r="N208" t="str">
            <v>FLPC(含奖金)</v>
          </cell>
          <cell r="O208" t="str">
            <v>USD/小时</v>
          </cell>
          <cell r="P208">
            <v>39.9</v>
          </cell>
        </row>
        <row r="209">
          <cell r="A209" t="str">
            <v>Algeria - Chinese employees - L1</v>
          </cell>
          <cell r="B209" t="str">
            <v>Current version</v>
          </cell>
          <cell r="C209" t="str">
            <v>V2009R2</v>
          </cell>
          <cell r="D209" t="str">
            <v>Labor Rate</v>
          </cell>
          <cell r="E209" t="str">
            <v>MENA</v>
          </cell>
          <cell r="F209" t="str">
            <v>Northern Africa Sub-Regional Division</v>
          </cell>
          <cell r="G209" t="str">
            <v>Algeria</v>
          </cell>
          <cell r="H209" t="str">
            <v>4998</v>
          </cell>
          <cell r="I209" t="str">
            <v>阿尔及利亚</v>
          </cell>
          <cell r="J209" t="str">
            <v>Algeria</v>
          </cell>
          <cell r="K209" t="str">
            <v>Chinese employees</v>
          </cell>
          <cell r="L209" t="str">
            <v>L1</v>
          </cell>
          <cell r="M209" t="str">
            <v>ALL</v>
          </cell>
          <cell r="N209" t="str">
            <v>FLPC(含奖金)</v>
          </cell>
          <cell r="O209" t="str">
            <v>USD/小时</v>
          </cell>
          <cell r="P209">
            <v>45.95</v>
          </cell>
        </row>
        <row r="210">
          <cell r="A210" t="str">
            <v>Algeria - Chinese employees - L2</v>
          </cell>
          <cell r="B210" t="str">
            <v>Current version</v>
          </cell>
          <cell r="C210" t="str">
            <v>V2009R2</v>
          </cell>
          <cell r="D210" t="str">
            <v>Labor Rate</v>
          </cell>
          <cell r="E210" t="str">
            <v>MENA</v>
          </cell>
          <cell r="F210" t="str">
            <v>Northern Africa Sub-Regional Division</v>
          </cell>
          <cell r="G210" t="str">
            <v>Algeria</v>
          </cell>
          <cell r="H210" t="str">
            <v>4998</v>
          </cell>
          <cell r="I210" t="str">
            <v>阿尔及利亚</v>
          </cell>
          <cell r="J210" t="str">
            <v>Algeria</v>
          </cell>
          <cell r="K210" t="str">
            <v>Chinese employees</v>
          </cell>
          <cell r="L210" t="str">
            <v>L2</v>
          </cell>
          <cell r="M210" t="str">
            <v>ALL</v>
          </cell>
          <cell r="N210" t="str">
            <v>FLPC(含奖金)</v>
          </cell>
          <cell r="O210" t="str">
            <v>USD/小时</v>
          </cell>
          <cell r="P210">
            <v>53.34</v>
          </cell>
        </row>
        <row r="211">
          <cell r="A211" t="str">
            <v>Argentina - Chinese employees - L4</v>
          </cell>
          <cell r="B211" t="str">
            <v>Current version</v>
          </cell>
          <cell r="C211" t="str">
            <v>V2009R2</v>
          </cell>
          <cell r="D211" t="str">
            <v>Labor Rate</v>
          </cell>
          <cell r="E211" t="str">
            <v>LA</v>
          </cell>
          <cell r="F211" t="str">
            <v>Southern South America Sub-Regional Division</v>
          </cell>
          <cell r="G211" t="str">
            <v>Argentina Rep.O.</v>
          </cell>
          <cell r="H211" t="str">
            <v>6004</v>
          </cell>
          <cell r="I211" t="str">
            <v>阿根廷</v>
          </cell>
          <cell r="J211" t="str">
            <v>Argentina</v>
          </cell>
          <cell r="K211" t="str">
            <v>Chinese employees</v>
          </cell>
          <cell r="L211" t="str">
            <v>L4</v>
          </cell>
          <cell r="M211" t="str">
            <v>ALL</v>
          </cell>
          <cell r="N211" t="str">
            <v>FLPC(含奖金)</v>
          </cell>
          <cell r="O211" t="str">
            <v>USD/小时</v>
          </cell>
          <cell r="P211">
            <v>126.25</v>
          </cell>
        </row>
        <row r="212">
          <cell r="A212" t="str">
            <v>Uruguay - Chinese employees - L0</v>
          </cell>
          <cell r="B212" t="str">
            <v>Current version</v>
          </cell>
          <cell r="C212" t="str">
            <v>V2009R2</v>
          </cell>
          <cell r="D212" t="str">
            <v>Labor Rate</v>
          </cell>
          <cell r="E212" t="str">
            <v>LA</v>
          </cell>
          <cell r="F212" t="str">
            <v>Southern South America Sub-Regional Division</v>
          </cell>
          <cell r="G212" t="str">
            <v>Argentina Rep.O.</v>
          </cell>
          <cell r="H212" t="str">
            <v>6010</v>
          </cell>
          <cell r="I212" t="str">
            <v>乌拉圭</v>
          </cell>
          <cell r="J212" t="str">
            <v>Uruguay</v>
          </cell>
          <cell r="K212" t="str">
            <v>Chinese employees</v>
          </cell>
          <cell r="L212" t="str">
            <v>L0</v>
          </cell>
          <cell r="M212" t="str">
            <v>ALL</v>
          </cell>
          <cell r="N212" t="str">
            <v>FLPC(含奖金)</v>
          </cell>
          <cell r="O212" t="str">
            <v>USD/小时</v>
          </cell>
          <cell r="P212">
            <v>46.1</v>
          </cell>
        </row>
        <row r="213">
          <cell r="A213" t="str">
            <v>Uruguay - Chinese employees - L1</v>
          </cell>
          <cell r="B213" t="str">
            <v>Current version</v>
          </cell>
          <cell r="C213" t="str">
            <v>V2009R2</v>
          </cell>
          <cell r="D213" t="str">
            <v>Labor Rate</v>
          </cell>
          <cell r="E213" t="str">
            <v>LA</v>
          </cell>
          <cell r="F213" t="str">
            <v>Southern South America Sub-Regional Division</v>
          </cell>
          <cell r="G213" t="str">
            <v>Argentina Rep.O.</v>
          </cell>
          <cell r="H213" t="str">
            <v>6010</v>
          </cell>
          <cell r="I213" t="str">
            <v>乌拉圭</v>
          </cell>
          <cell r="J213" t="str">
            <v>Uruguay</v>
          </cell>
          <cell r="K213" t="str">
            <v>Chinese employees</v>
          </cell>
          <cell r="L213" t="str">
            <v>L1</v>
          </cell>
          <cell r="M213" t="str">
            <v>ALL</v>
          </cell>
          <cell r="N213" t="str">
            <v>FLPC(含奖金)</v>
          </cell>
          <cell r="O213" t="str">
            <v>USD/小时</v>
          </cell>
          <cell r="P213">
            <v>52.48</v>
          </cell>
        </row>
        <row r="214">
          <cell r="A214" t="str">
            <v>Uruguay - Chinese employees - L2</v>
          </cell>
          <cell r="B214" t="str">
            <v>Current version</v>
          </cell>
          <cell r="C214" t="str">
            <v>V2009R2</v>
          </cell>
          <cell r="D214" t="str">
            <v>Labor Rate</v>
          </cell>
          <cell r="E214" t="str">
            <v>LA</v>
          </cell>
          <cell r="F214" t="str">
            <v>Southern South America Sub-Regional Division</v>
          </cell>
          <cell r="G214" t="str">
            <v>Argentina Rep.O.</v>
          </cell>
          <cell r="H214" t="str">
            <v>6010</v>
          </cell>
          <cell r="I214" t="str">
            <v>乌拉圭</v>
          </cell>
          <cell r="J214" t="str">
            <v>Uruguay</v>
          </cell>
          <cell r="K214" t="str">
            <v>Chinese employees</v>
          </cell>
          <cell r="L214" t="str">
            <v>L2</v>
          </cell>
          <cell r="M214" t="str">
            <v>ALL</v>
          </cell>
          <cell r="N214" t="str">
            <v>FLPC(含奖金)</v>
          </cell>
          <cell r="O214" t="str">
            <v>USD/小时</v>
          </cell>
          <cell r="P214">
            <v>60.74</v>
          </cell>
        </row>
        <row r="215">
          <cell r="A215" t="str">
            <v>Uruguay - Chinese employees - L3</v>
          </cell>
          <cell r="B215" t="str">
            <v>Current version</v>
          </cell>
          <cell r="C215" t="str">
            <v>V2009R2</v>
          </cell>
          <cell r="D215" t="str">
            <v>Labor Rate</v>
          </cell>
          <cell r="E215" t="str">
            <v>LA</v>
          </cell>
          <cell r="F215" t="str">
            <v>Southern South America Sub-Regional Division</v>
          </cell>
          <cell r="G215" t="str">
            <v>Argentina Rep.O.</v>
          </cell>
          <cell r="H215" t="str">
            <v>6010</v>
          </cell>
          <cell r="I215" t="str">
            <v>乌拉圭</v>
          </cell>
          <cell r="J215" t="str">
            <v>Uruguay</v>
          </cell>
          <cell r="K215" t="str">
            <v>Chinese employees</v>
          </cell>
          <cell r="L215" t="str">
            <v>L3</v>
          </cell>
          <cell r="M215" t="str">
            <v>ALL</v>
          </cell>
          <cell r="N215" t="str">
            <v>FLPC(含奖金)</v>
          </cell>
          <cell r="O215" t="str">
            <v>USD/小时</v>
          </cell>
          <cell r="P215">
            <v>72.56</v>
          </cell>
        </row>
        <row r="216">
          <cell r="A216" t="str">
            <v>Uruguay - Chinese employees - L4</v>
          </cell>
          <cell r="B216" t="str">
            <v>Current version</v>
          </cell>
          <cell r="C216" t="str">
            <v>V2009R2</v>
          </cell>
          <cell r="D216" t="str">
            <v>Labor Rate</v>
          </cell>
          <cell r="E216" t="str">
            <v>LA</v>
          </cell>
          <cell r="F216" t="str">
            <v>Southern South America Sub-Regional Division</v>
          </cell>
          <cell r="G216" t="str">
            <v>Argentina Rep.O.</v>
          </cell>
          <cell r="H216" t="str">
            <v>6010</v>
          </cell>
          <cell r="I216" t="str">
            <v>乌拉圭</v>
          </cell>
          <cell r="J216" t="str">
            <v>Uruguay</v>
          </cell>
          <cell r="K216" t="str">
            <v>Chinese employees</v>
          </cell>
          <cell r="L216" t="str">
            <v>L4</v>
          </cell>
          <cell r="M216" t="str">
            <v>ALL</v>
          </cell>
          <cell r="N216" t="str">
            <v>FLPC(含奖金)</v>
          </cell>
          <cell r="O216" t="str">
            <v>USD/小时</v>
          </cell>
          <cell r="P216">
            <v>115.17</v>
          </cell>
        </row>
        <row r="217">
          <cell r="A217" t="str">
            <v>Paraguay - Chinese employees - L0</v>
          </cell>
          <cell r="B217" t="str">
            <v>Current version</v>
          </cell>
          <cell r="C217" t="str">
            <v>V2009R2</v>
          </cell>
          <cell r="D217" t="str">
            <v>Labor Rate</v>
          </cell>
          <cell r="E217" t="str">
            <v>LA</v>
          </cell>
          <cell r="F217" t="str">
            <v>Southern South America Sub-Regional Division</v>
          </cell>
          <cell r="G217" t="str">
            <v>Argentina Rep.O.</v>
          </cell>
          <cell r="H217" t="str">
            <v>6018</v>
          </cell>
          <cell r="I217" t="str">
            <v>巴拉圭</v>
          </cell>
          <cell r="J217" t="str">
            <v>Paraguay</v>
          </cell>
          <cell r="K217" t="str">
            <v>Chinese employees</v>
          </cell>
          <cell r="L217" t="str">
            <v>L0</v>
          </cell>
          <cell r="M217" t="str">
            <v>ALL</v>
          </cell>
          <cell r="N217" t="str">
            <v>FLPC(含奖金)</v>
          </cell>
          <cell r="O217" t="str">
            <v>USD/小时</v>
          </cell>
          <cell r="P217">
            <v>53.46</v>
          </cell>
        </row>
        <row r="218">
          <cell r="A218" t="str">
            <v>Paraguay - Chinese employees - L1</v>
          </cell>
          <cell r="B218" t="str">
            <v>Current version</v>
          </cell>
          <cell r="C218" t="str">
            <v>V2009R2</v>
          </cell>
          <cell r="D218" t="str">
            <v>Labor Rate</v>
          </cell>
          <cell r="E218" t="str">
            <v>LA</v>
          </cell>
          <cell r="F218" t="str">
            <v>Southern South America Sub-Regional Division</v>
          </cell>
          <cell r="G218" t="str">
            <v>Argentina Rep.O.</v>
          </cell>
          <cell r="H218" t="str">
            <v>6018</v>
          </cell>
          <cell r="I218" t="str">
            <v>巴拉圭</v>
          </cell>
          <cell r="J218" t="str">
            <v>Paraguay</v>
          </cell>
          <cell r="K218" t="str">
            <v>Chinese employees</v>
          </cell>
          <cell r="L218" t="str">
            <v>L1</v>
          </cell>
          <cell r="M218" t="str">
            <v>ALL</v>
          </cell>
          <cell r="N218" t="str">
            <v>FLPC(含奖金)</v>
          </cell>
          <cell r="O218" t="str">
            <v>USD/小时</v>
          </cell>
          <cell r="P218">
            <v>59.83</v>
          </cell>
        </row>
        <row r="219">
          <cell r="A219" t="str">
            <v>Paraguay - Chinese employees - L2</v>
          </cell>
          <cell r="B219" t="str">
            <v>Current version</v>
          </cell>
          <cell r="C219" t="str">
            <v>V2009R2</v>
          </cell>
          <cell r="D219" t="str">
            <v>Labor Rate</v>
          </cell>
          <cell r="E219" t="str">
            <v>LA</v>
          </cell>
          <cell r="F219" t="str">
            <v>Southern South America Sub-Regional Division</v>
          </cell>
          <cell r="G219" t="str">
            <v>Argentina Rep.O.</v>
          </cell>
          <cell r="H219" t="str">
            <v>6018</v>
          </cell>
          <cell r="I219" t="str">
            <v>巴拉圭</v>
          </cell>
          <cell r="J219" t="str">
            <v>Paraguay</v>
          </cell>
          <cell r="K219" t="str">
            <v>Chinese employees</v>
          </cell>
          <cell r="L219" t="str">
            <v>L2</v>
          </cell>
          <cell r="M219" t="str">
            <v>ALL</v>
          </cell>
          <cell r="N219" t="str">
            <v>FLPC(含奖金)</v>
          </cell>
          <cell r="O219" t="str">
            <v>USD/小时</v>
          </cell>
          <cell r="P219">
            <v>68.099999999999994</v>
          </cell>
        </row>
        <row r="220">
          <cell r="A220" t="str">
            <v>Paraguay - Chinese employees - L3</v>
          </cell>
          <cell r="B220" t="str">
            <v>Current version</v>
          </cell>
          <cell r="C220" t="str">
            <v>V2009R2</v>
          </cell>
          <cell r="D220" t="str">
            <v>Labor Rate</v>
          </cell>
          <cell r="E220" t="str">
            <v>LA</v>
          </cell>
          <cell r="F220" t="str">
            <v>Southern South America Sub-Regional Division</v>
          </cell>
          <cell r="G220" t="str">
            <v>Argentina Rep.O.</v>
          </cell>
          <cell r="H220" t="str">
            <v>6018</v>
          </cell>
          <cell r="I220" t="str">
            <v>巴拉圭</v>
          </cell>
          <cell r="J220" t="str">
            <v>Paraguay</v>
          </cell>
          <cell r="K220" t="str">
            <v>Chinese employees</v>
          </cell>
          <cell r="L220" t="str">
            <v>L3</v>
          </cell>
          <cell r="M220" t="str">
            <v>ALL</v>
          </cell>
          <cell r="N220" t="str">
            <v>FLPC(含奖金)</v>
          </cell>
          <cell r="O220" t="str">
            <v>USD/小时</v>
          </cell>
          <cell r="P220">
            <v>79.92</v>
          </cell>
        </row>
        <row r="221">
          <cell r="A221" t="str">
            <v>Paraguay - Chinese employees - L4</v>
          </cell>
          <cell r="B221" t="str">
            <v>Current version</v>
          </cell>
          <cell r="C221" t="str">
            <v>V2009R2</v>
          </cell>
          <cell r="D221" t="str">
            <v>Labor Rate</v>
          </cell>
          <cell r="E221" t="str">
            <v>LA</v>
          </cell>
          <cell r="F221" t="str">
            <v>Southern South America Sub-Regional Division</v>
          </cell>
          <cell r="G221" t="str">
            <v>Argentina Rep.O.</v>
          </cell>
          <cell r="H221" t="str">
            <v>6018</v>
          </cell>
          <cell r="I221" t="str">
            <v>巴拉圭</v>
          </cell>
          <cell r="J221" t="str">
            <v>Paraguay</v>
          </cell>
          <cell r="K221" t="str">
            <v>Chinese employees</v>
          </cell>
          <cell r="L221" t="str">
            <v>L4</v>
          </cell>
          <cell r="M221" t="str">
            <v>ALL</v>
          </cell>
          <cell r="N221" t="str">
            <v>FLPC(含奖金)</v>
          </cell>
          <cell r="O221" t="str">
            <v>USD/小时</v>
          </cell>
          <cell r="P221">
            <v>122.53</v>
          </cell>
        </row>
        <row r="222">
          <cell r="A222" t="str">
            <v>Cuba - Chinese employees - L0</v>
          </cell>
          <cell r="B222" t="str">
            <v>Current version</v>
          </cell>
          <cell r="C222" t="str">
            <v>V2009R2</v>
          </cell>
          <cell r="D222" t="str">
            <v>Labor Rate</v>
          </cell>
          <cell r="E222" t="str">
            <v>LA</v>
          </cell>
          <cell r="F222" t="str">
            <v>Northern South America Sub-Regional Division</v>
          </cell>
          <cell r="G222" t="str">
            <v>古巴代表处</v>
          </cell>
          <cell r="H222" t="str">
            <v>6008</v>
          </cell>
          <cell r="I222" t="str">
            <v>A6古巴</v>
          </cell>
          <cell r="J222" t="str">
            <v>Cuba</v>
          </cell>
          <cell r="K222" t="str">
            <v>Chinese employees</v>
          </cell>
          <cell r="L222" t="str">
            <v>L0</v>
          </cell>
          <cell r="M222" t="str">
            <v>ALL</v>
          </cell>
          <cell r="N222" t="str">
            <v>FLPC(含奖金)</v>
          </cell>
          <cell r="O222" t="str">
            <v>USD/小时</v>
          </cell>
          <cell r="P222">
            <v>53.26</v>
          </cell>
        </row>
        <row r="223">
          <cell r="A223" t="str">
            <v>Cuba - Chinese employees - L1</v>
          </cell>
          <cell r="B223" t="str">
            <v>Current version</v>
          </cell>
          <cell r="C223" t="str">
            <v>V2009R2</v>
          </cell>
          <cell r="D223" t="str">
            <v>Labor Rate</v>
          </cell>
          <cell r="E223" t="str">
            <v>LA</v>
          </cell>
          <cell r="F223" t="str">
            <v>Northern South America Sub-Regional Division</v>
          </cell>
          <cell r="G223" t="str">
            <v>古巴代表处</v>
          </cell>
          <cell r="H223" t="str">
            <v>6008</v>
          </cell>
          <cell r="I223" t="str">
            <v>A6古巴</v>
          </cell>
          <cell r="J223" t="str">
            <v>Cuba</v>
          </cell>
          <cell r="K223" t="str">
            <v>Chinese employees</v>
          </cell>
          <cell r="L223" t="str">
            <v>L1</v>
          </cell>
          <cell r="M223" t="str">
            <v>ALL</v>
          </cell>
          <cell r="N223" t="str">
            <v>FLPC(含奖金)</v>
          </cell>
          <cell r="O223" t="str">
            <v>USD/小时</v>
          </cell>
          <cell r="P223">
            <v>59.28</v>
          </cell>
        </row>
        <row r="224">
          <cell r="A224" t="str">
            <v>Cuba - Chinese employees - L2</v>
          </cell>
          <cell r="B224" t="str">
            <v>Current version</v>
          </cell>
          <cell r="C224" t="str">
            <v>V2009R2</v>
          </cell>
          <cell r="D224" t="str">
            <v>Labor Rate</v>
          </cell>
          <cell r="E224" t="str">
            <v>LA</v>
          </cell>
          <cell r="F224" t="str">
            <v>Northern South America Sub-Regional Division</v>
          </cell>
          <cell r="G224" t="str">
            <v>古巴代表处</v>
          </cell>
          <cell r="H224" t="str">
            <v>6008</v>
          </cell>
          <cell r="I224" t="str">
            <v>A6古巴</v>
          </cell>
          <cell r="J224" t="str">
            <v>Cuba</v>
          </cell>
          <cell r="K224" t="str">
            <v>Chinese employees</v>
          </cell>
          <cell r="L224" t="str">
            <v>L2</v>
          </cell>
          <cell r="M224" t="str">
            <v>ALL</v>
          </cell>
          <cell r="N224" t="str">
            <v>FLPC(含奖金)</v>
          </cell>
          <cell r="O224" t="str">
            <v>USD/小时</v>
          </cell>
          <cell r="P224">
            <v>67.069999999999993</v>
          </cell>
        </row>
        <row r="225">
          <cell r="A225" t="str">
            <v>Cuba - Chinese employees - L3</v>
          </cell>
          <cell r="B225" t="str">
            <v>Current version</v>
          </cell>
          <cell r="C225" t="str">
            <v>V2009R2</v>
          </cell>
          <cell r="D225" t="str">
            <v>Labor Rate</v>
          </cell>
          <cell r="E225" t="str">
            <v>LA</v>
          </cell>
          <cell r="F225" t="str">
            <v>Northern South America Sub-Regional Division</v>
          </cell>
          <cell r="G225" t="str">
            <v>古巴代表处</v>
          </cell>
          <cell r="H225" t="str">
            <v>6008</v>
          </cell>
          <cell r="I225" t="str">
            <v>A6古巴</v>
          </cell>
          <cell r="J225" t="str">
            <v>Cuba</v>
          </cell>
          <cell r="K225" t="str">
            <v>Chinese employees</v>
          </cell>
          <cell r="L225" t="str">
            <v>L3</v>
          </cell>
          <cell r="M225" t="str">
            <v>ALL</v>
          </cell>
          <cell r="N225" t="str">
            <v>FLPC(含奖金)</v>
          </cell>
          <cell r="O225" t="str">
            <v>USD/小时</v>
          </cell>
          <cell r="P225">
            <v>78.23</v>
          </cell>
        </row>
        <row r="226">
          <cell r="A226" t="str">
            <v>Cuba - Chinese employees - L4</v>
          </cell>
          <cell r="B226" t="str">
            <v>Current version</v>
          </cell>
          <cell r="C226" t="str">
            <v>V2009R2</v>
          </cell>
          <cell r="D226" t="str">
            <v>Labor Rate</v>
          </cell>
          <cell r="E226" t="str">
            <v>LA</v>
          </cell>
          <cell r="F226" t="str">
            <v>Northern South America Sub-Regional Division</v>
          </cell>
          <cell r="G226" t="str">
            <v>古巴代表处</v>
          </cell>
          <cell r="H226" t="str">
            <v>6008</v>
          </cell>
          <cell r="I226" t="str">
            <v>A6古巴</v>
          </cell>
          <cell r="J226" t="str">
            <v>Cuba</v>
          </cell>
          <cell r="K226" t="str">
            <v>Chinese employees</v>
          </cell>
          <cell r="L226" t="str">
            <v>L4</v>
          </cell>
          <cell r="M226" t="str">
            <v>ALL</v>
          </cell>
          <cell r="N226" t="str">
            <v>FLPC(含奖金)</v>
          </cell>
          <cell r="O226" t="str">
            <v>USD/小时</v>
          </cell>
          <cell r="P226">
            <v>118.44</v>
          </cell>
        </row>
        <row r="227">
          <cell r="A227" t="str">
            <v>Venezuela - Chinese employees - L0</v>
          </cell>
          <cell r="B227" t="str">
            <v>Current version</v>
          </cell>
          <cell r="C227" t="str">
            <v>V2009R2</v>
          </cell>
          <cell r="D227" t="str">
            <v>Labor Rate</v>
          </cell>
          <cell r="E227" t="str">
            <v>LA</v>
          </cell>
          <cell r="F227" t="str">
            <v>Northern South America Sub-Regional Division</v>
          </cell>
          <cell r="G227" t="str">
            <v>Venezuela Rep.O.</v>
          </cell>
          <cell r="H227" t="str">
            <v>6009</v>
          </cell>
          <cell r="I227" t="str">
            <v>委内瑞拉</v>
          </cell>
          <cell r="J227" t="str">
            <v>Venezuela</v>
          </cell>
          <cell r="K227" t="str">
            <v>Chinese employees</v>
          </cell>
          <cell r="L227" t="str">
            <v>L0</v>
          </cell>
          <cell r="M227" t="str">
            <v>ALL</v>
          </cell>
          <cell r="N227" t="str">
            <v>FLPC(含奖金)</v>
          </cell>
          <cell r="O227" t="str">
            <v>USD/小时</v>
          </cell>
          <cell r="P227">
            <v>61.84</v>
          </cell>
        </row>
        <row r="228">
          <cell r="A228" t="str">
            <v>Venezuela - Chinese employees - L1</v>
          </cell>
          <cell r="B228" t="str">
            <v>Current version</v>
          </cell>
          <cell r="C228" t="str">
            <v>V2009R2</v>
          </cell>
          <cell r="D228" t="str">
            <v>Labor Rate</v>
          </cell>
          <cell r="E228" t="str">
            <v>LA</v>
          </cell>
          <cell r="F228" t="str">
            <v>Northern South America Sub-Regional Division</v>
          </cell>
          <cell r="G228" t="str">
            <v>Venezuela Rep.O.</v>
          </cell>
          <cell r="H228" t="str">
            <v>6009</v>
          </cell>
          <cell r="I228" t="str">
            <v>委内瑞拉</v>
          </cell>
          <cell r="J228" t="str">
            <v>Venezuela</v>
          </cell>
          <cell r="K228" t="str">
            <v>Chinese employees</v>
          </cell>
          <cell r="L228" t="str">
            <v>L1</v>
          </cell>
          <cell r="M228" t="str">
            <v>ALL</v>
          </cell>
          <cell r="N228" t="str">
            <v>FLPC(含奖金)</v>
          </cell>
          <cell r="O228" t="str">
            <v>USD/小时</v>
          </cell>
          <cell r="P228">
            <v>68.099999999999994</v>
          </cell>
        </row>
        <row r="229">
          <cell r="A229" t="str">
            <v>Venezuela - Chinese employees - L2</v>
          </cell>
          <cell r="B229" t="str">
            <v>Current version</v>
          </cell>
          <cell r="C229" t="str">
            <v>V2009R2</v>
          </cell>
          <cell r="D229" t="str">
            <v>Labor Rate</v>
          </cell>
          <cell r="E229" t="str">
            <v>LA</v>
          </cell>
          <cell r="F229" t="str">
            <v>Northern South America Sub-Regional Division</v>
          </cell>
          <cell r="G229" t="str">
            <v>Venezuela Rep.O.</v>
          </cell>
          <cell r="H229" t="str">
            <v>6009</v>
          </cell>
          <cell r="I229" t="str">
            <v>委内瑞拉</v>
          </cell>
          <cell r="J229" t="str">
            <v>Venezuela</v>
          </cell>
          <cell r="K229" t="str">
            <v>Chinese employees</v>
          </cell>
          <cell r="L229" t="str">
            <v>L2</v>
          </cell>
          <cell r="M229" t="str">
            <v>ALL</v>
          </cell>
          <cell r="N229" t="str">
            <v>FLPC(含奖金)</v>
          </cell>
          <cell r="O229" t="str">
            <v>USD/小时</v>
          </cell>
          <cell r="P229">
            <v>76.209999999999994</v>
          </cell>
        </row>
        <row r="230">
          <cell r="A230" t="str">
            <v>Venezuela - Chinese employees - L3</v>
          </cell>
          <cell r="B230" t="str">
            <v>Current version</v>
          </cell>
          <cell r="C230" t="str">
            <v>V2009R2</v>
          </cell>
          <cell r="D230" t="str">
            <v>Labor Rate</v>
          </cell>
          <cell r="E230" t="str">
            <v>LA</v>
          </cell>
          <cell r="F230" t="str">
            <v>Northern South America Sub-Regional Division</v>
          </cell>
          <cell r="G230" t="str">
            <v>Venezuela Rep.O.</v>
          </cell>
          <cell r="H230" t="str">
            <v>6009</v>
          </cell>
          <cell r="I230" t="str">
            <v>委内瑞拉</v>
          </cell>
          <cell r="J230" t="str">
            <v>Venezuela</v>
          </cell>
          <cell r="K230" t="str">
            <v>Chinese employees</v>
          </cell>
          <cell r="L230" t="str">
            <v>L3</v>
          </cell>
          <cell r="M230" t="str">
            <v>ALL</v>
          </cell>
          <cell r="N230" t="str">
            <v>FLPC(含奖金)</v>
          </cell>
          <cell r="O230" t="str">
            <v>USD/小时</v>
          </cell>
          <cell r="P230">
            <v>87.81</v>
          </cell>
        </row>
        <row r="231">
          <cell r="A231" t="str">
            <v>Venezuela - Chinese employees - L4</v>
          </cell>
          <cell r="B231" t="str">
            <v>Current version</v>
          </cell>
          <cell r="C231" t="str">
            <v>V2009R2</v>
          </cell>
          <cell r="D231" t="str">
            <v>Labor Rate</v>
          </cell>
          <cell r="E231" t="str">
            <v>LA</v>
          </cell>
          <cell r="F231" t="str">
            <v>Northern South America Sub-Regional Division</v>
          </cell>
          <cell r="G231" t="str">
            <v>Venezuela Rep.O.</v>
          </cell>
          <cell r="H231" t="str">
            <v>6009</v>
          </cell>
          <cell r="I231" t="str">
            <v>委内瑞拉</v>
          </cell>
          <cell r="J231" t="str">
            <v>Venezuela</v>
          </cell>
          <cell r="K231" t="str">
            <v>Chinese employees</v>
          </cell>
          <cell r="L231" t="str">
            <v>L4</v>
          </cell>
          <cell r="M231" t="str">
            <v>ALL</v>
          </cell>
          <cell r="N231" t="str">
            <v>FLPC(含奖金)</v>
          </cell>
          <cell r="O231" t="str">
            <v>USD/小时</v>
          </cell>
          <cell r="P231">
            <v>129.62</v>
          </cell>
        </row>
        <row r="232">
          <cell r="A232" t="str">
            <v>Trinidad and Tobago - Chinese employees - L0</v>
          </cell>
          <cell r="B232" t="str">
            <v>Current version</v>
          </cell>
          <cell r="C232" t="str">
            <v>V2009R2</v>
          </cell>
          <cell r="D232" t="str">
            <v>Labor Rate</v>
          </cell>
          <cell r="E232" t="str">
            <v>LA</v>
          </cell>
          <cell r="F232" t="str">
            <v>Northern South America Sub-Regional Division</v>
          </cell>
          <cell r="G232" t="str">
            <v>Venezuela Rep.O.</v>
          </cell>
          <cell r="H232" t="str">
            <v>6022</v>
          </cell>
          <cell r="I232" t="str">
            <v>特立尼达和多巴哥</v>
          </cell>
          <cell r="J232" t="str">
            <v>Trinidad and Tobago</v>
          </cell>
          <cell r="K232" t="str">
            <v>Chinese employees</v>
          </cell>
          <cell r="L232" t="str">
            <v>L0</v>
          </cell>
          <cell r="M232" t="str">
            <v>ALL</v>
          </cell>
          <cell r="N232" t="str">
            <v>FLPC(含奖金)</v>
          </cell>
          <cell r="O232" t="str">
            <v>USD/小时</v>
          </cell>
          <cell r="P232">
            <v>56</v>
          </cell>
        </row>
        <row r="233">
          <cell r="A233" t="str">
            <v>Trinidad and Tobago - Chinese employees - L1</v>
          </cell>
          <cell r="B233" t="str">
            <v>Current version</v>
          </cell>
          <cell r="C233" t="str">
            <v>V2009R2</v>
          </cell>
          <cell r="D233" t="str">
            <v>Labor Rate</v>
          </cell>
          <cell r="E233" t="str">
            <v>LA</v>
          </cell>
          <cell r="F233" t="str">
            <v>Northern South America Sub-Regional Division</v>
          </cell>
          <cell r="G233" t="str">
            <v>Venezuela Rep.O.</v>
          </cell>
          <cell r="H233" t="str">
            <v>6022</v>
          </cell>
          <cell r="I233" t="str">
            <v>特立尼达和多巴哥</v>
          </cell>
          <cell r="J233" t="str">
            <v>Trinidad and Tobago</v>
          </cell>
          <cell r="K233" t="str">
            <v>Chinese employees</v>
          </cell>
          <cell r="L233" t="str">
            <v>L1</v>
          </cell>
          <cell r="M233" t="str">
            <v>ALL</v>
          </cell>
          <cell r="N233" t="str">
            <v>FLPC(含奖金)</v>
          </cell>
          <cell r="O233" t="str">
            <v>USD/小时</v>
          </cell>
          <cell r="P233">
            <v>62.26</v>
          </cell>
        </row>
        <row r="234">
          <cell r="A234" t="str">
            <v>Trinidad and Tobago - Chinese employees - L2</v>
          </cell>
          <cell r="B234" t="str">
            <v>Current version</v>
          </cell>
          <cell r="C234" t="str">
            <v>V2009R2</v>
          </cell>
          <cell r="D234" t="str">
            <v>Labor Rate</v>
          </cell>
          <cell r="E234" t="str">
            <v>LA</v>
          </cell>
          <cell r="F234" t="str">
            <v>Northern South America Sub-Regional Division</v>
          </cell>
          <cell r="G234" t="str">
            <v>Venezuela Rep.O.</v>
          </cell>
          <cell r="H234" t="str">
            <v>6022</v>
          </cell>
          <cell r="I234" t="str">
            <v>特立尼达和多巴哥</v>
          </cell>
          <cell r="J234" t="str">
            <v>Trinidad and Tobago</v>
          </cell>
          <cell r="K234" t="str">
            <v>Chinese employees</v>
          </cell>
          <cell r="L234" t="str">
            <v>L2</v>
          </cell>
          <cell r="M234" t="str">
            <v>ALL</v>
          </cell>
          <cell r="N234" t="str">
            <v>FLPC(含奖金)</v>
          </cell>
          <cell r="O234" t="str">
            <v>USD/小时</v>
          </cell>
          <cell r="P234">
            <v>70.37</v>
          </cell>
        </row>
        <row r="235">
          <cell r="A235" t="str">
            <v>Trinidad and Tobago - Chinese employees - L3</v>
          </cell>
          <cell r="B235" t="str">
            <v>Current version</v>
          </cell>
          <cell r="C235" t="str">
            <v>V2009R2</v>
          </cell>
          <cell r="D235" t="str">
            <v>Labor Rate</v>
          </cell>
          <cell r="E235" t="str">
            <v>LA</v>
          </cell>
          <cell r="F235" t="str">
            <v>Northern South America Sub-Regional Division</v>
          </cell>
          <cell r="G235" t="str">
            <v>Venezuela Rep.O.</v>
          </cell>
          <cell r="H235" t="str">
            <v>6022</v>
          </cell>
          <cell r="I235" t="str">
            <v>特立尼达和多巴哥</v>
          </cell>
          <cell r="J235" t="str">
            <v>Trinidad and Tobago</v>
          </cell>
          <cell r="K235" t="str">
            <v>Chinese employees</v>
          </cell>
          <cell r="L235" t="str">
            <v>L3</v>
          </cell>
          <cell r="M235" t="str">
            <v>ALL</v>
          </cell>
          <cell r="N235" t="str">
            <v>FLPC(含奖金)</v>
          </cell>
          <cell r="O235" t="str">
            <v>USD/小时</v>
          </cell>
          <cell r="P235">
            <v>81.97</v>
          </cell>
        </row>
        <row r="236">
          <cell r="A236" t="str">
            <v>Trinidad and Tobago - Chinese employees - L4</v>
          </cell>
          <cell r="B236" t="str">
            <v>Current version</v>
          </cell>
          <cell r="C236" t="str">
            <v>V2009R2</v>
          </cell>
          <cell r="D236" t="str">
            <v>Labor Rate</v>
          </cell>
          <cell r="E236" t="str">
            <v>LA</v>
          </cell>
          <cell r="F236" t="str">
            <v>Northern South America Sub-Regional Division</v>
          </cell>
          <cell r="G236" t="str">
            <v>Venezuela Rep.O.</v>
          </cell>
          <cell r="H236" t="str">
            <v>6022</v>
          </cell>
          <cell r="I236" t="str">
            <v>特立尼达和多巴哥</v>
          </cell>
          <cell r="J236" t="str">
            <v>Trinidad and Tobago</v>
          </cell>
          <cell r="K236" t="str">
            <v>Chinese employees</v>
          </cell>
          <cell r="L236" t="str">
            <v>L4</v>
          </cell>
          <cell r="M236" t="str">
            <v>ALL</v>
          </cell>
          <cell r="N236" t="str">
            <v>FLPC(含奖金)</v>
          </cell>
          <cell r="O236" t="str">
            <v>USD/小时</v>
          </cell>
          <cell r="P236">
            <v>123.77</v>
          </cell>
        </row>
        <row r="237">
          <cell r="A237" t="str">
            <v>Peru - Chinese employees - L0</v>
          </cell>
          <cell r="B237" t="str">
            <v>Current version</v>
          </cell>
          <cell r="C237" t="str">
            <v>V2009R2</v>
          </cell>
          <cell r="D237" t="str">
            <v>Labor Rate</v>
          </cell>
          <cell r="E237" t="str">
            <v>LA</v>
          </cell>
          <cell r="F237" t="str">
            <v>Northern South America Sub-Regional Division</v>
          </cell>
          <cell r="G237" t="str">
            <v>Peru/Ecuador Rep.O.</v>
          </cell>
          <cell r="H237" t="str">
            <v>6002</v>
          </cell>
          <cell r="I237" t="str">
            <v>秘鲁</v>
          </cell>
          <cell r="J237" t="str">
            <v>Peru</v>
          </cell>
          <cell r="K237" t="str">
            <v>Chinese employees</v>
          </cell>
          <cell r="L237" t="str">
            <v>L0</v>
          </cell>
          <cell r="M237" t="str">
            <v>ALL</v>
          </cell>
          <cell r="N237" t="str">
            <v>FLPC(含奖金)</v>
          </cell>
          <cell r="O237" t="str">
            <v>USD/小时</v>
          </cell>
          <cell r="P237">
            <v>51.37</v>
          </cell>
        </row>
        <row r="238">
          <cell r="A238" t="str">
            <v>Peru - Chinese employees - L1</v>
          </cell>
          <cell r="B238" t="str">
            <v>Current version</v>
          </cell>
          <cell r="C238" t="str">
            <v>V2009R2</v>
          </cell>
          <cell r="D238" t="str">
            <v>Labor Rate</v>
          </cell>
          <cell r="E238" t="str">
            <v>LA</v>
          </cell>
          <cell r="F238" t="str">
            <v>Northern South America Sub-Regional Division</v>
          </cell>
          <cell r="G238" t="str">
            <v>Peru/Ecuador Rep.O.</v>
          </cell>
          <cell r="H238" t="str">
            <v>6002</v>
          </cell>
          <cell r="I238" t="str">
            <v>秘鲁</v>
          </cell>
          <cell r="J238" t="str">
            <v>Peru</v>
          </cell>
          <cell r="K238" t="str">
            <v>Chinese employees</v>
          </cell>
          <cell r="L238" t="str">
            <v>L1</v>
          </cell>
          <cell r="M238" t="str">
            <v>ALL</v>
          </cell>
          <cell r="N238" t="str">
            <v>FLPC(含奖金)</v>
          </cell>
          <cell r="O238" t="str">
            <v>USD/小时</v>
          </cell>
          <cell r="P238">
            <v>58.15</v>
          </cell>
        </row>
        <row r="239">
          <cell r="A239" t="str">
            <v>Peru - Chinese employees - L2</v>
          </cell>
          <cell r="B239" t="str">
            <v>Current version</v>
          </cell>
          <cell r="C239" t="str">
            <v>V2009R2</v>
          </cell>
          <cell r="D239" t="str">
            <v>Labor Rate</v>
          </cell>
          <cell r="E239" t="str">
            <v>LA</v>
          </cell>
          <cell r="F239" t="str">
            <v>Northern South America Sub-Regional Division</v>
          </cell>
          <cell r="G239" t="str">
            <v>Peru/Ecuador Rep.O.</v>
          </cell>
          <cell r="H239" t="str">
            <v>6002</v>
          </cell>
          <cell r="I239" t="str">
            <v>秘鲁</v>
          </cell>
          <cell r="J239" t="str">
            <v>Peru</v>
          </cell>
          <cell r="K239" t="str">
            <v>Chinese employees</v>
          </cell>
          <cell r="L239" t="str">
            <v>L2</v>
          </cell>
          <cell r="M239" t="str">
            <v>ALL</v>
          </cell>
          <cell r="N239" t="str">
            <v>FLPC(含奖金)</v>
          </cell>
          <cell r="O239" t="str">
            <v>USD/小时</v>
          </cell>
          <cell r="P239">
            <v>68.13</v>
          </cell>
        </row>
        <row r="240">
          <cell r="A240" t="str">
            <v>Peru - Chinese employees - L3</v>
          </cell>
          <cell r="B240" t="str">
            <v>Current version</v>
          </cell>
          <cell r="C240" t="str">
            <v>V2009R2</v>
          </cell>
          <cell r="D240" t="str">
            <v>Labor Rate</v>
          </cell>
          <cell r="E240" t="str">
            <v>LA</v>
          </cell>
          <cell r="F240" t="str">
            <v>Northern South America Sub-Regional Division</v>
          </cell>
          <cell r="G240" t="str">
            <v>Peru/Ecuador Rep.O.</v>
          </cell>
          <cell r="H240" t="str">
            <v>6002</v>
          </cell>
          <cell r="I240" t="str">
            <v>秘鲁</v>
          </cell>
          <cell r="J240" t="str">
            <v>Peru</v>
          </cell>
          <cell r="K240" t="str">
            <v>Chinese employees</v>
          </cell>
          <cell r="L240" t="str">
            <v>L3</v>
          </cell>
          <cell r="M240" t="str">
            <v>ALL</v>
          </cell>
          <cell r="N240" t="str">
            <v>FLPC(含奖金)</v>
          </cell>
          <cell r="O240" t="str">
            <v>USD/小时</v>
          </cell>
          <cell r="P240">
            <v>81.900000000000006</v>
          </cell>
        </row>
        <row r="241">
          <cell r="A241" t="str">
            <v>Peru - Chinese employees - L4</v>
          </cell>
          <cell r="B241" t="str">
            <v>Current version</v>
          </cell>
          <cell r="C241" t="str">
            <v>V2009R2</v>
          </cell>
          <cell r="D241" t="str">
            <v>Labor Rate</v>
          </cell>
          <cell r="E241" t="str">
            <v>LA</v>
          </cell>
          <cell r="F241" t="str">
            <v>Northern South America Sub-Regional Division</v>
          </cell>
          <cell r="G241" t="str">
            <v>Peru/Ecuador Rep.O.</v>
          </cell>
          <cell r="H241" t="str">
            <v>6002</v>
          </cell>
          <cell r="I241" t="str">
            <v>秘鲁</v>
          </cell>
          <cell r="J241" t="str">
            <v>Peru</v>
          </cell>
          <cell r="K241" t="str">
            <v>Chinese employees</v>
          </cell>
          <cell r="L241" t="str">
            <v>L4</v>
          </cell>
          <cell r="M241" t="str">
            <v>ALL</v>
          </cell>
          <cell r="N241" t="str">
            <v>FLPC(含奖金)</v>
          </cell>
          <cell r="O241" t="str">
            <v>USD/小时</v>
          </cell>
          <cell r="P241">
            <v>125.84</v>
          </cell>
        </row>
        <row r="242">
          <cell r="A242" t="str">
            <v>Ecuador - Chinese employees - L0</v>
          </cell>
          <cell r="B242" t="str">
            <v>Current version</v>
          </cell>
          <cell r="C242" t="str">
            <v>V2009R2</v>
          </cell>
          <cell r="D242" t="str">
            <v>Labor Rate</v>
          </cell>
          <cell r="E242" t="str">
            <v>LA</v>
          </cell>
          <cell r="F242" t="str">
            <v>Northern South America Sub-Regional Division</v>
          </cell>
          <cell r="G242" t="str">
            <v>Peru/Ecuador Rep.O.</v>
          </cell>
          <cell r="H242" t="str">
            <v>6006</v>
          </cell>
          <cell r="I242" t="str">
            <v>厄瓜多尔</v>
          </cell>
          <cell r="J242" t="str">
            <v>Ecuador</v>
          </cell>
          <cell r="K242" t="str">
            <v>Chinese employees</v>
          </cell>
          <cell r="L242" t="str">
            <v>L0</v>
          </cell>
          <cell r="M242" t="str">
            <v>ALL</v>
          </cell>
          <cell r="N242" t="str">
            <v>FLPC(含奖金)</v>
          </cell>
          <cell r="O242" t="str">
            <v>USD/小时</v>
          </cell>
          <cell r="P242">
            <v>49.67</v>
          </cell>
        </row>
        <row r="243">
          <cell r="A243" t="str">
            <v>Ecuador - Chinese employees - L1</v>
          </cell>
          <cell r="B243" t="str">
            <v>Current version</v>
          </cell>
          <cell r="C243" t="str">
            <v>V2009R2</v>
          </cell>
          <cell r="D243" t="str">
            <v>Labor Rate</v>
          </cell>
          <cell r="E243" t="str">
            <v>LA</v>
          </cell>
          <cell r="F243" t="str">
            <v>Northern South America Sub-Regional Division</v>
          </cell>
          <cell r="G243" t="str">
            <v>Peru/Ecuador Rep.O.</v>
          </cell>
          <cell r="H243" t="str">
            <v>6006</v>
          </cell>
          <cell r="I243" t="str">
            <v>厄瓜多尔</v>
          </cell>
          <cell r="J243" t="str">
            <v>Ecuador</v>
          </cell>
          <cell r="K243" t="str">
            <v>Chinese employees</v>
          </cell>
          <cell r="L243" t="str">
            <v>L1</v>
          </cell>
          <cell r="M243" t="str">
            <v>ALL</v>
          </cell>
          <cell r="N243" t="str">
            <v>FLPC(含奖金)</v>
          </cell>
          <cell r="O243" t="str">
            <v>USD/小时</v>
          </cell>
          <cell r="P243">
            <v>55.68</v>
          </cell>
        </row>
        <row r="244">
          <cell r="A244" t="str">
            <v>Ecuador - Chinese employees - L2</v>
          </cell>
          <cell r="B244" t="str">
            <v>Current version</v>
          </cell>
          <cell r="C244" t="str">
            <v>V2009R2</v>
          </cell>
          <cell r="D244" t="str">
            <v>Labor Rate</v>
          </cell>
          <cell r="E244" t="str">
            <v>LA</v>
          </cell>
          <cell r="F244" t="str">
            <v>Northern South America Sub-Regional Division</v>
          </cell>
          <cell r="G244" t="str">
            <v>Peru/Ecuador Rep.O.</v>
          </cell>
          <cell r="H244" t="str">
            <v>6006</v>
          </cell>
          <cell r="I244" t="str">
            <v>厄瓜多尔</v>
          </cell>
          <cell r="J244" t="str">
            <v>Ecuador</v>
          </cell>
          <cell r="K244" t="str">
            <v>Chinese employees</v>
          </cell>
          <cell r="L244" t="str">
            <v>L2</v>
          </cell>
          <cell r="M244" t="str">
            <v>ALL</v>
          </cell>
          <cell r="N244" t="str">
            <v>FLPC(含奖金)</v>
          </cell>
          <cell r="O244" t="str">
            <v>USD/小时</v>
          </cell>
          <cell r="P244">
            <v>63.48</v>
          </cell>
        </row>
        <row r="245">
          <cell r="A245" t="str">
            <v>Ecuador - Chinese employees - L3</v>
          </cell>
          <cell r="B245" t="str">
            <v>Current version</v>
          </cell>
          <cell r="C245" t="str">
            <v>V2009R2</v>
          </cell>
          <cell r="D245" t="str">
            <v>Labor Rate</v>
          </cell>
          <cell r="E245" t="str">
            <v>LA</v>
          </cell>
          <cell r="F245" t="str">
            <v>Northern South America Sub-Regional Division</v>
          </cell>
          <cell r="G245" t="str">
            <v>Peru/Ecuador Rep.O.</v>
          </cell>
          <cell r="H245" t="str">
            <v>6006</v>
          </cell>
          <cell r="I245" t="str">
            <v>厄瓜多尔</v>
          </cell>
          <cell r="J245" t="str">
            <v>Ecuador</v>
          </cell>
          <cell r="K245" t="str">
            <v>Chinese employees</v>
          </cell>
          <cell r="L245" t="str">
            <v>L3</v>
          </cell>
          <cell r="M245" t="str">
            <v>ALL</v>
          </cell>
          <cell r="N245" t="str">
            <v>FLPC(含奖金)</v>
          </cell>
          <cell r="O245" t="str">
            <v>USD/小时</v>
          </cell>
          <cell r="P245">
            <v>74.64</v>
          </cell>
        </row>
        <row r="246">
          <cell r="A246" t="str">
            <v>Ecuador - Chinese employees - L4</v>
          </cell>
          <cell r="B246" t="str">
            <v>Current version</v>
          </cell>
          <cell r="C246" t="str">
            <v>V2009R2</v>
          </cell>
          <cell r="D246" t="str">
            <v>Labor Rate</v>
          </cell>
          <cell r="E246" t="str">
            <v>LA</v>
          </cell>
          <cell r="F246" t="str">
            <v>Northern South America Sub-Regional Division</v>
          </cell>
          <cell r="G246" t="str">
            <v>Peru/Ecuador Rep.O.</v>
          </cell>
          <cell r="H246" t="str">
            <v>6006</v>
          </cell>
          <cell r="I246" t="str">
            <v>厄瓜多尔</v>
          </cell>
          <cell r="J246" t="str">
            <v>Ecuador</v>
          </cell>
          <cell r="K246" t="str">
            <v>Chinese employees</v>
          </cell>
          <cell r="L246" t="str">
            <v>L4</v>
          </cell>
          <cell r="M246" t="str">
            <v>ALL</v>
          </cell>
          <cell r="N246" t="str">
            <v>FLPC(含奖金)</v>
          </cell>
          <cell r="O246" t="str">
            <v>USD/小时</v>
          </cell>
          <cell r="P246">
            <v>114.84</v>
          </cell>
        </row>
        <row r="247">
          <cell r="A247" t="str">
            <v>Bolivia - Chinese employees - L0</v>
          </cell>
          <cell r="B247" t="str">
            <v>Current version</v>
          </cell>
          <cell r="C247" t="str">
            <v>V2009R2</v>
          </cell>
          <cell r="D247" t="str">
            <v>Labor Rate</v>
          </cell>
          <cell r="E247" t="str">
            <v>LA</v>
          </cell>
          <cell r="F247" t="str">
            <v>Northern South America Sub-Regional Division</v>
          </cell>
          <cell r="G247" t="str">
            <v>Peru/Ecuador Rep.O.</v>
          </cell>
          <cell r="H247" t="str">
            <v>6017</v>
          </cell>
          <cell r="I247" t="str">
            <v>玻利维亚</v>
          </cell>
          <cell r="J247" t="str">
            <v>Bolivia</v>
          </cell>
          <cell r="K247" t="str">
            <v>Chinese employees</v>
          </cell>
          <cell r="L247" t="str">
            <v>L0</v>
          </cell>
          <cell r="M247" t="str">
            <v>ALL</v>
          </cell>
          <cell r="N247" t="str">
            <v>FLPC(含奖金)</v>
          </cell>
          <cell r="O247" t="str">
            <v>USD/小时</v>
          </cell>
          <cell r="P247">
            <v>58.34</v>
          </cell>
        </row>
        <row r="248">
          <cell r="A248" t="str">
            <v>Bolivia - Chinese employees - L1</v>
          </cell>
          <cell r="B248" t="str">
            <v>Current version</v>
          </cell>
          <cell r="C248" t="str">
            <v>V2009R2</v>
          </cell>
          <cell r="D248" t="str">
            <v>Labor Rate</v>
          </cell>
          <cell r="E248" t="str">
            <v>LA</v>
          </cell>
          <cell r="F248" t="str">
            <v>Northern South America Sub-Regional Division</v>
          </cell>
          <cell r="G248" t="str">
            <v>Peru/Ecuador Rep.O.</v>
          </cell>
          <cell r="H248" t="str">
            <v>6017</v>
          </cell>
          <cell r="I248" t="str">
            <v>玻利维亚</v>
          </cell>
          <cell r="J248" t="str">
            <v>Bolivia</v>
          </cell>
          <cell r="K248" t="str">
            <v>Chinese employees</v>
          </cell>
          <cell r="L248" t="str">
            <v>L1</v>
          </cell>
          <cell r="M248" t="str">
            <v>ALL</v>
          </cell>
          <cell r="N248" t="str">
            <v>FLPC(含奖金)</v>
          </cell>
          <cell r="O248" t="str">
            <v>USD/小时</v>
          </cell>
          <cell r="P248">
            <v>65.59</v>
          </cell>
        </row>
        <row r="249">
          <cell r="A249" t="str">
            <v>Bolivia - Chinese employees - L2</v>
          </cell>
          <cell r="B249" t="str">
            <v>Current version</v>
          </cell>
          <cell r="C249" t="str">
            <v>V2009R2</v>
          </cell>
          <cell r="D249" t="str">
            <v>Labor Rate</v>
          </cell>
          <cell r="E249" t="str">
            <v>LA</v>
          </cell>
          <cell r="F249" t="str">
            <v>Northern South America Sub-Regional Division</v>
          </cell>
          <cell r="G249" t="str">
            <v>Peru/Ecuador Rep.O.</v>
          </cell>
          <cell r="H249" t="str">
            <v>6017</v>
          </cell>
          <cell r="I249" t="str">
            <v>玻利维亚</v>
          </cell>
          <cell r="J249" t="str">
            <v>Bolivia</v>
          </cell>
          <cell r="K249" t="str">
            <v>Chinese employees</v>
          </cell>
          <cell r="L249" t="str">
            <v>L2</v>
          </cell>
          <cell r="M249" t="str">
            <v>ALL</v>
          </cell>
          <cell r="N249" t="str">
            <v>FLPC(含奖金)</v>
          </cell>
          <cell r="O249" t="str">
            <v>USD/小时</v>
          </cell>
          <cell r="P249">
            <v>75.06</v>
          </cell>
        </row>
        <row r="250">
          <cell r="A250" t="str">
            <v>Bolivia - Chinese employees - L3</v>
          </cell>
          <cell r="B250" t="str">
            <v>Current version</v>
          </cell>
          <cell r="C250" t="str">
            <v>V2009R2</v>
          </cell>
          <cell r="D250" t="str">
            <v>Labor Rate</v>
          </cell>
          <cell r="E250" t="str">
            <v>LA</v>
          </cell>
          <cell r="F250" t="str">
            <v>Northern South America Sub-Regional Division</v>
          </cell>
          <cell r="G250" t="str">
            <v>Peru/Ecuador Rep.O.</v>
          </cell>
          <cell r="H250" t="str">
            <v>6017</v>
          </cell>
          <cell r="I250" t="str">
            <v>玻利维亚</v>
          </cell>
          <cell r="J250" t="str">
            <v>Bolivia</v>
          </cell>
          <cell r="K250" t="str">
            <v>Chinese employees</v>
          </cell>
          <cell r="L250" t="str">
            <v>L3</v>
          </cell>
          <cell r="M250" t="str">
            <v>ALL</v>
          </cell>
          <cell r="N250" t="str">
            <v>FLPC(含奖金)</v>
          </cell>
          <cell r="O250" t="str">
            <v>USD/小时</v>
          </cell>
          <cell r="P250">
            <v>84.51</v>
          </cell>
        </row>
        <row r="251">
          <cell r="A251" t="str">
            <v>Bolivia - Chinese employees - L4</v>
          </cell>
          <cell r="B251" t="str">
            <v>Current version</v>
          </cell>
          <cell r="C251" t="str">
            <v>V2009R2</v>
          </cell>
          <cell r="D251" t="str">
            <v>Labor Rate</v>
          </cell>
          <cell r="E251" t="str">
            <v>LA</v>
          </cell>
          <cell r="F251" t="str">
            <v>Northern South America Sub-Regional Division</v>
          </cell>
          <cell r="G251" t="str">
            <v>Peru/Ecuador Rep.O.</v>
          </cell>
          <cell r="H251" t="str">
            <v>6017</v>
          </cell>
          <cell r="I251" t="str">
            <v>玻利维亚</v>
          </cell>
          <cell r="J251" t="str">
            <v>Bolivia</v>
          </cell>
          <cell r="K251" t="str">
            <v>Chinese employees</v>
          </cell>
          <cell r="L251" t="str">
            <v>L4</v>
          </cell>
          <cell r="M251" t="str">
            <v>ALL</v>
          </cell>
          <cell r="N251" t="str">
            <v>FLPC(含奖金)</v>
          </cell>
          <cell r="O251" t="str">
            <v>USD/小时</v>
          </cell>
          <cell r="P251">
            <v>126.65</v>
          </cell>
        </row>
        <row r="252">
          <cell r="A252" t="str">
            <v>Colombia - Chinese employees - L0</v>
          </cell>
          <cell r="B252" t="str">
            <v>Current version</v>
          </cell>
          <cell r="C252" t="str">
            <v>V2009R2</v>
          </cell>
          <cell r="D252" t="str">
            <v>Labor Rate</v>
          </cell>
          <cell r="E252" t="str">
            <v>LA</v>
          </cell>
          <cell r="F252" t="str">
            <v>Northern South America Sub-Regional Division</v>
          </cell>
          <cell r="G252" t="str">
            <v>Colombia Rep.O.</v>
          </cell>
          <cell r="H252" t="str">
            <v>6005</v>
          </cell>
          <cell r="I252" t="str">
            <v>哥伦比亚</v>
          </cell>
          <cell r="J252" t="str">
            <v>Colombia</v>
          </cell>
          <cell r="K252" t="str">
            <v>Chinese employees</v>
          </cell>
          <cell r="L252" t="str">
            <v>L0</v>
          </cell>
          <cell r="M252" t="str">
            <v>ALL</v>
          </cell>
          <cell r="N252" t="str">
            <v>FLPC(含奖金)</v>
          </cell>
          <cell r="O252" t="str">
            <v>USD/小时</v>
          </cell>
          <cell r="P252">
            <v>53.14</v>
          </cell>
        </row>
        <row r="253">
          <cell r="A253" t="str">
            <v>Algeria - Chinese employees - L3</v>
          </cell>
          <cell r="B253" t="str">
            <v>Current version</v>
          </cell>
          <cell r="C253" t="str">
            <v>V2009R2</v>
          </cell>
          <cell r="D253" t="str">
            <v>Labor Rate</v>
          </cell>
          <cell r="E253" t="str">
            <v>MENA</v>
          </cell>
          <cell r="F253" t="str">
            <v>Northern Africa Sub-Regional Division</v>
          </cell>
          <cell r="G253" t="str">
            <v>Algeria</v>
          </cell>
          <cell r="H253" t="str">
            <v>4998</v>
          </cell>
          <cell r="I253" t="str">
            <v>阿尔及利亚</v>
          </cell>
          <cell r="J253" t="str">
            <v>Algeria</v>
          </cell>
          <cell r="K253" t="str">
            <v>Chinese employees</v>
          </cell>
          <cell r="L253" t="str">
            <v>L3</v>
          </cell>
          <cell r="M253" t="str">
            <v>ALL</v>
          </cell>
          <cell r="N253" t="str">
            <v>FLPC(含奖金)</v>
          </cell>
          <cell r="O253" t="str">
            <v>USD/小时</v>
          </cell>
          <cell r="P253">
            <v>63.91</v>
          </cell>
        </row>
        <row r="254">
          <cell r="A254" t="str">
            <v>Algeria - Chinese employees - L4</v>
          </cell>
          <cell r="B254" t="str">
            <v>Current version</v>
          </cell>
          <cell r="C254" t="str">
            <v>V2009R2</v>
          </cell>
          <cell r="D254" t="str">
            <v>Labor Rate</v>
          </cell>
          <cell r="E254" t="str">
            <v>MENA</v>
          </cell>
          <cell r="F254" t="str">
            <v>Northern Africa Sub-Regional Division</v>
          </cell>
          <cell r="G254" t="str">
            <v>Algeria</v>
          </cell>
          <cell r="H254" t="str">
            <v>4998</v>
          </cell>
          <cell r="I254" t="str">
            <v>阿尔及利亚</v>
          </cell>
          <cell r="J254" t="str">
            <v>Algeria</v>
          </cell>
          <cell r="K254" t="str">
            <v>Chinese employees</v>
          </cell>
          <cell r="L254" t="str">
            <v>L4</v>
          </cell>
          <cell r="M254" t="str">
            <v>ALL</v>
          </cell>
          <cell r="N254" t="str">
            <v>FLPC(含奖金)</v>
          </cell>
          <cell r="O254" t="str">
            <v>USD/小时</v>
          </cell>
          <cell r="P254">
            <v>101.99</v>
          </cell>
        </row>
        <row r="255">
          <cell r="A255" t="str">
            <v>Cyprus - Chinese employees - L0</v>
          </cell>
          <cell r="B255" t="str">
            <v>Current version</v>
          </cell>
          <cell r="C255" t="str">
            <v>V2009R2</v>
          </cell>
          <cell r="D255" t="str">
            <v>Labor Rate</v>
          </cell>
          <cell r="E255" t="str">
            <v>MENA</v>
          </cell>
          <cell r="F255" t="str">
            <v>Northern Africa Sub-Regional Division</v>
          </cell>
          <cell r="G255" t="str">
            <v>Syria</v>
          </cell>
          <cell r="H255" t="str">
            <v>3615</v>
          </cell>
          <cell r="I255" t="str">
            <v>塞浦路斯</v>
          </cell>
          <cell r="J255" t="str">
            <v>Cyprus</v>
          </cell>
          <cell r="K255" t="str">
            <v>Chinese employees</v>
          </cell>
          <cell r="L255" t="str">
            <v>L0</v>
          </cell>
          <cell r="M255" t="str">
            <v>ALL</v>
          </cell>
          <cell r="N255" t="str">
            <v>FLPC(含奖金)</v>
          </cell>
          <cell r="O255" t="str">
            <v>USD/小时</v>
          </cell>
          <cell r="P255">
            <v>38.72</v>
          </cell>
        </row>
        <row r="256">
          <cell r="A256" t="str">
            <v>Cyprus - Chinese employees - L1</v>
          </cell>
          <cell r="B256" t="str">
            <v>Current version</v>
          </cell>
          <cell r="C256" t="str">
            <v>V2009R2</v>
          </cell>
          <cell r="D256" t="str">
            <v>Labor Rate</v>
          </cell>
          <cell r="E256" t="str">
            <v>MENA</v>
          </cell>
          <cell r="F256" t="str">
            <v>Northern Africa Sub-Regional Division</v>
          </cell>
          <cell r="G256" t="str">
            <v>Syria</v>
          </cell>
          <cell r="H256" t="str">
            <v>3615</v>
          </cell>
          <cell r="I256" t="str">
            <v>塞浦路斯</v>
          </cell>
          <cell r="J256" t="str">
            <v>Cyprus</v>
          </cell>
          <cell r="K256" t="str">
            <v>Chinese employees</v>
          </cell>
          <cell r="L256" t="str">
            <v>L1</v>
          </cell>
          <cell r="M256" t="str">
            <v>ALL</v>
          </cell>
          <cell r="N256" t="str">
            <v>FLPC(含奖金)</v>
          </cell>
          <cell r="O256" t="str">
            <v>USD/小时</v>
          </cell>
          <cell r="P256">
            <v>51.4</v>
          </cell>
        </row>
        <row r="257">
          <cell r="A257" t="str">
            <v>Cyprus - Chinese employees - L2</v>
          </cell>
          <cell r="B257" t="str">
            <v>Current version</v>
          </cell>
          <cell r="C257" t="str">
            <v>V2009R2</v>
          </cell>
          <cell r="D257" t="str">
            <v>Labor Rate</v>
          </cell>
          <cell r="E257" t="str">
            <v>MENA</v>
          </cell>
          <cell r="F257" t="str">
            <v>Northern Africa Sub-Regional Division</v>
          </cell>
          <cell r="G257" t="str">
            <v>Syria</v>
          </cell>
          <cell r="H257" t="str">
            <v>3615</v>
          </cell>
          <cell r="I257" t="str">
            <v>塞浦路斯</v>
          </cell>
          <cell r="J257" t="str">
            <v>Cyprus</v>
          </cell>
          <cell r="K257" t="str">
            <v>Chinese employees</v>
          </cell>
          <cell r="L257" t="str">
            <v>L2</v>
          </cell>
          <cell r="M257" t="str">
            <v>ALL</v>
          </cell>
          <cell r="N257" t="str">
            <v>FLPC(含奖金)</v>
          </cell>
          <cell r="O257" t="str">
            <v>USD/小时</v>
          </cell>
          <cell r="P257">
            <v>52.23</v>
          </cell>
        </row>
        <row r="258">
          <cell r="A258" t="str">
            <v>Cyprus - Chinese employees - L3</v>
          </cell>
          <cell r="B258" t="str">
            <v>Current version</v>
          </cell>
          <cell r="C258" t="str">
            <v>V2009R2</v>
          </cell>
          <cell r="D258" t="str">
            <v>Labor Rate</v>
          </cell>
          <cell r="E258" t="str">
            <v>MENA</v>
          </cell>
          <cell r="F258" t="str">
            <v>Northern Africa Sub-Regional Division</v>
          </cell>
          <cell r="G258" t="str">
            <v>Syria</v>
          </cell>
          <cell r="H258" t="str">
            <v>3615</v>
          </cell>
          <cell r="I258" t="str">
            <v>塞浦路斯</v>
          </cell>
          <cell r="J258" t="str">
            <v>Cyprus</v>
          </cell>
          <cell r="K258" t="str">
            <v>Chinese employees</v>
          </cell>
          <cell r="L258" t="str">
            <v>L3</v>
          </cell>
          <cell r="M258" t="str">
            <v>ALL</v>
          </cell>
          <cell r="N258" t="str">
            <v>FLPC(含奖金)</v>
          </cell>
          <cell r="O258" t="str">
            <v>USD/小时</v>
          </cell>
          <cell r="P258">
            <v>63.14</v>
          </cell>
        </row>
        <row r="259">
          <cell r="A259" t="str">
            <v>Cyprus - Chinese employees - L4</v>
          </cell>
          <cell r="B259" t="str">
            <v>Current version</v>
          </cell>
          <cell r="C259" t="str">
            <v>V2009R2</v>
          </cell>
          <cell r="D259" t="str">
            <v>Labor Rate</v>
          </cell>
          <cell r="E259" t="str">
            <v>MENA</v>
          </cell>
          <cell r="F259" t="str">
            <v>Northern Africa Sub-Regional Division</v>
          </cell>
          <cell r="G259" t="str">
            <v>Syria</v>
          </cell>
          <cell r="H259" t="str">
            <v>3615</v>
          </cell>
          <cell r="I259" t="str">
            <v>塞浦路斯</v>
          </cell>
          <cell r="J259" t="str">
            <v>Cyprus</v>
          </cell>
          <cell r="K259" t="str">
            <v>Chinese employees</v>
          </cell>
          <cell r="L259" t="str">
            <v>L4</v>
          </cell>
          <cell r="M259" t="str">
            <v>ALL</v>
          </cell>
          <cell r="N259" t="str">
            <v>FLPC(含奖金)</v>
          </cell>
          <cell r="O259" t="str">
            <v>USD/小时</v>
          </cell>
          <cell r="P259">
            <v>102.46</v>
          </cell>
        </row>
        <row r="260">
          <cell r="A260" t="str">
            <v>Yemen - Chinese employees - L0</v>
          </cell>
          <cell r="B260" t="str">
            <v>Current version</v>
          </cell>
          <cell r="C260" t="str">
            <v>V2009R2</v>
          </cell>
          <cell r="D260" t="str">
            <v>Labor Rate</v>
          </cell>
          <cell r="E260" t="str">
            <v>MENA</v>
          </cell>
          <cell r="F260" t="str">
            <v>Northern Africa Sub-Regional Division</v>
          </cell>
          <cell r="G260" t="str">
            <v>Yemen Rep.O.</v>
          </cell>
          <cell r="H260" t="str">
            <v>5007</v>
          </cell>
          <cell r="I260" t="str">
            <v>也门</v>
          </cell>
          <cell r="J260" t="str">
            <v>Yemen</v>
          </cell>
          <cell r="K260" t="str">
            <v>Chinese employees</v>
          </cell>
          <cell r="L260" t="str">
            <v>L0</v>
          </cell>
          <cell r="M260" t="str">
            <v>ALL</v>
          </cell>
          <cell r="N260" t="str">
            <v>FLPC(含奖金)</v>
          </cell>
          <cell r="O260" t="str">
            <v>USD/小时</v>
          </cell>
          <cell r="P260">
            <v>38.53</v>
          </cell>
        </row>
        <row r="261">
          <cell r="A261" t="str">
            <v>Yemen - Chinese employees - L1</v>
          </cell>
          <cell r="B261" t="str">
            <v>Current version</v>
          </cell>
          <cell r="C261" t="str">
            <v>V2009R2</v>
          </cell>
          <cell r="D261" t="str">
            <v>Labor Rate</v>
          </cell>
          <cell r="E261" t="str">
            <v>MENA</v>
          </cell>
          <cell r="F261" t="str">
            <v>Northern Africa Sub-Regional Division</v>
          </cell>
          <cell r="G261" t="str">
            <v>Yemen Rep.O.</v>
          </cell>
          <cell r="H261" t="str">
            <v>5007</v>
          </cell>
          <cell r="I261" t="str">
            <v>也门</v>
          </cell>
          <cell r="J261" t="str">
            <v>Yemen</v>
          </cell>
          <cell r="K261" t="str">
            <v>Chinese employees</v>
          </cell>
          <cell r="L261" t="str">
            <v>L1</v>
          </cell>
          <cell r="M261" t="str">
            <v>ALL</v>
          </cell>
          <cell r="N261" t="str">
            <v>FLPC(含奖金)</v>
          </cell>
          <cell r="O261" t="str">
            <v>USD/小时</v>
          </cell>
          <cell r="P261">
            <v>44.71</v>
          </cell>
        </row>
        <row r="262">
          <cell r="A262" t="str">
            <v>Yemen - Chinese employees - L2</v>
          </cell>
          <cell r="B262" t="str">
            <v>Current version</v>
          </cell>
          <cell r="C262" t="str">
            <v>V2009R2</v>
          </cell>
          <cell r="D262" t="str">
            <v>Labor Rate</v>
          </cell>
          <cell r="E262" t="str">
            <v>MENA</v>
          </cell>
          <cell r="F262" t="str">
            <v>Northern Africa Sub-Regional Division</v>
          </cell>
          <cell r="G262" t="str">
            <v>Yemen Rep.O.</v>
          </cell>
          <cell r="H262" t="str">
            <v>5007</v>
          </cell>
          <cell r="I262" t="str">
            <v>也门</v>
          </cell>
          <cell r="J262" t="str">
            <v>Yemen</v>
          </cell>
          <cell r="K262" t="str">
            <v>Chinese employees</v>
          </cell>
          <cell r="L262" t="str">
            <v>L2</v>
          </cell>
          <cell r="M262" t="str">
            <v>ALL</v>
          </cell>
          <cell r="N262" t="str">
            <v>FLPC(含奖金)</v>
          </cell>
          <cell r="O262" t="str">
            <v>USD/小时</v>
          </cell>
          <cell r="P262">
            <v>51.85</v>
          </cell>
        </row>
        <row r="263">
          <cell r="A263" t="str">
            <v>Yemen - Chinese employees - L3</v>
          </cell>
          <cell r="B263" t="str">
            <v>Current version</v>
          </cell>
          <cell r="C263" t="str">
            <v>V2009R2</v>
          </cell>
          <cell r="D263" t="str">
            <v>Labor Rate</v>
          </cell>
          <cell r="E263" t="str">
            <v>MENA</v>
          </cell>
          <cell r="F263" t="str">
            <v>Northern Africa Sub-Regional Division</v>
          </cell>
          <cell r="G263" t="str">
            <v>Yemen Rep.O.</v>
          </cell>
          <cell r="H263" t="str">
            <v>5007</v>
          </cell>
          <cell r="I263" t="str">
            <v>也门</v>
          </cell>
          <cell r="J263" t="str">
            <v>Yemen</v>
          </cell>
          <cell r="K263" t="str">
            <v>Chinese employees</v>
          </cell>
          <cell r="L263" t="str">
            <v>L3</v>
          </cell>
          <cell r="M263" t="str">
            <v>ALL</v>
          </cell>
          <cell r="N263" t="str">
            <v>FLPC(含奖金)</v>
          </cell>
          <cell r="O263" t="str">
            <v>USD/小时</v>
          </cell>
          <cell r="P263">
            <v>62.17</v>
          </cell>
        </row>
        <row r="264">
          <cell r="A264" t="str">
            <v>Yemen - Chinese employees - L4</v>
          </cell>
          <cell r="B264" t="str">
            <v>Current version</v>
          </cell>
          <cell r="C264" t="str">
            <v>V2009R2</v>
          </cell>
          <cell r="D264" t="str">
            <v>Labor Rate</v>
          </cell>
          <cell r="E264" t="str">
            <v>MENA</v>
          </cell>
          <cell r="F264" t="str">
            <v>Northern Africa Sub-Regional Division</v>
          </cell>
          <cell r="G264" t="str">
            <v>Yemen Rep.O.</v>
          </cell>
          <cell r="H264" t="str">
            <v>5007</v>
          </cell>
          <cell r="I264" t="str">
            <v>也门</v>
          </cell>
          <cell r="J264" t="str">
            <v>Yemen</v>
          </cell>
          <cell r="K264" t="str">
            <v>Chinese employees</v>
          </cell>
          <cell r="L264" t="str">
            <v>L4</v>
          </cell>
          <cell r="M264" t="str">
            <v>ALL</v>
          </cell>
          <cell r="N264" t="str">
            <v>FLPC(含奖金)</v>
          </cell>
          <cell r="O264" t="str">
            <v>USD/小时</v>
          </cell>
          <cell r="P264">
            <v>99.18</v>
          </cell>
        </row>
        <row r="265">
          <cell r="A265" t="str">
            <v>Eritrea - Chinese employees - L0</v>
          </cell>
          <cell r="B265" t="str">
            <v>Current version</v>
          </cell>
          <cell r="C265" t="str">
            <v>V2009R2</v>
          </cell>
          <cell r="D265" t="str">
            <v>Labor Rate</v>
          </cell>
          <cell r="E265" t="str">
            <v>MENA</v>
          </cell>
          <cell r="F265" t="str">
            <v>Northern Africa Sub-Regional Division</v>
          </cell>
          <cell r="G265" t="str">
            <v>Yemen Rep.O.</v>
          </cell>
          <cell r="H265" t="str">
            <v>5019</v>
          </cell>
          <cell r="I265" t="str">
            <v>厄立特里亚</v>
          </cell>
          <cell r="J265" t="str">
            <v>Eritrea</v>
          </cell>
          <cell r="K265" t="str">
            <v>Chinese employees</v>
          </cell>
          <cell r="L265" t="str">
            <v>L0</v>
          </cell>
          <cell r="M265" t="str">
            <v>ALL</v>
          </cell>
          <cell r="N265" t="str">
            <v>FLPC(含奖金)</v>
          </cell>
          <cell r="O265" t="str">
            <v>USD/小时</v>
          </cell>
          <cell r="P265">
            <v>38.53</v>
          </cell>
        </row>
        <row r="266">
          <cell r="A266" t="str">
            <v>Eritrea - Chinese employees - L1</v>
          </cell>
          <cell r="B266" t="str">
            <v>Current version</v>
          </cell>
          <cell r="C266" t="str">
            <v>V2009R2</v>
          </cell>
          <cell r="D266" t="str">
            <v>Labor Rate</v>
          </cell>
          <cell r="E266" t="str">
            <v>MENA</v>
          </cell>
          <cell r="F266" t="str">
            <v>Northern Africa Sub-Regional Division</v>
          </cell>
          <cell r="G266" t="str">
            <v>Yemen Rep.O.</v>
          </cell>
          <cell r="H266" t="str">
            <v>5019</v>
          </cell>
          <cell r="I266" t="str">
            <v>厄立特里亚</v>
          </cell>
          <cell r="J266" t="str">
            <v>Eritrea</v>
          </cell>
          <cell r="K266" t="str">
            <v>Chinese employees</v>
          </cell>
          <cell r="L266" t="str">
            <v>L1</v>
          </cell>
          <cell r="M266" t="str">
            <v>ALL</v>
          </cell>
          <cell r="N266" t="str">
            <v>FLPC(含奖金)</v>
          </cell>
          <cell r="O266" t="str">
            <v>USD/小时</v>
          </cell>
          <cell r="P266">
            <v>44.04</v>
          </cell>
        </row>
        <row r="267">
          <cell r="A267" t="str">
            <v>Eritrea - Chinese employees - L2</v>
          </cell>
          <cell r="B267" t="str">
            <v>Current version</v>
          </cell>
          <cell r="C267" t="str">
            <v>V2009R2</v>
          </cell>
          <cell r="D267" t="str">
            <v>Labor Rate</v>
          </cell>
          <cell r="E267" t="str">
            <v>MENA</v>
          </cell>
          <cell r="F267" t="str">
            <v>Northern Africa Sub-Regional Division</v>
          </cell>
          <cell r="G267" t="str">
            <v>Yemen Rep.O.</v>
          </cell>
          <cell r="H267" t="str">
            <v>5019</v>
          </cell>
          <cell r="I267" t="str">
            <v>厄立特里亚</v>
          </cell>
          <cell r="J267" t="str">
            <v>Eritrea</v>
          </cell>
          <cell r="K267" t="str">
            <v>Chinese employees</v>
          </cell>
          <cell r="L267" t="str">
            <v>L2</v>
          </cell>
          <cell r="M267" t="str">
            <v>ALL</v>
          </cell>
          <cell r="N267" t="str">
            <v>FLPC(含奖金)</v>
          </cell>
          <cell r="O267" t="str">
            <v>USD/小时</v>
          </cell>
          <cell r="P267">
            <v>51.17</v>
          </cell>
        </row>
        <row r="268">
          <cell r="A268" t="str">
            <v>Eritrea - Chinese employees - L3</v>
          </cell>
          <cell r="B268" t="str">
            <v>Current version</v>
          </cell>
          <cell r="C268" t="str">
            <v>V2009R2</v>
          </cell>
          <cell r="D268" t="str">
            <v>Labor Rate</v>
          </cell>
          <cell r="E268" t="str">
            <v>MENA</v>
          </cell>
          <cell r="F268" t="str">
            <v>Northern Africa Sub-Regional Division</v>
          </cell>
          <cell r="G268" t="str">
            <v>Yemen Rep.O.</v>
          </cell>
          <cell r="H268" t="str">
            <v>5019</v>
          </cell>
          <cell r="I268" t="str">
            <v>厄立特里亚</v>
          </cell>
          <cell r="J268" t="str">
            <v>Eritrea</v>
          </cell>
          <cell r="K268" t="str">
            <v>Chinese employees</v>
          </cell>
          <cell r="L268" t="str">
            <v>L3</v>
          </cell>
          <cell r="M268" t="str">
            <v>ALL</v>
          </cell>
          <cell r="N268" t="str">
            <v>FLPC(含奖金)</v>
          </cell>
          <cell r="O268" t="str">
            <v>USD/小时</v>
          </cell>
          <cell r="P268">
            <v>61.38</v>
          </cell>
        </row>
        <row r="269">
          <cell r="A269" t="str">
            <v>Eritrea - Chinese employees - L4</v>
          </cell>
          <cell r="B269" t="str">
            <v>Current version</v>
          </cell>
          <cell r="C269" t="str">
            <v>V2009R2</v>
          </cell>
          <cell r="D269" t="str">
            <v>Labor Rate</v>
          </cell>
          <cell r="E269" t="str">
            <v>MENA</v>
          </cell>
          <cell r="F269" t="str">
            <v>Northern Africa Sub-Regional Division</v>
          </cell>
          <cell r="G269" t="str">
            <v>Yemen Rep.O.</v>
          </cell>
          <cell r="H269" t="str">
            <v>5019</v>
          </cell>
          <cell r="I269" t="str">
            <v>厄立特里亚</v>
          </cell>
          <cell r="J269" t="str">
            <v>Eritrea</v>
          </cell>
          <cell r="K269" t="str">
            <v>Chinese employees</v>
          </cell>
          <cell r="L269" t="str">
            <v>L4</v>
          </cell>
          <cell r="M269" t="str">
            <v>ALL</v>
          </cell>
          <cell r="N269" t="str">
            <v>FLPC(含奖金)</v>
          </cell>
          <cell r="O269" t="str">
            <v>USD/小时</v>
          </cell>
          <cell r="P269">
            <v>98.17</v>
          </cell>
        </row>
        <row r="270">
          <cell r="A270" t="str">
            <v>Syria - Chinese employees - L0</v>
          </cell>
          <cell r="B270" t="str">
            <v>Current version</v>
          </cell>
          <cell r="C270" t="str">
            <v>V2009R2</v>
          </cell>
          <cell r="D270" t="str">
            <v>Labor Rate</v>
          </cell>
          <cell r="E270" t="str">
            <v>MENA</v>
          </cell>
          <cell r="F270" t="str">
            <v>Northern Africa Sub-Regional Division</v>
          </cell>
          <cell r="G270" t="str">
            <v>Syria</v>
          </cell>
          <cell r="H270" t="str">
            <v>5003</v>
          </cell>
          <cell r="I270" t="str">
            <v>A7叙利亚</v>
          </cell>
          <cell r="J270" t="str">
            <v>Syria</v>
          </cell>
          <cell r="K270" t="str">
            <v>Chinese employees</v>
          </cell>
          <cell r="L270" t="str">
            <v>L0</v>
          </cell>
          <cell r="M270" t="str">
            <v>ALL</v>
          </cell>
          <cell r="N270" t="str">
            <v>FLPC(含奖金)</v>
          </cell>
          <cell r="O270" t="str">
            <v>USD/小时</v>
          </cell>
          <cell r="P270">
            <v>41.96</v>
          </cell>
        </row>
        <row r="271">
          <cell r="A271" t="str">
            <v>Syria - Chinese employees - L1</v>
          </cell>
          <cell r="B271" t="str">
            <v>Current version</v>
          </cell>
          <cell r="C271" t="str">
            <v>V2009R2</v>
          </cell>
          <cell r="D271" t="str">
            <v>Labor Rate</v>
          </cell>
          <cell r="E271" t="str">
            <v>MENA</v>
          </cell>
          <cell r="F271" t="str">
            <v>Northern Africa Sub-Regional Division</v>
          </cell>
          <cell r="G271" t="str">
            <v>Syria</v>
          </cell>
          <cell r="H271" t="str">
            <v>5003</v>
          </cell>
          <cell r="I271" t="str">
            <v>A7叙利亚</v>
          </cell>
          <cell r="J271" t="str">
            <v>Syria</v>
          </cell>
          <cell r="K271" t="str">
            <v>Chinese employees</v>
          </cell>
          <cell r="L271" t="str">
            <v>L1</v>
          </cell>
          <cell r="M271" t="str">
            <v>ALL</v>
          </cell>
          <cell r="N271" t="str">
            <v>FLPC(含奖金)</v>
          </cell>
          <cell r="O271" t="str">
            <v>USD/小时</v>
          </cell>
          <cell r="P271">
            <v>47.84</v>
          </cell>
        </row>
        <row r="272">
          <cell r="A272" t="str">
            <v>Syria - Chinese employees - L2</v>
          </cell>
          <cell r="B272" t="str">
            <v>Current version</v>
          </cell>
          <cell r="C272" t="str">
            <v>V2009R2</v>
          </cell>
          <cell r="D272" t="str">
            <v>Labor Rate</v>
          </cell>
          <cell r="E272" t="str">
            <v>MENA</v>
          </cell>
          <cell r="F272" t="str">
            <v>Northern Africa Sub-Regional Division</v>
          </cell>
          <cell r="G272" t="str">
            <v>Syria</v>
          </cell>
          <cell r="H272" t="str">
            <v>5003</v>
          </cell>
          <cell r="I272" t="str">
            <v>A7叙利亚</v>
          </cell>
          <cell r="J272" t="str">
            <v>Syria</v>
          </cell>
          <cell r="K272" t="str">
            <v>Chinese employees</v>
          </cell>
          <cell r="L272" t="str">
            <v>L2</v>
          </cell>
          <cell r="M272" t="str">
            <v>ALL</v>
          </cell>
          <cell r="N272" t="str">
            <v>FLPC(含奖金)</v>
          </cell>
          <cell r="O272" t="str">
            <v>USD/小时</v>
          </cell>
          <cell r="P272">
            <v>55.47</v>
          </cell>
        </row>
        <row r="273">
          <cell r="A273" t="str">
            <v>Syria - Chinese employees - L3</v>
          </cell>
          <cell r="B273" t="str">
            <v>Current version</v>
          </cell>
          <cell r="C273" t="str">
            <v>V2009R2</v>
          </cell>
          <cell r="D273" t="str">
            <v>Labor Rate</v>
          </cell>
          <cell r="E273" t="str">
            <v>MENA</v>
          </cell>
          <cell r="F273" t="str">
            <v>Northern Africa Sub-Regional Division</v>
          </cell>
          <cell r="G273" t="str">
            <v>Syria</v>
          </cell>
          <cell r="H273" t="str">
            <v>5003</v>
          </cell>
          <cell r="I273" t="str">
            <v>A7叙利亚</v>
          </cell>
          <cell r="J273" t="str">
            <v>Syria</v>
          </cell>
          <cell r="K273" t="str">
            <v>Chinese employees</v>
          </cell>
          <cell r="L273" t="str">
            <v>L3</v>
          </cell>
          <cell r="M273" t="str">
            <v>ALL</v>
          </cell>
          <cell r="N273" t="str">
            <v>FLPC(含奖金)</v>
          </cell>
          <cell r="O273" t="str">
            <v>USD/小时</v>
          </cell>
          <cell r="P273">
            <v>66.38</v>
          </cell>
        </row>
        <row r="274">
          <cell r="A274" t="str">
            <v>Syria - Chinese employees - L4</v>
          </cell>
          <cell r="B274" t="str">
            <v>Current version</v>
          </cell>
          <cell r="C274" t="str">
            <v>V2009R2</v>
          </cell>
          <cell r="D274" t="str">
            <v>Labor Rate</v>
          </cell>
          <cell r="E274" t="str">
            <v>MENA</v>
          </cell>
          <cell r="F274" t="str">
            <v>Northern Africa Sub-Regional Division</v>
          </cell>
          <cell r="G274" t="str">
            <v>Syria</v>
          </cell>
          <cell r="H274" t="str">
            <v>5003</v>
          </cell>
          <cell r="I274" t="str">
            <v>A7叙利亚</v>
          </cell>
          <cell r="J274" t="str">
            <v>Syria</v>
          </cell>
          <cell r="K274" t="str">
            <v>Chinese employees</v>
          </cell>
          <cell r="L274" t="str">
            <v>L4</v>
          </cell>
          <cell r="M274" t="str">
            <v>ALL</v>
          </cell>
          <cell r="N274" t="str">
            <v>FLPC(含奖金)</v>
          </cell>
          <cell r="O274" t="str">
            <v>USD/小时</v>
          </cell>
          <cell r="P274">
            <v>105.7</v>
          </cell>
        </row>
        <row r="275">
          <cell r="A275" t="str">
            <v>Sudan - Chinese employees - L0</v>
          </cell>
          <cell r="B275" t="str">
            <v>Current version</v>
          </cell>
          <cell r="C275" t="str">
            <v>V2009R2</v>
          </cell>
          <cell r="D275" t="str">
            <v>Labor Rate</v>
          </cell>
          <cell r="E275" t="str">
            <v>MENA</v>
          </cell>
          <cell r="F275" t="str">
            <v>Northern Africa Sub-Regional Division</v>
          </cell>
          <cell r="G275" t="str">
            <v>Sudan Rep.O.</v>
          </cell>
          <cell r="H275" t="str">
            <v>4993</v>
          </cell>
          <cell r="I275" t="str">
            <v>A5苏丹</v>
          </cell>
          <cell r="J275" t="str">
            <v>Sudan</v>
          </cell>
          <cell r="K275" t="str">
            <v>Chinese employees</v>
          </cell>
          <cell r="L275" t="str">
            <v>L0</v>
          </cell>
          <cell r="M275" t="str">
            <v>ALL</v>
          </cell>
          <cell r="N275" t="str">
            <v>FLPC(含奖金)</v>
          </cell>
          <cell r="O275" t="str">
            <v>USD/小时</v>
          </cell>
          <cell r="P275">
            <v>48.11</v>
          </cell>
        </row>
        <row r="276">
          <cell r="A276" t="str">
            <v>Sudan - Chinese employees - L1</v>
          </cell>
          <cell r="B276" t="str">
            <v>Current version</v>
          </cell>
          <cell r="C276" t="str">
            <v>V2009R2</v>
          </cell>
          <cell r="D276" t="str">
            <v>Labor Rate</v>
          </cell>
          <cell r="E276" t="str">
            <v>MENA</v>
          </cell>
          <cell r="F276" t="str">
            <v>Northern Africa Sub-Regional Division</v>
          </cell>
          <cell r="G276" t="str">
            <v>Sudan Rep.O.</v>
          </cell>
          <cell r="H276" t="str">
            <v>4993</v>
          </cell>
          <cell r="I276" t="str">
            <v>A5苏丹</v>
          </cell>
          <cell r="J276" t="str">
            <v>Sudan</v>
          </cell>
          <cell r="K276" t="str">
            <v>Chinese employees</v>
          </cell>
          <cell r="L276" t="str">
            <v>L1</v>
          </cell>
          <cell r="M276" t="str">
            <v>ALL</v>
          </cell>
          <cell r="N276" t="str">
            <v>FLPC(含奖金)</v>
          </cell>
          <cell r="O276" t="str">
            <v>USD/小时</v>
          </cell>
          <cell r="P276">
            <v>53.9</v>
          </cell>
        </row>
        <row r="277">
          <cell r="A277" t="str">
            <v>Sudan - Chinese employees - L2</v>
          </cell>
          <cell r="B277" t="str">
            <v>Current version</v>
          </cell>
          <cell r="C277" t="str">
            <v>V2009R2</v>
          </cell>
          <cell r="D277" t="str">
            <v>Labor Rate</v>
          </cell>
          <cell r="E277" t="str">
            <v>MENA</v>
          </cell>
          <cell r="F277" t="str">
            <v>Northern Africa Sub-Regional Division</v>
          </cell>
          <cell r="G277" t="str">
            <v>Sudan Rep.O.</v>
          </cell>
          <cell r="H277" t="str">
            <v>4993</v>
          </cell>
          <cell r="I277" t="str">
            <v>A5苏丹</v>
          </cell>
          <cell r="J277" t="str">
            <v>Sudan</v>
          </cell>
          <cell r="K277" t="str">
            <v>Chinese employees</v>
          </cell>
          <cell r="L277" t="str">
            <v>L2</v>
          </cell>
          <cell r="M277" t="str">
            <v>ALL</v>
          </cell>
          <cell r="N277" t="str">
            <v>FLPC(含奖金)</v>
          </cell>
          <cell r="O277" t="str">
            <v>USD/小时</v>
          </cell>
          <cell r="P277">
            <v>61.41</v>
          </cell>
        </row>
        <row r="278">
          <cell r="A278" t="str">
            <v>Sudan - Chinese employees - L3</v>
          </cell>
          <cell r="B278" t="str">
            <v>Current version</v>
          </cell>
          <cell r="C278" t="str">
            <v>V2009R2</v>
          </cell>
          <cell r="D278" t="str">
            <v>Labor Rate</v>
          </cell>
          <cell r="E278" t="str">
            <v>MENA</v>
          </cell>
          <cell r="F278" t="str">
            <v>Northern Africa Sub-Regional Division</v>
          </cell>
          <cell r="G278" t="str">
            <v>Sudan Rep.O.</v>
          </cell>
          <cell r="H278" t="str">
            <v>4993</v>
          </cell>
          <cell r="I278" t="str">
            <v>A5苏丹</v>
          </cell>
          <cell r="J278" t="str">
            <v>Sudan</v>
          </cell>
          <cell r="K278" t="str">
            <v>Chinese employees</v>
          </cell>
          <cell r="L278" t="str">
            <v>L3</v>
          </cell>
          <cell r="M278" t="str">
            <v>ALL</v>
          </cell>
          <cell r="N278" t="str">
            <v>FLPC(含奖金)</v>
          </cell>
          <cell r="O278" t="str">
            <v>USD/小时</v>
          </cell>
          <cell r="P278">
            <v>72.14</v>
          </cell>
        </row>
        <row r="279">
          <cell r="A279" t="str">
            <v>Sudan - Chinese employees - L4</v>
          </cell>
          <cell r="B279" t="str">
            <v>Current version</v>
          </cell>
          <cell r="C279" t="str">
            <v>V2009R2</v>
          </cell>
          <cell r="D279" t="str">
            <v>Labor Rate</v>
          </cell>
          <cell r="E279" t="str">
            <v>MENA</v>
          </cell>
          <cell r="F279" t="str">
            <v>Northern Africa Sub-Regional Division</v>
          </cell>
          <cell r="G279" t="str">
            <v>Sudan Rep.O.</v>
          </cell>
          <cell r="H279" t="str">
            <v>4993</v>
          </cell>
          <cell r="I279" t="str">
            <v>A5苏丹</v>
          </cell>
          <cell r="J279" t="str">
            <v>Sudan</v>
          </cell>
          <cell r="K279" t="str">
            <v>Chinese employees</v>
          </cell>
          <cell r="L279" t="str">
            <v>L4</v>
          </cell>
          <cell r="M279" t="str">
            <v>ALL</v>
          </cell>
          <cell r="N279" t="str">
            <v>FLPC(含奖金)</v>
          </cell>
          <cell r="O279" t="str">
            <v>USD/小时</v>
          </cell>
          <cell r="P279">
            <v>110.84</v>
          </cell>
        </row>
        <row r="280">
          <cell r="A280" t="str">
            <v>South Sudan - Chinese employees - L0</v>
          </cell>
          <cell r="B280" t="str">
            <v>Current version</v>
          </cell>
          <cell r="C280" t="str">
            <v>V2009R2</v>
          </cell>
          <cell r="D280" t="str">
            <v>Labor Rate</v>
          </cell>
          <cell r="E280" t="str">
            <v>MENA</v>
          </cell>
          <cell r="F280" t="str">
            <v>Northern Africa Sub-Regional Division</v>
          </cell>
          <cell r="G280" t="str">
            <v>Sudan Rep.O.</v>
          </cell>
          <cell r="H280" t="str">
            <v>5016</v>
          </cell>
          <cell r="I280" t="str">
            <v>南部苏丹</v>
          </cell>
          <cell r="J280" t="str">
            <v>South Sudan</v>
          </cell>
          <cell r="K280" t="str">
            <v>Chinese employees</v>
          </cell>
          <cell r="L280" t="str">
            <v>L0</v>
          </cell>
          <cell r="M280" t="str">
            <v>ALL</v>
          </cell>
          <cell r="N280" t="str">
            <v>FLPC(含奖金)</v>
          </cell>
          <cell r="O280" t="str">
            <v>USD/小时</v>
          </cell>
          <cell r="P280">
            <v>47.84</v>
          </cell>
        </row>
        <row r="281">
          <cell r="A281" t="str">
            <v>South Sudan - Chinese employees - L1</v>
          </cell>
          <cell r="B281" t="str">
            <v>Current version</v>
          </cell>
          <cell r="C281" t="str">
            <v>V2009R2</v>
          </cell>
          <cell r="D281" t="str">
            <v>Labor Rate</v>
          </cell>
          <cell r="E281" t="str">
            <v>MENA</v>
          </cell>
          <cell r="F281" t="str">
            <v>Northern Africa Sub-Regional Division</v>
          </cell>
          <cell r="G281" t="str">
            <v>Sudan Rep.O.</v>
          </cell>
          <cell r="H281" t="str">
            <v>5016</v>
          </cell>
          <cell r="I281" t="str">
            <v>南部苏丹</v>
          </cell>
          <cell r="J281" t="str">
            <v>South Sudan</v>
          </cell>
          <cell r="K281" t="str">
            <v>Chinese employees</v>
          </cell>
          <cell r="L281" t="str">
            <v>L1</v>
          </cell>
          <cell r="M281" t="str">
            <v>ALL</v>
          </cell>
          <cell r="N281" t="str">
            <v>FLPC(含奖金)</v>
          </cell>
          <cell r="O281" t="str">
            <v>USD/小时</v>
          </cell>
          <cell r="P281">
            <v>53.63</v>
          </cell>
        </row>
        <row r="282">
          <cell r="A282" t="str">
            <v>South Sudan - Chinese employees - L2</v>
          </cell>
          <cell r="B282" t="str">
            <v>Current version</v>
          </cell>
          <cell r="C282" t="str">
            <v>V2009R2</v>
          </cell>
          <cell r="D282" t="str">
            <v>Labor Rate</v>
          </cell>
          <cell r="E282" t="str">
            <v>MENA</v>
          </cell>
          <cell r="F282" t="str">
            <v>Northern Africa Sub-Regional Division</v>
          </cell>
          <cell r="G282" t="str">
            <v>Sudan Rep.O.</v>
          </cell>
          <cell r="H282" t="str">
            <v>5016</v>
          </cell>
          <cell r="I282" t="str">
            <v>南部苏丹</v>
          </cell>
          <cell r="J282" t="str">
            <v>South Sudan</v>
          </cell>
          <cell r="K282" t="str">
            <v>Chinese employees</v>
          </cell>
          <cell r="L282" t="str">
            <v>L2</v>
          </cell>
          <cell r="M282" t="str">
            <v>ALL</v>
          </cell>
          <cell r="N282" t="str">
            <v>FLPC(含奖金)</v>
          </cell>
          <cell r="O282" t="str">
            <v>USD/小时</v>
          </cell>
          <cell r="P282">
            <v>61.14</v>
          </cell>
        </row>
        <row r="283">
          <cell r="A283" t="str">
            <v>South Sudan - Chinese employees - L3</v>
          </cell>
          <cell r="B283" t="str">
            <v>Current version</v>
          </cell>
          <cell r="C283" t="str">
            <v>V2009R2</v>
          </cell>
          <cell r="D283" t="str">
            <v>Labor Rate</v>
          </cell>
          <cell r="E283" t="str">
            <v>MENA</v>
          </cell>
          <cell r="F283" t="str">
            <v>Northern Africa Sub-Regional Division</v>
          </cell>
          <cell r="G283" t="str">
            <v>Sudan Rep.O.</v>
          </cell>
          <cell r="H283" t="str">
            <v>5016</v>
          </cell>
          <cell r="I283" t="str">
            <v>南部苏丹</v>
          </cell>
          <cell r="J283" t="str">
            <v>South Sudan</v>
          </cell>
          <cell r="K283" t="str">
            <v>Chinese employees</v>
          </cell>
          <cell r="L283" t="str">
            <v>L3</v>
          </cell>
          <cell r="M283" t="str">
            <v>ALL</v>
          </cell>
          <cell r="N283" t="str">
            <v>FLPC(含奖金)</v>
          </cell>
          <cell r="O283" t="str">
            <v>USD/小时</v>
          </cell>
          <cell r="P283">
            <v>71.88</v>
          </cell>
        </row>
        <row r="284">
          <cell r="A284" t="str">
            <v>South Sudan - Chinese employees - L4</v>
          </cell>
          <cell r="B284" t="str">
            <v>Current version</v>
          </cell>
          <cell r="C284" t="str">
            <v>V2009R2</v>
          </cell>
          <cell r="D284" t="str">
            <v>Labor Rate</v>
          </cell>
          <cell r="E284" t="str">
            <v>MENA</v>
          </cell>
          <cell r="F284" t="str">
            <v>Northern Africa Sub-Regional Division</v>
          </cell>
          <cell r="G284" t="str">
            <v>Sudan Rep.O.</v>
          </cell>
          <cell r="H284" t="str">
            <v>5016</v>
          </cell>
          <cell r="I284" t="str">
            <v>南部苏丹</v>
          </cell>
          <cell r="J284" t="str">
            <v>South Sudan</v>
          </cell>
          <cell r="K284" t="str">
            <v>Chinese employees</v>
          </cell>
          <cell r="L284" t="str">
            <v>L4</v>
          </cell>
          <cell r="M284" t="str">
            <v>ALL</v>
          </cell>
          <cell r="N284" t="str">
            <v>FLPC(含奖金)</v>
          </cell>
          <cell r="O284" t="str">
            <v>USD/小时</v>
          </cell>
          <cell r="P284">
            <v>110.57</v>
          </cell>
        </row>
        <row r="285">
          <cell r="A285" t="str">
            <v>Libya - Chinese employees - L0</v>
          </cell>
          <cell r="B285" t="str">
            <v>Current version</v>
          </cell>
          <cell r="C285" t="str">
            <v>V2009R2</v>
          </cell>
          <cell r="D285" t="str">
            <v>Labor Rate</v>
          </cell>
          <cell r="E285" t="str">
            <v>MENA</v>
          </cell>
          <cell r="F285" t="str">
            <v>Northern Africa Sub-Regional Division</v>
          </cell>
          <cell r="G285" t="str">
            <v>Libya</v>
          </cell>
          <cell r="H285" t="str">
            <v>4992</v>
          </cell>
          <cell r="I285" t="str">
            <v>A10利比亚</v>
          </cell>
          <cell r="J285" t="str">
            <v>Libya</v>
          </cell>
          <cell r="K285" t="str">
            <v>Chinese employees</v>
          </cell>
          <cell r="L285" t="str">
            <v>L0</v>
          </cell>
          <cell r="M285" t="str">
            <v>ALL</v>
          </cell>
          <cell r="N285" t="str">
            <v>FLPC(含奖金)</v>
          </cell>
          <cell r="O285" t="str">
            <v>USD/小时</v>
          </cell>
          <cell r="P285">
            <v>42.06</v>
          </cell>
        </row>
        <row r="286">
          <cell r="A286" t="str">
            <v>Libya - Chinese employees - L1</v>
          </cell>
          <cell r="B286" t="str">
            <v>Current version</v>
          </cell>
          <cell r="C286" t="str">
            <v>V2009R2</v>
          </cell>
          <cell r="D286" t="str">
            <v>Labor Rate</v>
          </cell>
          <cell r="E286" t="str">
            <v>MENA</v>
          </cell>
          <cell r="F286" t="str">
            <v>Northern Africa Sub-Regional Division</v>
          </cell>
          <cell r="G286" t="str">
            <v>Libya</v>
          </cell>
          <cell r="H286" t="str">
            <v>4992</v>
          </cell>
          <cell r="I286" t="str">
            <v>A10利比亚</v>
          </cell>
          <cell r="J286" t="str">
            <v>Libya</v>
          </cell>
          <cell r="K286" t="str">
            <v>Chinese employees</v>
          </cell>
          <cell r="L286" t="str">
            <v>L1</v>
          </cell>
          <cell r="M286" t="str">
            <v>ALL</v>
          </cell>
          <cell r="N286" t="str">
            <v>FLPC(含奖金)</v>
          </cell>
          <cell r="O286" t="str">
            <v>USD/小时</v>
          </cell>
          <cell r="P286">
            <v>47.78</v>
          </cell>
        </row>
        <row r="287">
          <cell r="A287" t="str">
            <v>Libya - Chinese employees - L2</v>
          </cell>
          <cell r="B287" t="str">
            <v>Current version</v>
          </cell>
          <cell r="C287" t="str">
            <v>V2009R2</v>
          </cell>
          <cell r="D287" t="str">
            <v>Labor Rate</v>
          </cell>
          <cell r="E287" t="str">
            <v>MENA</v>
          </cell>
          <cell r="F287" t="str">
            <v>Northern Africa Sub-Regional Division</v>
          </cell>
          <cell r="G287" t="str">
            <v>Libya</v>
          </cell>
          <cell r="H287" t="str">
            <v>4992</v>
          </cell>
          <cell r="I287" t="str">
            <v>A10利比亚</v>
          </cell>
          <cell r="J287" t="str">
            <v>Libya</v>
          </cell>
          <cell r="K287" t="str">
            <v>Chinese employees</v>
          </cell>
          <cell r="L287" t="str">
            <v>L2</v>
          </cell>
          <cell r="M287" t="str">
            <v>ALL</v>
          </cell>
          <cell r="N287" t="str">
            <v>FLPC(含奖金)</v>
          </cell>
          <cell r="O287" t="str">
            <v>USD/小时</v>
          </cell>
          <cell r="P287">
            <v>55.2</v>
          </cell>
        </row>
        <row r="288">
          <cell r="A288" t="str">
            <v>Libya - Chinese employees - L3</v>
          </cell>
          <cell r="B288" t="str">
            <v>Current version</v>
          </cell>
          <cell r="C288" t="str">
            <v>V2009R2</v>
          </cell>
          <cell r="D288" t="str">
            <v>Labor Rate</v>
          </cell>
          <cell r="E288" t="str">
            <v>MENA</v>
          </cell>
          <cell r="F288" t="str">
            <v>Northern Africa Sub-Regional Division</v>
          </cell>
          <cell r="G288" t="str">
            <v>Libya</v>
          </cell>
          <cell r="H288" t="str">
            <v>4992</v>
          </cell>
          <cell r="I288" t="str">
            <v>A10利比亚</v>
          </cell>
          <cell r="J288" t="str">
            <v>Libya</v>
          </cell>
          <cell r="K288" t="str">
            <v>Chinese employees</v>
          </cell>
          <cell r="L288" t="str">
            <v>L3</v>
          </cell>
          <cell r="M288" t="str">
            <v>ALL</v>
          </cell>
          <cell r="N288" t="str">
            <v>FLPC(含奖金)</v>
          </cell>
          <cell r="O288" t="str">
            <v>USD/小时</v>
          </cell>
          <cell r="P288">
            <v>65.81</v>
          </cell>
        </row>
        <row r="289">
          <cell r="A289" t="str">
            <v>Libya - Chinese employees - L4</v>
          </cell>
          <cell r="B289" t="str">
            <v>Current version</v>
          </cell>
          <cell r="C289" t="str">
            <v>V2009R2</v>
          </cell>
          <cell r="D289" t="str">
            <v>Labor Rate</v>
          </cell>
          <cell r="E289" t="str">
            <v>MENA</v>
          </cell>
          <cell r="F289" t="str">
            <v>Northern Africa Sub-Regional Division</v>
          </cell>
          <cell r="G289" t="str">
            <v>Libya</v>
          </cell>
          <cell r="H289" t="str">
            <v>4992</v>
          </cell>
          <cell r="I289" t="str">
            <v>A10利比亚</v>
          </cell>
          <cell r="J289" t="str">
            <v>Libya</v>
          </cell>
          <cell r="K289" t="str">
            <v>Chinese employees</v>
          </cell>
          <cell r="L289" t="str">
            <v>L4</v>
          </cell>
          <cell r="M289" t="str">
            <v>ALL</v>
          </cell>
          <cell r="N289" t="str">
            <v>FLPC(含奖金)</v>
          </cell>
          <cell r="O289" t="str">
            <v>USD/小时</v>
          </cell>
          <cell r="P289">
            <v>104.04</v>
          </cell>
        </row>
        <row r="290">
          <cell r="A290" t="str">
            <v>Egypt - Chinese employees - L0</v>
          </cell>
          <cell r="B290" t="str">
            <v>Current version</v>
          </cell>
          <cell r="C290" t="str">
            <v>V2009R2</v>
          </cell>
          <cell r="D290" t="str">
            <v>Labor Rate</v>
          </cell>
          <cell r="E290" t="str">
            <v>MENA</v>
          </cell>
          <cell r="F290" t="str">
            <v>Northern Africa Sub-Regional Division</v>
          </cell>
          <cell r="G290" t="str">
            <v>Egypt</v>
          </cell>
          <cell r="H290" t="str">
            <v>4999</v>
          </cell>
          <cell r="I290" t="str">
            <v>埃及</v>
          </cell>
          <cell r="J290" t="str">
            <v>Egypt</v>
          </cell>
          <cell r="K290" t="str">
            <v>Chinese employees</v>
          </cell>
          <cell r="L290" t="str">
            <v>L0</v>
          </cell>
          <cell r="M290" t="str">
            <v>ALL</v>
          </cell>
          <cell r="N290" t="str">
            <v>FLPC(含奖金)</v>
          </cell>
          <cell r="O290" t="str">
            <v>USD/小时</v>
          </cell>
          <cell r="P290">
            <v>34.72</v>
          </cell>
        </row>
        <row r="291">
          <cell r="A291" t="str">
            <v>Egypt - Chinese employees - L1</v>
          </cell>
          <cell r="B291" t="str">
            <v>Current version</v>
          </cell>
          <cell r="C291" t="str">
            <v>V2009R2</v>
          </cell>
          <cell r="D291" t="str">
            <v>Labor Rate</v>
          </cell>
          <cell r="E291" t="str">
            <v>MENA</v>
          </cell>
          <cell r="F291" t="str">
            <v>Northern Africa Sub-Regional Division</v>
          </cell>
          <cell r="G291" t="str">
            <v>Egypt</v>
          </cell>
          <cell r="H291" t="str">
            <v>4999</v>
          </cell>
          <cell r="I291" t="str">
            <v>埃及</v>
          </cell>
          <cell r="J291" t="str">
            <v>Egypt</v>
          </cell>
          <cell r="K291" t="str">
            <v>Chinese employees</v>
          </cell>
          <cell r="L291" t="str">
            <v>L1</v>
          </cell>
          <cell r="M291" t="str">
            <v>ALL</v>
          </cell>
          <cell r="N291" t="str">
            <v>FLPC(含奖金)</v>
          </cell>
          <cell r="O291" t="str">
            <v>USD/小时</v>
          </cell>
          <cell r="P291">
            <v>41.02</v>
          </cell>
        </row>
        <row r="292">
          <cell r="A292" t="str">
            <v>Egypt - Chinese employees - L2</v>
          </cell>
          <cell r="B292" t="str">
            <v>Current version</v>
          </cell>
          <cell r="C292" t="str">
            <v>V2009R2</v>
          </cell>
          <cell r="D292" t="str">
            <v>Labor Rate</v>
          </cell>
          <cell r="E292" t="str">
            <v>MENA</v>
          </cell>
          <cell r="F292" t="str">
            <v>Northern Africa Sub-Regional Division</v>
          </cell>
          <cell r="G292" t="str">
            <v>Egypt</v>
          </cell>
          <cell r="H292" t="str">
            <v>4999</v>
          </cell>
          <cell r="I292" t="str">
            <v>埃及</v>
          </cell>
          <cell r="J292" t="str">
            <v>Egypt</v>
          </cell>
          <cell r="K292" t="str">
            <v>Chinese employees</v>
          </cell>
          <cell r="L292" t="str">
            <v>L2</v>
          </cell>
          <cell r="M292" t="str">
            <v>ALL</v>
          </cell>
          <cell r="N292" t="str">
            <v>FLPC(含奖金)</v>
          </cell>
          <cell r="O292" t="str">
            <v>USD/小时</v>
          </cell>
          <cell r="P292">
            <v>48.52</v>
          </cell>
        </row>
        <row r="293">
          <cell r="A293" t="str">
            <v>Egypt - Chinese employees - L3</v>
          </cell>
          <cell r="B293" t="str">
            <v>Current version</v>
          </cell>
          <cell r="C293" t="str">
            <v>V2009R2</v>
          </cell>
          <cell r="D293" t="str">
            <v>Labor Rate</v>
          </cell>
          <cell r="E293" t="str">
            <v>MENA</v>
          </cell>
          <cell r="F293" t="str">
            <v>Northern Africa Sub-Regional Division</v>
          </cell>
          <cell r="G293" t="str">
            <v>Egypt</v>
          </cell>
          <cell r="H293" t="str">
            <v>4999</v>
          </cell>
          <cell r="I293" t="str">
            <v>埃及</v>
          </cell>
          <cell r="J293" t="str">
            <v>Egypt</v>
          </cell>
          <cell r="K293" t="str">
            <v>Chinese employees</v>
          </cell>
          <cell r="L293" t="str">
            <v>L3</v>
          </cell>
          <cell r="M293" t="str">
            <v>ALL</v>
          </cell>
          <cell r="N293" t="str">
            <v>FLPC(含奖金)</v>
          </cell>
          <cell r="O293" t="str">
            <v>USD/小时</v>
          </cell>
          <cell r="P293">
            <v>61.48</v>
          </cell>
        </row>
        <row r="294">
          <cell r="A294" t="str">
            <v>Egypt - Chinese employees - L4</v>
          </cell>
          <cell r="B294" t="str">
            <v>Current version</v>
          </cell>
          <cell r="C294" t="str">
            <v>V2009R2</v>
          </cell>
          <cell r="D294" t="str">
            <v>Labor Rate</v>
          </cell>
          <cell r="E294" t="str">
            <v>MENA</v>
          </cell>
          <cell r="F294" t="str">
            <v>Northern Africa Sub-Regional Division</v>
          </cell>
          <cell r="G294" t="str">
            <v>Egypt</v>
          </cell>
          <cell r="H294" t="str">
            <v>4999</v>
          </cell>
          <cell r="I294" t="str">
            <v>埃及</v>
          </cell>
          <cell r="J294" t="str">
            <v>Egypt</v>
          </cell>
          <cell r="K294" t="str">
            <v>Chinese employees</v>
          </cell>
          <cell r="L294" t="str">
            <v>L4</v>
          </cell>
          <cell r="M294" t="str">
            <v>ALL</v>
          </cell>
          <cell r="N294" t="str">
            <v>FLPC(含奖金)</v>
          </cell>
          <cell r="O294" t="str">
            <v>USD/小时</v>
          </cell>
          <cell r="P294">
            <v>98.9</v>
          </cell>
        </row>
        <row r="295">
          <cell r="A295" t="str">
            <v>Colombia - Chinese employees - L1</v>
          </cell>
          <cell r="B295" t="str">
            <v>Current version</v>
          </cell>
          <cell r="C295" t="str">
            <v>V2009R2</v>
          </cell>
          <cell r="D295" t="str">
            <v>Labor Rate</v>
          </cell>
          <cell r="E295" t="str">
            <v>LA</v>
          </cell>
          <cell r="F295" t="str">
            <v>Northern South America Sub-Regional Division</v>
          </cell>
          <cell r="G295" t="str">
            <v>Colombia Rep.O.</v>
          </cell>
          <cell r="H295" t="str">
            <v>6005</v>
          </cell>
          <cell r="I295" t="str">
            <v>哥伦比亚</v>
          </cell>
          <cell r="J295" t="str">
            <v>Colombia</v>
          </cell>
          <cell r="K295" t="str">
            <v>Chinese employees</v>
          </cell>
          <cell r="L295" t="str">
            <v>L1</v>
          </cell>
          <cell r="M295" t="str">
            <v>ALL</v>
          </cell>
          <cell r="N295" t="str">
            <v>FLPC(含奖金)</v>
          </cell>
          <cell r="O295" t="str">
            <v>USD/小时</v>
          </cell>
          <cell r="P295">
            <v>66.37</v>
          </cell>
        </row>
        <row r="296">
          <cell r="A296" t="str">
            <v>Dominica - Chinese employees - L4</v>
          </cell>
          <cell r="B296" t="str">
            <v>Current version</v>
          </cell>
          <cell r="C296" t="str">
            <v>V2009R2</v>
          </cell>
          <cell r="D296" t="str">
            <v>Labor Rate</v>
          </cell>
          <cell r="E296" t="str">
            <v>LA</v>
          </cell>
          <cell r="F296" t="str">
            <v>Mexico Rep.O.</v>
          </cell>
          <cell r="G296" t="str">
            <v>Dominica</v>
          </cell>
          <cell r="H296" t="str">
            <v>6040</v>
          </cell>
          <cell r="I296" t="str">
            <v>多米尼加</v>
          </cell>
          <cell r="J296" t="str">
            <v>Dominica</v>
          </cell>
          <cell r="K296" t="str">
            <v>Chinese employees</v>
          </cell>
          <cell r="L296" t="str">
            <v>L4</v>
          </cell>
          <cell r="M296" t="str">
            <v>ALL</v>
          </cell>
          <cell r="N296" t="str">
            <v>FLPC(含奖金)</v>
          </cell>
          <cell r="O296" t="str">
            <v>USD/小时</v>
          </cell>
          <cell r="P296">
            <v>131.18</v>
          </cell>
        </row>
        <row r="297">
          <cell r="A297" t="str">
            <v>Costa Rica - Chinese employees - L0</v>
          </cell>
          <cell r="B297" t="str">
            <v>Current version</v>
          </cell>
          <cell r="C297" t="str">
            <v>V2009R2</v>
          </cell>
          <cell r="D297" t="str">
            <v>Labor Rate</v>
          </cell>
          <cell r="E297" t="str">
            <v>LA</v>
          </cell>
          <cell r="F297" t="str">
            <v>Mexico Rep.O.</v>
          </cell>
          <cell r="G297" t="str">
            <v>Costa Rica</v>
          </cell>
          <cell r="H297" t="str">
            <v>6025</v>
          </cell>
          <cell r="I297" t="str">
            <v>哥斯达黎加</v>
          </cell>
          <cell r="J297" t="str">
            <v>Costa Rica</v>
          </cell>
          <cell r="K297" t="str">
            <v>Chinese employees</v>
          </cell>
          <cell r="L297" t="str">
            <v>L0</v>
          </cell>
          <cell r="M297" t="str">
            <v>ALL</v>
          </cell>
          <cell r="N297" t="str">
            <v>FLPC(含奖金)</v>
          </cell>
          <cell r="O297" t="str">
            <v>USD/小时</v>
          </cell>
          <cell r="P297">
            <v>68.38</v>
          </cell>
        </row>
        <row r="298">
          <cell r="A298" t="str">
            <v>Costa Rica - Chinese employees - L1</v>
          </cell>
          <cell r="B298" t="str">
            <v>Current version</v>
          </cell>
          <cell r="C298" t="str">
            <v>V2009R2</v>
          </cell>
          <cell r="D298" t="str">
            <v>Labor Rate</v>
          </cell>
          <cell r="E298" t="str">
            <v>LA</v>
          </cell>
          <cell r="F298" t="str">
            <v>Mexico Rep.O.</v>
          </cell>
          <cell r="G298" t="str">
            <v>Costa Rica</v>
          </cell>
          <cell r="H298" t="str">
            <v>6025</v>
          </cell>
          <cell r="I298" t="str">
            <v>哥斯达黎加</v>
          </cell>
          <cell r="J298" t="str">
            <v>Costa Rica</v>
          </cell>
          <cell r="K298" t="str">
            <v>Chinese employees</v>
          </cell>
          <cell r="L298" t="str">
            <v>L1</v>
          </cell>
          <cell r="M298" t="str">
            <v>ALL</v>
          </cell>
          <cell r="N298" t="str">
            <v>FLPC(含奖金)</v>
          </cell>
          <cell r="O298" t="str">
            <v>USD/小时</v>
          </cell>
          <cell r="P298">
            <v>74.069999999999993</v>
          </cell>
        </row>
        <row r="299">
          <cell r="A299" t="str">
            <v>Costa Rica - Chinese employees - L2</v>
          </cell>
          <cell r="B299" t="str">
            <v>Current version</v>
          </cell>
          <cell r="C299" t="str">
            <v>V2009R2</v>
          </cell>
          <cell r="D299" t="str">
            <v>Labor Rate</v>
          </cell>
          <cell r="E299" t="str">
            <v>LA</v>
          </cell>
          <cell r="F299" t="str">
            <v>Mexico Rep.O.</v>
          </cell>
          <cell r="G299" t="str">
            <v>Costa Rica</v>
          </cell>
          <cell r="H299" t="str">
            <v>6025</v>
          </cell>
          <cell r="I299" t="str">
            <v>哥斯达黎加</v>
          </cell>
          <cell r="J299" t="str">
            <v>Costa Rica</v>
          </cell>
          <cell r="K299" t="str">
            <v>Chinese employees</v>
          </cell>
          <cell r="L299" t="str">
            <v>L2</v>
          </cell>
          <cell r="M299" t="str">
            <v>ALL</v>
          </cell>
          <cell r="N299" t="str">
            <v>FLPC(含奖金)</v>
          </cell>
          <cell r="O299" t="str">
            <v>USD/小时</v>
          </cell>
          <cell r="P299">
            <v>81.430000000000007</v>
          </cell>
        </row>
        <row r="300">
          <cell r="A300" t="str">
            <v>Costa Rica - Chinese employees - L3</v>
          </cell>
          <cell r="B300" t="str">
            <v>Current version</v>
          </cell>
          <cell r="C300" t="str">
            <v>V2009R2</v>
          </cell>
          <cell r="D300" t="str">
            <v>Labor Rate</v>
          </cell>
          <cell r="E300" t="str">
            <v>LA</v>
          </cell>
          <cell r="F300" t="str">
            <v>Mexico Rep.O.</v>
          </cell>
          <cell r="G300" t="str">
            <v>Costa Rica</v>
          </cell>
          <cell r="H300" t="str">
            <v>6025</v>
          </cell>
          <cell r="I300" t="str">
            <v>哥斯达黎加</v>
          </cell>
          <cell r="J300" t="str">
            <v>Costa Rica</v>
          </cell>
          <cell r="K300" t="str">
            <v>Chinese employees</v>
          </cell>
          <cell r="L300" t="str">
            <v>L3</v>
          </cell>
          <cell r="M300" t="str">
            <v>ALL</v>
          </cell>
          <cell r="N300" t="str">
            <v>FLPC(含奖金)</v>
          </cell>
          <cell r="O300" t="str">
            <v>USD/小时</v>
          </cell>
          <cell r="P300">
            <v>91.97</v>
          </cell>
        </row>
        <row r="301">
          <cell r="A301" t="str">
            <v>Costa Rica - Chinese employees - L4</v>
          </cell>
          <cell r="B301" t="str">
            <v>Current version</v>
          </cell>
          <cell r="C301" t="str">
            <v>V2009R2</v>
          </cell>
          <cell r="D301" t="str">
            <v>Labor Rate</v>
          </cell>
          <cell r="E301" t="str">
            <v>LA</v>
          </cell>
          <cell r="F301" t="str">
            <v>Mexico Rep.O.</v>
          </cell>
          <cell r="G301" t="str">
            <v>Costa Rica</v>
          </cell>
          <cell r="H301" t="str">
            <v>6025</v>
          </cell>
          <cell r="I301" t="str">
            <v>哥斯达黎加</v>
          </cell>
          <cell r="J301" t="str">
            <v>Costa Rica</v>
          </cell>
          <cell r="K301" t="str">
            <v>Chinese employees</v>
          </cell>
          <cell r="L301" t="str">
            <v>L4</v>
          </cell>
          <cell r="M301" t="str">
            <v>ALL</v>
          </cell>
          <cell r="N301" t="str">
            <v>FLPC(含奖金)</v>
          </cell>
          <cell r="O301" t="str">
            <v>USD/小时</v>
          </cell>
          <cell r="P301">
            <v>129.96</v>
          </cell>
        </row>
        <row r="302">
          <cell r="A302" t="str">
            <v>C&amp;C-Caribbean - Chinese employees - L0</v>
          </cell>
          <cell r="B302" t="str">
            <v>Current version</v>
          </cell>
          <cell r="C302" t="str">
            <v>V2009R2</v>
          </cell>
          <cell r="D302" t="str">
            <v>Labor Rate</v>
          </cell>
          <cell r="E302" t="str">
            <v>LA</v>
          </cell>
          <cell r="F302" t="str">
            <v>Mexico Rep.O.</v>
          </cell>
          <cell r="G302" t="str">
            <v>C&amp;C-Caribbean</v>
          </cell>
          <cell r="H302" t="str">
            <v>6021</v>
          </cell>
          <cell r="I302" t="str">
            <v>中美洲加勒比海</v>
          </cell>
          <cell r="J302" t="str">
            <v>C&amp;C-Caribbean</v>
          </cell>
          <cell r="K302" t="str">
            <v>Chinese employees</v>
          </cell>
          <cell r="L302" t="str">
            <v>L0</v>
          </cell>
          <cell r="M302" t="str">
            <v>ALL</v>
          </cell>
          <cell r="N302" t="str">
            <v>FLPC(含奖金)</v>
          </cell>
          <cell r="O302" t="str">
            <v>USD/小时</v>
          </cell>
          <cell r="P302">
            <v>69.02</v>
          </cell>
        </row>
        <row r="303">
          <cell r="A303" t="str">
            <v>C&amp;C-Caribbean - Chinese employees - L1</v>
          </cell>
          <cell r="B303" t="str">
            <v>Current version</v>
          </cell>
          <cell r="C303" t="str">
            <v>V2009R2</v>
          </cell>
          <cell r="D303" t="str">
            <v>Labor Rate</v>
          </cell>
          <cell r="E303" t="str">
            <v>LA</v>
          </cell>
          <cell r="F303" t="str">
            <v>Mexico Rep.O.</v>
          </cell>
          <cell r="G303" t="str">
            <v>C&amp;C-Caribbean</v>
          </cell>
          <cell r="H303" t="str">
            <v>6021</v>
          </cell>
          <cell r="I303" t="str">
            <v>中美洲加勒比海</v>
          </cell>
          <cell r="J303" t="str">
            <v>C&amp;C-Caribbean</v>
          </cell>
          <cell r="K303" t="str">
            <v>Chinese employees</v>
          </cell>
          <cell r="L303" t="str">
            <v>L1</v>
          </cell>
          <cell r="M303" t="str">
            <v>ALL</v>
          </cell>
          <cell r="N303" t="str">
            <v>FLPC(含奖金)</v>
          </cell>
          <cell r="O303" t="str">
            <v>USD/小时</v>
          </cell>
          <cell r="P303">
            <v>74.760000000000005</v>
          </cell>
        </row>
        <row r="304">
          <cell r="A304" t="str">
            <v>C&amp;C-Caribbean - Chinese employees - L2</v>
          </cell>
          <cell r="B304" t="str">
            <v>Current version</v>
          </cell>
          <cell r="C304" t="str">
            <v>V2009R2</v>
          </cell>
          <cell r="D304" t="str">
            <v>Labor Rate</v>
          </cell>
          <cell r="E304" t="str">
            <v>LA</v>
          </cell>
          <cell r="F304" t="str">
            <v>Mexico Rep.O.</v>
          </cell>
          <cell r="G304" t="str">
            <v>C&amp;C-Caribbean</v>
          </cell>
          <cell r="H304" t="str">
            <v>6021</v>
          </cell>
          <cell r="I304" t="str">
            <v>中美洲加勒比海</v>
          </cell>
          <cell r="J304" t="str">
            <v>C&amp;C-Caribbean</v>
          </cell>
          <cell r="K304" t="str">
            <v>Chinese employees</v>
          </cell>
          <cell r="L304" t="str">
            <v>L2</v>
          </cell>
          <cell r="M304" t="str">
            <v>ALL</v>
          </cell>
          <cell r="N304" t="str">
            <v>FLPC(含奖金)</v>
          </cell>
          <cell r="O304" t="str">
            <v>USD/小时</v>
          </cell>
          <cell r="P304">
            <v>82.2</v>
          </cell>
        </row>
        <row r="305">
          <cell r="A305" t="str">
            <v>C&amp;C-Caribbean - Chinese employees - L3</v>
          </cell>
          <cell r="B305" t="str">
            <v>Current version</v>
          </cell>
          <cell r="C305" t="str">
            <v>V2009R2</v>
          </cell>
          <cell r="D305" t="str">
            <v>Labor Rate</v>
          </cell>
          <cell r="E305" t="str">
            <v>LA</v>
          </cell>
          <cell r="F305" t="str">
            <v>Mexico Rep.O.</v>
          </cell>
          <cell r="G305" t="str">
            <v>C&amp;C-Caribbean</v>
          </cell>
          <cell r="H305" t="str">
            <v>6021</v>
          </cell>
          <cell r="I305" t="str">
            <v>中美洲加勒比海</v>
          </cell>
          <cell r="J305" t="str">
            <v>C&amp;C-Caribbean</v>
          </cell>
          <cell r="K305" t="str">
            <v>Chinese employees</v>
          </cell>
          <cell r="L305" t="str">
            <v>L3</v>
          </cell>
          <cell r="M305" t="str">
            <v>ALL</v>
          </cell>
          <cell r="N305" t="str">
            <v>FLPC(含奖金)</v>
          </cell>
          <cell r="O305" t="str">
            <v>USD/小时</v>
          </cell>
          <cell r="P305">
            <v>92.84</v>
          </cell>
        </row>
        <row r="306">
          <cell r="A306" t="str">
            <v>C&amp;C-Caribbean - Chinese employees - L4</v>
          </cell>
          <cell r="B306" t="str">
            <v>Current version</v>
          </cell>
          <cell r="C306" t="str">
            <v>V2009R2</v>
          </cell>
          <cell r="D306" t="str">
            <v>Labor Rate</v>
          </cell>
          <cell r="E306" t="str">
            <v>LA</v>
          </cell>
          <cell r="F306" t="str">
            <v>Mexico Rep.O.</v>
          </cell>
          <cell r="G306" t="str">
            <v>C&amp;C-Caribbean</v>
          </cell>
          <cell r="H306" t="str">
            <v>6021</v>
          </cell>
          <cell r="I306" t="str">
            <v>中美洲加勒比海</v>
          </cell>
          <cell r="J306" t="str">
            <v>C&amp;C-Caribbean</v>
          </cell>
          <cell r="K306" t="str">
            <v>Chinese employees</v>
          </cell>
          <cell r="L306" t="str">
            <v>L4</v>
          </cell>
          <cell r="M306" t="str">
            <v>ALL</v>
          </cell>
          <cell r="N306" t="str">
            <v>FLPC(含奖金)</v>
          </cell>
          <cell r="O306" t="str">
            <v>USD/小时</v>
          </cell>
          <cell r="P306">
            <v>131.18</v>
          </cell>
        </row>
        <row r="307">
          <cell r="A307" t="str">
            <v>C&amp;C - Chinese employees - L0</v>
          </cell>
          <cell r="B307" t="str">
            <v>Current version</v>
          </cell>
          <cell r="C307" t="str">
            <v>V2009R2</v>
          </cell>
          <cell r="D307" t="str">
            <v>Labor Rate</v>
          </cell>
          <cell r="E307" t="str">
            <v>LA</v>
          </cell>
          <cell r="F307" t="str">
            <v>Mexico Rep.O.</v>
          </cell>
          <cell r="G307" t="str">
            <v>C&amp;C</v>
          </cell>
          <cell r="H307" t="str">
            <v>6019</v>
          </cell>
          <cell r="I307" t="str">
            <v>中美洲</v>
          </cell>
          <cell r="J307" t="str">
            <v>C&amp;C</v>
          </cell>
          <cell r="K307" t="str">
            <v>Chinese employees</v>
          </cell>
          <cell r="L307" t="str">
            <v>L0</v>
          </cell>
          <cell r="M307" t="str">
            <v>ALL</v>
          </cell>
          <cell r="N307" t="str">
            <v>FLPC(含奖金)</v>
          </cell>
          <cell r="O307" t="str">
            <v>USD/小时</v>
          </cell>
          <cell r="P307">
            <v>69.02</v>
          </cell>
        </row>
        <row r="308">
          <cell r="A308" t="str">
            <v>C&amp;C - Chinese employees - L1</v>
          </cell>
          <cell r="B308" t="str">
            <v>Current version</v>
          </cell>
          <cell r="C308" t="str">
            <v>V2009R2</v>
          </cell>
          <cell r="D308" t="str">
            <v>Labor Rate</v>
          </cell>
          <cell r="E308" t="str">
            <v>LA</v>
          </cell>
          <cell r="F308" t="str">
            <v>Mexico Rep.O.</v>
          </cell>
          <cell r="G308" t="str">
            <v>C&amp;C</v>
          </cell>
          <cell r="H308" t="str">
            <v>6019</v>
          </cell>
          <cell r="I308" t="str">
            <v>中美洲</v>
          </cell>
          <cell r="J308" t="str">
            <v>C&amp;C</v>
          </cell>
          <cell r="K308" t="str">
            <v>Chinese employees</v>
          </cell>
          <cell r="L308" t="str">
            <v>L1</v>
          </cell>
          <cell r="M308" t="str">
            <v>ALL</v>
          </cell>
          <cell r="N308" t="str">
            <v>FLPC(含奖金)</v>
          </cell>
          <cell r="O308" t="str">
            <v>USD/小时</v>
          </cell>
          <cell r="P308">
            <v>74.760000000000005</v>
          </cell>
        </row>
        <row r="309">
          <cell r="A309" t="str">
            <v>C&amp;C - Chinese employees - L2</v>
          </cell>
          <cell r="B309" t="str">
            <v>Current version</v>
          </cell>
          <cell r="C309" t="str">
            <v>V2009R2</v>
          </cell>
          <cell r="D309" t="str">
            <v>Labor Rate</v>
          </cell>
          <cell r="E309" t="str">
            <v>LA</v>
          </cell>
          <cell r="F309" t="str">
            <v>Mexico Rep.O.</v>
          </cell>
          <cell r="G309" t="str">
            <v>C&amp;C</v>
          </cell>
          <cell r="H309" t="str">
            <v>6019</v>
          </cell>
          <cell r="I309" t="str">
            <v>中美洲</v>
          </cell>
          <cell r="J309" t="str">
            <v>C&amp;C</v>
          </cell>
          <cell r="K309" t="str">
            <v>Chinese employees</v>
          </cell>
          <cell r="L309" t="str">
            <v>L2</v>
          </cell>
          <cell r="M309" t="str">
            <v>ALL</v>
          </cell>
          <cell r="N309" t="str">
            <v>FLPC(含奖金)</v>
          </cell>
          <cell r="O309" t="str">
            <v>USD/小时</v>
          </cell>
          <cell r="P309">
            <v>82.2</v>
          </cell>
        </row>
        <row r="310">
          <cell r="A310" t="str">
            <v>C&amp;C - Chinese employees - L3</v>
          </cell>
          <cell r="B310" t="str">
            <v>Current version</v>
          </cell>
          <cell r="C310" t="str">
            <v>V2009R2</v>
          </cell>
          <cell r="D310" t="str">
            <v>Labor Rate</v>
          </cell>
          <cell r="E310" t="str">
            <v>LA</v>
          </cell>
          <cell r="F310" t="str">
            <v>Mexico Rep.O.</v>
          </cell>
          <cell r="G310" t="str">
            <v>C&amp;C</v>
          </cell>
          <cell r="H310" t="str">
            <v>6019</v>
          </cell>
          <cell r="I310" t="str">
            <v>中美洲</v>
          </cell>
          <cell r="J310" t="str">
            <v>C&amp;C</v>
          </cell>
          <cell r="K310" t="str">
            <v>Chinese employees</v>
          </cell>
          <cell r="L310" t="str">
            <v>L3</v>
          </cell>
          <cell r="M310" t="str">
            <v>ALL</v>
          </cell>
          <cell r="N310" t="str">
            <v>FLPC(含奖金)</v>
          </cell>
          <cell r="O310" t="str">
            <v>USD/小时</v>
          </cell>
          <cell r="P310">
            <v>92.84</v>
          </cell>
        </row>
        <row r="311">
          <cell r="A311" t="str">
            <v>C&amp;C - Chinese employees - L4</v>
          </cell>
          <cell r="B311" t="str">
            <v>Current version</v>
          </cell>
          <cell r="C311" t="str">
            <v>V2009R2</v>
          </cell>
          <cell r="D311" t="str">
            <v>Labor Rate</v>
          </cell>
          <cell r="E311" t="str">
            <v>LA</v>
          </cell>
          <cell r="F311" t="str">
            <v>Mexico Rep.O.</v>
          </cell>
          <cell r="G311" t="str">
            <v>C&amp;C</v>
          </cell>
          <cell r="H311" t="str">
            <v>6019</v>
          </cell>
          <cell r="I311" t="str">
            <v>中美洲</v>
          </cell>
          <cell r="J311" t="str">
            <v>C&amp;C</v>
          </cell>
          <cell r="K311" t="str">
            <v>Chinese employees</v>
          </cell>
          <cell r="L311" t="str">
            <v>L4</v>
          </cell>
          <cell r="M311" t="str">
            <v>ALL</v>
          </cell>
          <cell r="N311" t="str">
            <v>FLPC(含奖金)</v>
          </cell>
          <cell r="O311" t="str">
            <v>USD/小时</v>
          </cell>
          <cell r="P311">
            <v>131.18</v>
          </cell>
        </row>
        <row r="312">
          <cell r="A312" t="str">
            <v>Uzbekistan - Chinese employees - L0</v>
          </cell>
          <cell r="B312" t="str">
            <v>Current version</v>
          </cell>
          <cell r="C312" t="str">
            <v>V2009R2</v>
          </cell>
          <cell r="D312" t="str">
            <v>Labor Rate</v>
          </cell>
          <cell r="E312" t="str">
            <v>CIS</v>
          </cell>
          <cell r="F312" t="str">
            <v>Central Asia Sub-Regional Division</v>
          </cell>
          <cell r="G312" t="str">
            <v>Uzbek Rep.O.</v>
          </cell>
          <cell r="H312" t="str">
            <v>3002</v>
          </cell>
          <cell r="I312" t="str">
            <v>乌兹别克</v>
          </cell>
          <cell r="J312" t="str">
            <v>Uzbekistan</v>
          </cell>
          <cell r="K312" t="str">
            <v>Chinese employees</v>
          </cell>
          <cell r="L312" t="str">
            <v>L0</v>
          </cell>
          <cell r="M312" t="str">
            <v>ALL</v>
          </cell>
          <cell r="N312" t="str">
            <v>FLPC(含奖金)</v>
          </cell>
          <cell r="O312" t="str">
            <v>USD/小时</v>
          </cell>
          <cell r="P312">
            <v>32.04</v>
          </cell>
        </row>
        <row r="313">
          <cell r="A313" t="str">
            <v>Uzbekistan - Chinese employees - L1</v>
          </cell>
          <cell r="B313" t="str">
            <v>Current version</v>
          </cell>
          <cell r="C313" t="str">
            <v>V2009R2</v>
          </cell>
          <cell r="D313" t="str">
            <v>Labor Rate</v>
          </cell>
          <cell r="E313" t="str">
            <v>CIS</v>
          </cell>
          <cell r="F313" t="str">
            <v>Central Asia Sub-Regional Division</v>
          </cell>
          <cell r="G313" t="str">
            <v>Uzbek Rep.O.</v>
          </cell>
          <cell r="H313" t="str">
            <v>3002</v>
          </cell>
          <cell r="I313" t="str">
            <v>乌兹别克</v>
          </cell>
          <cell r="J313" t="str">
            <v>Uzbekistan</v>
          </cell>
          <cell r="K313" t="str">
            <v>Chinese employees</v>
          </cell>
          <cell r="L313" t="str">
            <v>L1</v>
          </cell>
          <cell r="M313" t="str">
            <v>ALL</v>
          </cell>
          <cell r="N313" t="str">
            <v>FLPC(含奖金)</v>
          </cell>
          <cell r="O313" t="str">
            <v>USD/小时</v>
          </cell>
          <cell r="P313">
            <v>37.85</v>
          </cell>
        </row>
        <row r="314">
          <cell r="A314" t="str">
            <v>Uzbekistan - Chinese employees - L2</v>
          </cell>
          <cell r="B314" t="str">
            <v>Current version</v>
          </cell>
          <cell r="C314" t="str">
            <v>V2009R2</v>
          </cell>
          <cell r="D314" t="str">
            <v>Labor Rate</v>
          </cell>
          <cell r="E314" t="str">
            <v>CIS</v>
          </cell>
          <cell r="F314" t="str">
            <v>Central Asia Sub-Regional Division</v>
          </cell>
          <cell r="G314" t="str">
            <v>Uzbek Rep.O.</v>
          </cell>
          <cell r="H314" t="str">
            <v>3002</v>
          </cell>
          <cell r="I314" t="str">
            <v>乌兹别克</v>
          </cell>
          <cell r="J314" t="str">
            <v>Uzbekistan</v>
          </cell>
          <cell r="K314" t="str">
            <v>Chinese employees</v>
          </cell>
          <cell r="L314" t="str">
            <v>L2</v>
          </cell>
          <cell r="M314" t="str">
            <v>ALL</v>
          </cell>
          <cell r="N314" t="str">
            <v>FLPC(含奖金)</v>
          </cell>
          <cell r="O314" t="str">
            <v>USD/小时</v>
          </cell>
          <cell r="P314">
            <v>45.47</v>
          </cell>
        </row>
        <row r="315">
          <cell r="A315" t="str">
            <v>Uzbekistan - Chinese employees - L3</v>
          </cell>
          <cell r="B315" t="str">
            <v>Current version</v>
          </cell>
          <cell r="C315" t="str">
            <v>V2009R2</v>
          </cell>
          <cell r="D315" t="str">
            <v>Labor Rate</v>
          </cell>
          <cell r="E315" t="str">
            <v>CIS</v>
          </cell>
          <cell r="F315" t="str">
            <v>Central Asia Sub-Regional Division</v>
          </cell>
          <cell r="G315" t="str">
            <v>Uzbek Rep.O.</v>
          </cell>
          <cell r="H315" t="str">
            <v>3002</v>
          </cell>
          <cell r="I315" t="str">
            <v>乌兹别克</v>
          </cell>
          <cell r="J315" t="str">
            <v>Uzbekistan</v>
          </cell>
          <cell r="K315" t="str">
            <v>Chinese employees</v>
          </cell>
          <cell r="L315" t="str">
            <v>L3</v>
          </cell>
          <cell r="M315" t="str">
            <v>ALL</v>
          </cell>
          <cell r="N315" t="str">
            <v>FLPC(含奖金)</v>
          </cell>
          <cell r="O315" t="str">
            <v>USD/小时</v>
          </cell>
          <cell r="P315">
            <v>56.31</v>
          </cell>
        </row>
        <row r="316">
          <cell r="A316" t="str">
            <v>Uzbekistan - Chinese employees - L4</v>
          </cell>
          <cell r="B316" t="str">
            <v>Current version</v>
          </cell>
          <cell r="C316" t="str">
            <v>V2009R2</v>
          </cell>
          <cell r="D316" t="str">
            <v>Labor Rate</v>
          </cell>
          <cell r="E316" t="str">
            <v>CIS</v>
          </cell>
          <cell r="F316" t="str">
            <v>Central Asia Sub-Regional Division</v>
          </cell>
          <cell r="G316" t="str">
            <v>Uzbek Rep.O.</v>
          </cell>
          <cell r="H316" t="str">
            <v>3002</v>
          </cell>
          <cell r="I316" t="str">
            <v>乌兹别克</v>
          </cell>
          <cell r="J316" t="str">
            <v>Uzbekistan</v>
          </cell>
          <cell r="K316" t="str">
            <v>Chinese employees</v>
          </cell>
          <cell r="L316" t="str">
            <v>L4</v>
          </cell>
          <cell r="M316" t="str">
            <v>ALL</v>
          </cell>
          <cell r="N316" t="str">
            <v>FLPC(含奖金)</v>
          </cell>
          <cell r="O316" t="str">
            <v>USD/小时</v>
          </cell>
          <cell r="P316">
            <v>92.91</v>
          </cell>
        </row>
        <row r="317">
          <cell r="A317" t="str">
            <v>Tashkent - Chinese employees - L0</v>
          </cell>
          <cell r="B317" t="str">
            <v>Current version</v>
          </cell>
          <cell r="C317" t="str">
            <v>V2009R2</v>
          </cell>
          <cell r="D317" t="str">
            <v>Labor Rate</v>
          </cell>
          <cell r="E317" t="str">
            <v>CIS</v>
          </cell>
          <cell r="F317" t="str">
            <v>Central Asia Sub-Regional Division</v>
          </cell>
          <cell r="G317" t="str">
            <v>Uzbek Rep.O.</v>
          </cell>
          <cell r="H317" t="str">
            <v>3020</v>
          </cell>
          <cell r="I317" t="str">
            <v>塔什干</v>
          </cell>
          <cell r="J317" t="str">
            <v>Tashkent</v>
          </cell>
          <cell r="K317" t="str">
            <v>Chinese employees</v>
          </cell>
          <cell r="L317" t="str">
            <v>L0</v>
          </cell>
          <cell r="M317" t="str">
            <v>ALL</v>
          </cell>
          <cell r="N317" t="str">
            <v>FLPC(含奖金)</v>
          </cell>
          <cell r="O317" t="str">
            <v>USD/小时</v>
          </cell>
          <cell r="P317">
            <v>31.1</v>
          </cell>
        </row>
        <row r="318">
          <cell r="A318" t="str">
            <v>Tashkent - Chinese employees - L1</v>
          </cell>
          <cell r="B318" t="str">
            <v>Current version</v>
          </cell>
          <cell r="C318" t="str">
            <v>V2009R2</v>
          </cell>
          <cell r="D318" t="str">
            <v>Labor Rate</v>
          </cell>
          <cell r="E318" t="str">
            <v>CIS</v>
          </cell>
          <cell r="F318" t="str">
            <v>Central Asia Sub-Regional Division</v>
          </cell>
          <cell r="G318" t="str">
            <v>Uzbek Rep.O.</v>
          </cell>
          <cell r="H318" t="str">
            <v>3020</v>
          </cell>
          <cell r="I318" t="str">
            <v>塔什干</v>
          </cell>
          <cell r="J318" t="str">
            <v>Tashkent</v>
          </cell>
          <cell r="K318" t="str">
            <v>Chinese employees</v>
          </cell>
          <cell r="L318" t="str">
            <v>L1</v>
          </cell>
          <cell r="M318" t="str">
            <v>ALL</v>
          </cell>
          <cell r="N318" t="str">
            <v>FLPC(含奖金)</v>
          </cell>
          <cell r="O318" t="str">
            <v>USD/小时</v>
          </cell>
          <cell r="P318">
            <v>36.43</v>
          </cell>
        </row>
        <row r="319">
          <cell r="A319" t="str">
            <v>Tashkent - Chinese employees - L2</v>
          </cell>
          <cell r="B319" t="str">
            <v>Current version</v>
          </cell>
          <cell r="C319" t="str">
            <v>V2009R2</v>
          </cell>
          <cell r="D319" t="str">
            <v>Labor Rate</v>
          </cell>
          <cell r="E319" t="str">
            <v>CIS</v>
          </cell>
          <cell r="F319" t="str">
            <v>Central Asia Sub-Regional Division</v>
          </cell>
          <cell r="G319" t="str">
            <v>Uzbek Rep.O.</v>
          </cell>
          <cell r="H319" t="str">
            <v>3020</v>
          </cell>
          <cell r="I319" t="str">
            <v>塔什干</v>
          </cell>
          <cell r="J319" t="str">
            <v>Tashkent</v>
          </cell>
          <cell r="K319" t="str">
            <v>Chinese employees</v>
          </cell>
          <cell r="L319" t="str">
            <v>L2</v>
          </cell>
          <cell r="M319" t="str">
            <v>ALL</v>
          </cell>
          <cell r="N319" t="str">
            <v>FLPC(含奖金)</v>
          </cell>
          <cell r="O319" t="str">
            <v>USD/小时</v>
          </cell>
          <cell r="P319">
            <v>43.35</v>
          </cell>
        </row>
        <row r="320">
          <cell r="A320" t="str">
            <v>Tashkent - Chinese employees - L3</v>
          </cell>
          <cell r="B320" t="str">
            <v>Current version</v>
          </cell>
          <cell r="C320" t="str">
            <v>V2009R2</v>
          </cell>
          <cell r="D320" t="str">
            <v>Labor Rate</v>
          </cell>
          <cell r="E320" t="str">
            <v>CIS</v>
          </cell>
          <cell r="F320" t="str">
            <v>Central Asia Sub-Regional Division</v>
          </cell>
          <cell r="G320" t="str">
            <v>Uzbek Rep.O.</v>
          </cell>
          <cell r="H320" t="str">
            <v>3020</v>
          </cell>
          <cell r="I320" t="str">
            <v>塔什干</v>
          </cell>
          <cell r="J320" t="str">
            <v>Tashkent</v>
          </cell>
          <cell r="K320" t="str">
            <v>Chinese employees</v>
          </cell>
          <cell r="L320" t="str">
            <v>L3</v>
          </cell>
          <cell r="M320" t="str">
            <v>ALL</v>
          </cell>
          <cell r="N320" t="str">
            <v>FLPC(含奖金)</v>
          </cell>
          <cell r="O320" t="str">
            <v>USD/小时</v>
          </cell>
          <cell r="P320">
            <v>53.25</v>
          </cell>
        </row>
        <row r="321">
          <cell r="A321" t="str">
            <v>Tashkent - Chinese employees - L4</v>
          </cell>
          <cell r="B321" t="str">
            <v>Current version</v>
          </cell>
          <cell r="C321" t="str">
            <v>V2009R2</v>
          </cell>
          <cell r="D321" t="str">
            <v>Labor Rate</v>
          </cell>
          <cell r="E321" t="str">
            <v>CIS</v>
          </cell>
          <cell r="F321" t="str">
            <v>Central Asia Sub-Regional Division</v>
          </cell>
          <cell r="G321" t="str">
            <v>Uzbek Rep.O.</v>
          </cell>
          <cell r="H321" t="str">
            <v>3020</v>
          </cell>
          <cell r="I321" t="str">
            <v>塔什干</v>
          </cell>
          <cell r="J321" t="str">
            <v>Tashkent</v>
          </cell>
          <cell r="K321" t="str">
            <v>Chinese employees</v>
          </cell>
          <cell r="L321" t="str">
            <v>L4</v>
          </cell>
          <cell r="M321" t="str">
            <v>ALL</v>
          </cell>
          <cell r="N321" t="str">
            <v>FLPC(含奖金)</v>
          </cell>
          <cell r="O321" t="str">
            <v>USD/小时</v>
          </cell>
          <cell r="P321">
            <v>88.91</v>
          </cell>
        </row>
        <row r="322">
          <cell r="A322" t="str">
            <v>Middle Asia - Chinese employees - L0</v>
          </cell>
          <cell r="B322" t="str">
            <v>Current version</v>
          </cell>
          <cell r="C322" t="str">
            <v>V2009R2</v>
          </cell>
          <cell r="D322" t="str">
            <v>Labor Rate</v>
          </cell>
          <cell r="E322" t="str">
            <v>CIS</v>
          </cell>
          <cell r="F322" t="str">
            <v>Central Asia Sub-Regional Division</v>
          </cell>
          <cell r="G322" t="str">
            <v>Uzbek Rep.O.</v>
          </cell>
          <cell r="H322" t="str">
            <v>3022</v>
          </cell>
          <cell r="I322" t="str">
            <v>中亚</v>
          </cell>
          <cell r="J322" t="str">
            <v>Middle Asia</v>
          </cell>
          <cell r="K322" t="str">
            <v>Chinese employees</v>
          </cell>
          <cell r="L322" t="str">
            <v>L0</v>
          </cell>
          <cell r="M322" t="str">
            <v>ALL</v>
          </cell>
          <cell r="N322" t="str">
            <v>FLPC(含奖金)</v>
          </cell>
          <cell r="O322" t="str">
            <v>USD/小时</v>
          </cell>
          <cell r="P322">
            <v>33.049999999999997</v>
          </cell>
        </row>
        <row r="323">
          <cell r="A323" t="str">
            <v>Middle Asia - Chinese employees - L1</v>
          </cell>
          <cell r="B323" t="str">
            <v>Current version</v>
          </cell>
          <cell r="C323" t="str">
            <v>V2009R2</v>
          </cell>
          <cell r="D323" t="str">
            <v>Labor Rate</v>
          </cell>
          <cell r="E323" t="str">
            <v>CIS</v>
          </cell>
          <cell r="F323" t="str">
            <v>Central Asia Sub-Regional Division</v>
          </cell>
          <cell r="G323" t="str">
            <v>Uzbek Rep.O.</v>
          </cell>
          <cell r="H323" t="str">
            <v>3022</v>
          </cell>
          <cell r="I323" t="str">
            <v>中亚</v>
          </cell>
          <cell r="J323" t="str">
            <v>Middle Asia</v>
          </cell>
          <cell r="K323" t="str">
            <v>Chinese employees</v>
          </cell>
          <cell r="L323" t="str">
            <v>L1</v>
          </cell>
          <cell r="M323" t="str">
            <v>ALL</v>
          </cell>
          <cell r="N323" t="str">
            <v>FLPC(含奖金)</v>
          </cell>
          <cell r="O323" t="str">
            <v>USD/小时</v>
          </cell>
          <cell r="P323">
            <v>38.380000000000003</v>
          </cell>
        </row>
        <row r="324">
          <cell r="A324" t="str">
            <v>Middle Asia - Chinese employees - L2</v>
          </cell>
          <cell r="B324" t="str">
            <v>Current version</v>
          </cell>
          <cell r="C324" t="str">
            <v>V2009R2</v>
          </cell>
          <cell r="D324" t="str">
            <v>Labor Rate</v>
          </cell>
          <cell r="E324" t="str">
            <v>CIS</v>
          </cell>
          <cell r="F324" t="str">
            <v>Central Asia Sub-Regional Division</v>
          </cell>
          <cell r="G324" t="str">
            <v>Uzbek Rep.O.</v>
          </cell>
          <cell r="H324" t="str">
            <v>3022</v>
          </cell>
          <cell r="I324" t="str">
            <v>中亚</v>
          </cell>
          <cell r="J324" t="str">
            <v>Middle Asia</v>
          </cell>
          <cell r="K324" t="str">
            <v>Chinese employees</v>
          </cell>
          <cell r="L324" t="str">
            <v>L2</v>
          </cell>
          <cell r="M324" t="str">
            <v>ALL</v>
          </cell>
          <cell r="N324" t="str">
            <v>FLPC(含奖金)</v>
          </cell>
          <cell r="O324" t="str">
            <v>USD/小时</v>
          </cell>
          <cell r="P324">
            <v>45.3</v>
          </cell>
        </row>
        <row r="325">
          <cell r="A325" t="str">
            <v>Middle Asia - Chinese employees - L3</v>
          </cell>
          <cell r="B325" t="str">
            <v>Current version</v>
          </cell>
          <cell r="C325" t="str">
            <v>V2009R2</v>
          </cell>
          <cell r="D325" t="str">
            <v>Labor Rate</v>
          </cell>
          <cell r="E325" t="str">
            <v>CIS</v>
          </cell>
          <cell r="F325" t="str">
            <v>Central Asia Sub-Regional Division</v>
          </cell>
          <cell r="G325" t="str">
            <v>Uzbek Rep.O.</v>
          </cell>
          <cell r="H325" t="str">
            <v>3022</v>
          </cell>
          <cell r="I325" t="str">
            <v>中亚</v>
          </cell>
          <cell r="J325" t="str">
            <v>Middle Asia</v>
          </cell>
          <cell r="K325" t="str">
            <v>Chinese employees</v>
          </cell>
          <cell r="L325" t="str">
            <v>L3</v>
          </cell>
          <cell r="M325" t="str">
            <v>ALL</v>
          </cell>
          <cell r="N325" t="str">
            <v>FLPC(含奖金)</v>
          </cell>
          <cell r="O325" t="str">
            <v>USD/小时</v>
          </cell>
          <cell r="P325">
            <v>55.19</v>
          </cell>
        </row>
        <row r="326">
          <cell r="A326" t="str">
            <v>Middle Asia - Chinese employees - L4</v>
          </cell>
          <cell r="B326" t="str">
            <v>Current version</v>
          </cell>
          <cell r="C326" t="str">
            <v>V2009R2</v>
          </cell>
          <cell r="D326" t="str">
            <v>Labor Rate</v>
          </cell>
          <cell r="E326" t="str">
            <v>CIS</v>
          </cell>
          <cell r="F326" t="str">
            <v>Central Asia Sub-Regional Division</v>
          </cell>
          <cell r="G326" t="str">
            <v>Uzbek Rep.O.</v>
          </cell>
          <cell r="H326" t="str">
            <v>3022</v>
          </cell>
          <cell r="I326" t="str">
            <v>中亚</v>
          </cell>
          <cell r="J326" t="str">
            <v>Middle Asia</v>
          </cell>
          <cell r="K326" t="str">
            <v>Chinese employees</v>
          </cell>
          <cell r="L326" t="str">
            <v>L4</v>
          </cell>
          <cell r="M326" t="str">
            <v>ALL</v>
          </cell>
          <cell r="N326" t="str">
            <v>FLPC(含奖金)</v>
          </cell>
          <cell r="O326" t="str">
            <v>USD/小时</v>
          </cell>
          <cell r="P326">
            <v>90.86</v>
          </cell>
        </row>
        <row r="327">
          <cell r="A327" t="str">
            <v>Mongolia - Chinese employees - L0</v>
          </cell>
          <cell r="B327" t="str">
            <v>Current version</v>
          </cell>
          <cell r="C327" t="str">
            <v>V2009R2</v>
          </cell>
          <cell r="D327" t="str">
            <v>Labor Rate</v>
          </cell>
          <cell r="E327" t="str">
            <v>CIS</v>
          </cell>
          <cell r="F327" t="str">
            <v>Central Asia Sub-Regional Division</v>
          </cell>
          <cell r="G327" t="str">
            <v>Uzbek Rep.O.</v>
          </cell>
          <cell r="H327" t="str">
            <v>2999</v>
          </cell>
          <cell r="I327" t="str">
            <v>蒙古</v>
          </cell>
          <cell r="J327" t="str">
            <v>Mongolia</v>
          </cell>
          <cell r="K327" t="str">
            <v>Chinese employees</v>
          </cell>
          <cell r="L327" t="str">
            <v>L0</v>
          </cell>
          <cell r="M327" t="str">
            <v>ALL</v>
          </cell>
          <cell r="N327" t="str">
            <v>FLPC(含奖金)</v>
          </cell>
          <cell r="O327" t="str">
            <v>USD/小时</v>
          </cell>
          <cell r="P327">
            <v>36.46</v>
          </cell>
        </row>
        <row r="328">
          <cell r="A328" t="str">
            <v>Mongolia - Chinese employees - L1</v>
          </cell>
          <cell r="B328" t="str">
            <v>Current version</v>
          </cell>
          <cell r="C328" t="str">
            <v>V2009R2</v>
          </cell>
          <cell r="D328" t="str">
            <v>Labor Rate</v>
          </cell>
          <cell r="E328" t="str">
            <v>CIS</v>
          </cell>
          <cell r="F328" t="str">
            <v>Central Asia Sub-Regional Division</v>
          </cell>
          <cell r="G328" t="str">
            <v>Uzbek Rep.O.</v>
          </cell>
          <cell r="H328" t="str">
            <v>2999</v>
          </cell>
          <cell r="I328" t="str">
            <v>蒙古</v>
          </cell>
          <cell r="J328" t="str">
            <v>Mongolia</v>
          </cell>
          <cell r="K328" t="str">
            <v>Chinese employees</v>
          </cell>
          <cell r="L328" t="str">
            <v>L1</v>
          </cell>
          <cell r="M328" t="str">
            <v>ALL</v>
          </cell>
          <cell r="N328" t="str">
            <v>FLPC(含奖金)</v>
          </cell>
          <cell r="O328" t="str">
            <v>USD/小时</v>
          </cell>
          <cell r="P328">
            <v>41.88</v>
          </cell>
        </row>
        <row r="329">
          <cell r="A329" t="str">
            <v>Mongolia - Chinese employees - L2</v>
          </cell>
          <cell r="B329" t="str">
            <v>Current version</v>
          </cell>
          <cell r="C329" t="str">
            <v>V2009R2</v>
          </cell>
          <cell r="D329" t="str">
            <v>Labor Rate</v>
          </cell>
          <cell r="E329" t="str">
            <v>CIS</v>
          </cell>
          <cell r="F329" t="str">
            <v>Central Asia Sub-Regional Division</v>
          </cell>
          <cell r="G329" t="str">
            <v>Uzbek Rep.O.</v>
          </cell>
          <cell r="H329" t="str">
            <v>2999</v>
          </cell>
          <cell r="I329" t="str">
            <v>蒙古</v>
          </cell>
          <cell r="J329" t="str">
            <v>Mongolia</v>
          </cell>
          <cell r="K329" t="str">
            <v>Chinese employees</v>
          </cell>
          <cell r="L329" t="str">
            <v>L2</v>
          </cell>
          <cell r="M329" t="str">
            <v>ALL</v>
          </cell>
          <cell r="N329" t="str">
            <v>FLPC(含奖金)</v>
          </cell>
          <cell r="O329" t="str">
            <v>USD/小时</v>
          </cell>
          <cell r="P329">
            <v>48.91</v>
          </cell>
        </row>
        <row r="330">
          <cell r="A330" t="str">
            <v>Mongolia - Chinese employees - L3</v>
          </cell>
          <cell r="B330" t="str">
            <v>Current version</v>
          </cell>
          <cell r="C330" t="str">
            <v>V2009R2</v>
          </cell>
          <cell r="D330" t="str">
            <v>Labor Rate</v>
          </cell>
          <cell r="E330" t="str">
            <v>CIS</v>
          </cell>
          <cell r="F330" t="str">
            <v>Central Asia Sub-Regional Division</v>
          </cell>
          <cell r="G330" t="str">
            <v>Uzbek Rep.O.</v>
          </cell>
          <cell r="H330" t="str">
            <v>2999</v>
          </cell>
          <cell r="I330" t="str">
            <v>蒙古</v>
          </cell>
          <cell r="J330" t="str">
            <v>Mongolia</v>
          </cell>
          <cell r="K330" t="str">
            <v>Chinese employees</v>
          </cell>
          <cell r="L330" t="str">
            <v>L3</v>
          </cell>
          <cell r="M330" t="str">
            <v>ALL</v>
          </cell>
          <cell r="N330" t="str">
            <v>FLPC(含奖金)</v>
          </cell>
          <cell r="O330" t="str">
            <v>USD/小时</v>
          </cell>
          <cell r="P330">
            <v>58.96</v>
          </cell>
        </row>
        <row r="331">
          <cell r="A331" t="str">
            <v>Mongolia - Chinese employees - L4</v>
          </cell>
          <cell r="B331" t="str">
            <v>Current version</v>
          </cell>
          <cell r="C331" t="str">
            <v>V2009R2</v>
          </cell>
          <cell r="D331" t="str">
            <v>Labor Rate</v>
          </cell>
          <cell r="E331" t="str">
            <v>CIS</v>
          </cell>
          <cell r="F331" t="str">
            <v>Central Asia Sub-Regional Division</v>
          </cell>
          <cell r="G331" t="str">
            <v>Uzbek Rep.O.</v>
          </cell>
          <cell r="H331" t="str">
            <v>2999</v>
          </cell>
          <cell r="I331" t="str">
            <v>蒙古</v>
          </cell>
          <cell r="J331" t="str">
            <v>Mongolia</v>
          </cell>
          <cell r="K331" t="str">
            <v>Chinese employees</v>
          </cell>
          <cell r="L331" t="str">
            <v>L4</v>
          </cell>
          <cell r="M331" t="str">
            <v>ALL</v>
          </cell>
          <cell r="N331" t="str">
            <v>FLPC(含奖金)</v>
          </cell>
          <cell r="O331" t="str">
            <v>USD/小时</v>
          </cell>
          <cell r="P331">
            <v>95.19</v>
          </cell>
        </row>
        <row r="332">
          <cell r="A332" t="str">
            <v>Tajikistan - Chinese employees - L0</v>
          </cell>
          <cell r="B332" t="str">
            <v>Current version</v>
          </cell>
          <cell r="C332" t="str">
            <v>V2009R2</v>
          </cell>
          <cell r="D332" t="str">
            <v>Labor Rate</v>
          </cell>
          <cell r="E332" t="str">
            <v>CIS</v>
          </cell>
          <cell r="F332" t="str">
            <v>Central Asia Sub-Regional Division</v>
          </cell>
          <cell r="G332" t="str">
            <v>Uzbek Rep.O.</v>
          </cell>
          <cell r="H332" t="str">
            <v>3003</v>
          </cell>
          <cell r="I332" t="str">
            <v>塔吉克斯坦</v>
          </cell>
          <cell r="J332" t="str">
            <v>Tajikistan</v>
          </cell>
          <cell r="K332" t="str">
            <v>Chinese employees</v>
          </cell>
          <cell r="L332" t="str">
            <v>L0</v>
          </cell>
          <cell r="M332" t="str">
            <v>ALL</v>
          </cell>
          <cell r="N332" t="str">
            <v>FLPC(含奖金)</v>
          </cell>
          <cell r="O332" t="str">
            <v>USD/小时</v>
          </cell>
          <cell r="P332">
            <v>36.729999999999997</v>
          </cell>
        </row>
        <row r="333">
          <cell r="A333" t="str">
            <v>Tajikistan - Chinese employees - L1</v>
          </cell>
          <cell r="B333" t="str">
            <v>Current version</v>
          </cell>
          <cell r="C333" t="str">
            <v>V2009R2</v>
          </cell>
          <cell r="D333" t="str">
            <v>Labor Rate</v>
          </cell>
          <cell r="E333" t="str">
            <v>CIS</v>
          </cell>
          <cell r="F333" t="str">
            <v>Central Asia Sub-Regional Division</v>
          </cell>
          <cell r="G333" t="str">
            <v>Uzbek Rep.O.</v>
          </cell>
          <cell r="H333" t="str">
            <v>3003</v>
          </cell>
          <cell r="I333" t="str">
            <v>塔吉克斯坦</v>
          </cell>
          <cell r="J333" t="str">
            <v>Tajikistan</v>
          </cell>
          <cell r="K333" t="str">
            <v>Chinese employees</v>
          </cell>
          <cell r="L333" t="str">
            <v>L1</v>
          </cell>
          <cell r="M333" t="str">
            <v>ALL</v>
          </cell>
          <cell r="N333" t="str">
            <v>FLPC(含奖金)</v>
          </cell>
          <cell r="O333" t="str">
            <v>USD/小时</v>
          </cell>
          <cell r="P333">
            <v>42.17</v>
          </cell>
        </row>
        <row r="334">
          <cell r="A334" t="str">
            <v>Tajikistan - Chinese employees - L2</v>
          </cell>
          <cell r="B334" t="str">
            <v>Current version</v>
          </cell>
          <cell r="C334" t="str">
            <v>V2009R2</v>
          </cell>
          <cell r="D334" t="str">
            <v>Labor Rate</v>
          </cell>
          <cell r="E334" t="str">
            <v>CIS</v>
          </cell>
          <cell r="F334" t="str">
            <v>Central Asia Sub-Regional Division</v>
          </cell>
          <cell r="G334" t="str">
            <v>Uzbek Rep.O.</v>
          </cell>
          <cell r="H334" t="str">
            <v>3003</v>
          </cell>
          <cell r="I334" t="str">
            <v>塔吉克斯坦</v>
          </cell>
          <cell r="J334" t="str">
            <v>Tajikistan</v>
          </cell>
          <cell r="K334" t="str">
            <v>Chinese employees</v>
          </cell>
          <cell r="L334" t="str">
            <v>L2</v>
          </cell>
          <cell r="M334" t="str">
            <v>ALL</v>
          </cell>
          <cell r="N334" t="str">
            <v>FLPC(含奖金)</v>
          </cell>
          <cell r="O334" t="str">
            <v>USD/小时</v>
          </cell>
          <cell r="P334">
            <v>49.22</v>
          </cell>
        </row>
        <row r="335">
          <cell r="A335" t="str">
            <v>Tajikistan - Chinese employees - L3</v>
          </cell>
          <cell r="B335" t="str">
            <v>Current version</v>
          </cell>
          <cell r="C335" t="str">
            <v>V2009R2</v>
          </cell>
          <cell r="D335" t="str">
            <v>Labor Rate</v>
          </cell>
          <cell r="E335" t="str">
            <v>CIS</v>
          </cell>
          <cell r="F335" t="str">
            <v>Central Asia Sub-Regional Division</v>
          </cell>
          <cell r="G335" t="str">
            <v>Uzbek Rep.O.</v>
          </cell>
          <cell r="H335" t="str">
            <v>3003</v>
          </cell>
          <cell r="I335" t="str">
            <v>塔吉克斯坦</v>
          </cell>
          <cell r="J335" t="str">
            <v>Tajikistan</v>
          </cell>
          <cell r="K335" t="str">
            <v>Chinese employees</v>
          </cell>
          <cell r="L335" t="str">
            <v>L3</v>
          </cell>
          <cell r="M335" t="str">
            <v>ALL</v>
          </cell>
          <cell r="N335" t="str">
            <v>FLPC(含奖金)</v>
          </cell>
          <cell r="O335" t="str">
            <v>USD/小时</v>
          </cell>
          <cell r="P335">
            <v>59.32</v>
          </cell>
        </row>
        <row r="336">
          <cell r="A336" t="str">
            <v>Tajikistan - Chinese employees - L4</v>
          </cell>
          <cell r="B336" t="str">
            <v>Current version</v>
          </cell>
          <cell r="C336" t="str">
            <v>V2009R2</v>
          </cell>
          <cell r="D336" t="str">
            <v>Labor Rate</v>
          </cell>
          <cell r="E336" t="str">
            <v>CIS</v>
          </cell>
          <cell r="F336" t="str">
            <v>Central Asia Sub-Regional Division</v>
          </cell>
          <cell r="G336" t="str">
            <v>Uzbek Rep.O.</v>
          </cell>
          <cell r="H336" t="str">
            <v>3003</v>
          </cell>
          <cell r="I336" t="str">
            <v>塔吉克斯坦</v>
          </cell>
          <cell r="J336" t="str">
            <v>Tajikistan</v>
          </cell>
          <cell r="K336" t="str">
            <v>Chinese employees</v>
          </cell>
          <cell r="L336" t="str">
            <v>L4</v>
          </cell>
          <cell r="M336" t="str">
            <v>ALL</v>
          </cell>
          <cell r="N336" t="str">
            <v>FLPC(含奖金)</v>
          </cell>
          <cell r="O336" t="str">
            <v>USD/小时</v>
          </cell>
          <cell r="P336">
            <v>95.69</v>
          </cell>
        </row>
        <row r="337">
          <cell r="A337" t="str">
            <v>Bangladesh - Chinese employees - L0</v>
          </cell>
          <cell r="B337" t="str">
            <v>Current version</v>
          </cell>
          <cell r="C337" t="str">
            <v>V2009R2</v>
          </cell>
          <cell r="D337" t="str">
            <v>Labor Rate</v>
          </cell>
          <cell r="E337" t="str">
            <v>AP</v>
          </cell>
          <cell r="F337" t="str">
            <v>Southern Pacific Sub-Regional Division</v>
          </cell>
          <cell r="G337" t="str">
            <v>孟加拉代表处</v>
          </cell>
          <cell r="H337" t="str">
            <v>1207</v>
          </cell>
          <cell r="I337" t="str">
            <v>孟加拉</v>
          </cell>
          <cell r="J337" t="str">
            <v>Bangladesh</v>
          </cell>
          <cell r="K337" t="str">
            <v>Chinese employees</v>
          </cell>
          <cell r="L337" t="str">
            <v>L0</v>
          </cell>
          <cell r="M337" t="str">
            <v>ALL</v>
          </cell>
          <cell r="N337" t="str">
            <v>FLPC(含奖金)</v>
          </cell>
          <cell r="O337" t="str">
            <v>USD/小时</v>
          </cell>
          <cell r="P337">
            <v>36.65</v>
          </cell>
        </row>
        <row r="338">
          <cell r="A338" t="str">
            <v>Bangladesh - Chinese employees - L1</v>
          </cell>
          <cell r="B338" t="str">
            <v>Current version</v>
          </cell>
          <cell r="C338" t="str">
            <v>V2009R2</v>
          </cell>
          <cell r="D338" t="str">
            <v>Labor Rate</v>
          </cell>
          <cell r="E338" t="str">
            <v>AP</v>
          </cell>
          <cell r="F338" t="str">
            <v>Southern Pacific Sub-Regional Division</v>
          </cell>
          <cell r="G338" t="str">
            <v>孟加拉代表处</v>
          </cell>
          <cell r="H338" t="str">
            <v>1207</v>
          </cell>
          <cell r="I338" t="str">
            <v>孟加拉</v>
          </cell>
          <cell r="J338" t="str">
            <v>Bangladesh</v>
          </cell>
          <cell r="K338" t="str">
            <v>Chinese employees</v>
          </cell>
          <cell r="L338" t="str">
            <v>L1</v>
          </cell>
          <cell r="M338" t="str">
            <v>ALL</v>
          </cell>
          <cell r="N338" t="str">
            <v>FLPC(含奖金)</v>
          </cell>
          <cell r="O338" t="str">
            <v>USD/小时</v>
          </cell>
          <cell r="P338">
            <v>42.85</v>
          </cell>
        </row>
        <row r="339">
          <cell r="A339" t="str">
            <v>Bangladesh - Chinese employees - L2</v>
          </cell>
          <cell r="B339" t="str">
            <v>Current version</v>
          </cell>
          <cell r="C339" t="str">
            <v>V2009R2</v>
          </cell>
          <cell r="D339" t="str">
            <v>Labor Rate</v>
          </cell>
          <cell r="E339" t="str">
            <v>AP</v>
          </cell>
          <cell r="F339" t="str">
            <v>Southern Pacific Sub-Regional Division</v>
          </cell>
          <cell r="G339" t="str">
            <v>孟加拉代表处</v>
          </cell>
          <cell r="H339" t="str">
            <v>1207</v>
          </cell>
          <cell r="I339" t="str">
            <v>孟加拉</v>
          </cell>
          <cell r="J339" t="str">
            <v>Bangladesh</v>
          </cell>
          <cell r="K339" t="str">
            <v>Chinese employees</v>
          </cell>
          <cell r="L339" t="str">
            <v>L2</v>
          </cell>
          <cell r="M339" t="str">
            <v>ALL</v>
          </cell>
          <cell r="N339" t="str">
            <v>FLPC(含奖金)</v>
          </cell>
          <cell r="O339" t="str">
            <v>USD/小时</v>
          </cell>
          <cell r="P339">
            <v>51.45</v>
          </cell>
        </row>
        <row r="340">
          <cell r="A340" t="str">
            <v>Bangladesh - Chinese employees - L3</v>
          </cell>
          <cell r="B340" t="str">
            <v>Current version</v>
          </cell>
          <cell r="C340" t="str">
            <v>V2009R2</v>
          </cell>
          <cell r="D340" t="str">
            <v>Labor Rate</v>
          </cell>
          <cell r="E340" t="str">
            <v>AP</v>
          </cell>
          <cell r="F340" t="str">
            <v>Southern Pacific Sub-Regional Division</v>
          </cell>
          <cell r="G340" t="str">
            <v>孟加拉代表处</v>
          </cell>
          <cell r="H340" t="str">
            <v>1207</v>
          </cell>
          <cell r="I340" t="str">
            <v>孟加拉</v>
          </cell>
          <cell r="J340" t="str">
            <v>Bangladesh</v>
          </cell>
          <cell r="K340" t="str">
            <v>Chinese employees</v>
          </cell>
          <cell r="L340" t="str">
            <v>L3</v>
          </cell>
          <cell r="M340" t="str">
            <v>ALL</v>
          </cell>
          <cell r="N340" t="str">
            <v>FLPC(含奖金)</v>
          </cell>
          <cell r="O340" t="str">
            <v>USD/小时</v>
          </cell>
          <cell r="P340">
            <v>62.37</v>
          </cell>
        </row>
        <row r="341">
          <cell r="A341" t="str">
            <v>Bangladesh - Chinese employees - L4</v>
          </cell>
          <cell r="B341" t="str">
            <v>Current version</v>
          </cell>
          <cell r="C341" t="str">
            <v>V2009R2</v>
          </cell>
          <cell r="D341" t="str">
            <v>Labor Rate</v>
          </cell>
          <cell r="E341" t="str">
            <v>AP</v>
          </cell>
          <cell r="F341" t="str">
            <v>Southern Pacific Sub-Regional Division</v>
          </cell>
          <cell r="G341" t="str">
            <v>孟加拉代表处</v>
          </cell>
          <cell r="H341" t="str">
            <v>1207</v>
          </cell>
          <cell r="I341" t="str">
            <v>孟加拉</v>
          </cell>
          <cell r="J341" t="str">
            <v>Bangladesh</v>
          </cell>
          <cell r="K341" t="str">
            <v>Chinese employees</v>
          </cell>
          <cell r="L341" t="str">
            <v>L4</v>
          </cell>
          <cell r="M341" t="str">
            <v>ALL</v>
          </cell>
          <cell r="N341" t="str">
            <v>FLPC(含奖金)</v>
          </cell>
          <cell r="O341" t="str">
            <v>USD/小时</v>
          </cell>
          <cell r="P341">
            <v>103.77</v>
          </cell>
        </row>
        <row r="342">
          <cell r="A342" t="str">
            <v>Bhutan - Chinese employees - L0</v>
          </cell>
          <cell r="B342" t="str">
            <v>Current version</v>
          </cell>
          <cell r="C342" t="str">
            <v>V2009R2</v>
          </cell>
          <cell r="D342" t="str">
            <v>Labor Rate</v>
          </cell>
          <cell r="E342" t="str">
            <v>AP</v>
          </cell>
          <cell r="F342" t="str">
            <v>Southern Pacific Sub-Regional Division</v>
          </cell>
          <cell r="G342" t="str">
            <v>孟加拉代表处</v>
          </cell>
          <cell r="H342" t="str">
            <v>1226</v>
          </cell>
          <cell r="I342" t="str">
            <v>不丹</v>
          </cell>
          <cell r="J342" t="str">
            <v>Bhutan</v>
          </cell>
          <cell r="K342" t="str">
            <v>Chinese employees</v>
          </cell>
          <cell r="L342" t="str">
            <v>L0</v>
          </cell>
          <cell r="M342" t="str">
            <v>ALL</v>
          </cell>
          <cell r="N342" t="str">
            <v>FLPC(含奖金)</v>
          </cell>
          <cell r="O342" t="str">
            <v>USD/小时</v>
          </cell>
          <cell r="P342">
            <v>33.590000000000003</v>
          </cell>
        </row>
        <row r="343">
          <cell r="A343" t="str">
            <v>Bhutan - Chinese employees - L1</v>
          </cell>
          <cell r="B343" t="str">
            <v>Current version</v>
          </cell>
          <cell r="C343" t="str">
            <v>V2009R2</v>
          </cell>
          <cell r="D343" t="str">
            <v>Labor Rate</v>
          </cell>
          <cell r="E343" t="str">
            <v>AP</v>
          </cell>
          <cell r="F343" t="str">
            <v>Southern Pacific Sub-Regional Division</v>
          </cell>
          <cell r="G343" t="str">
            <v>孟加拉代表处</v>
          </cell>
          <cell r="H343" t="str">
            <v>1226</v>
          </cell>
          <cell r="I343" t="str">
            <v>不丹</v>
          </cell>
          <cell r="J343" t="str">
            <v>Bhutan</v>
          </cell>
          <cell r="K343" t="str">
            <v>Chinese employees</v>
          </cell>
          <cell r="L343" t="str">
            <v>L1</v>
          </cell>
          <cell r="M343" t="str">
            <v>ALL</v>
          </cell>
          <cell r="N343" t="str">
            <v>FLPC(含奖金)</v>
          </cell>
          <cell r="O343" t="str">
            <v>USD/小时</v>
          </cell>
          <cell r="P343">
            <v>39.78</v>
          </cell>
        </row>
        <row r="344">
          <cell r="A344" t="str">
            <v>Bhutan - Chinese employees - L2</v>
          </cell>
          <cell r="B344" t="str">
            <v>Current version</v>
          </cell>
          <cell r="C344" t="str">
            <v>V2009R2</v>
          </cell>
          <cell r="D344" t="str">
            <v>Labor Rate</v>
          </cell>
          <cell r="E344" t="str">
            <v>AP</v>
          </cell>
          <cell r="F344" t="str">
            <v>Southern Pacific Sub-Regional Division</v>
          </cell>
          <cell r="G344" t="str">
            <v>孟加拉代表处</v>
          </cell>
          <cell r="H344" t="str">
            <v>1226</v>
          </cell>
          <cell r="I344" t="str">
            <v>不丹</v>
          </cell>
          <cell r="J344" t="str">
            <v>Bhutan</v>
          </cell>
          <cell r="K344" t="str">
            <v>Chinese employees</v>
          </cell>
          <cell r="L344" t="str">
            <v>L2</v>
          </cell>
          <cell r="M344" t="str">
            <v>ALL</v>
          </cell>
          <cell r="N344" t="str">
            <v>FLPC(含奖金)</v>
          </cell>
          <cell r="O344" t="str">
            <v>USD/小时</v>
          </cell>
          <cell r="P344">
            <v>47.81</v>
          </cell>
        </row>
        <row r="345">
          <cell r="A345" t="str">
            <v>Bhutan - Chinese employees - L3</v>
          </cell>
          <cell r="B345" t="str">
            <v>Current version</v>
          </cell>
          <cell r="C345" t="str">
            <v>V2009R2</v>
          </cell>
          <cell r="D345" t="str">
            <v>Labor Rate</v>
          </cell>
          <cell r="E345" t="str">
            <v>AP</v>
          </cell>
          <cell r="F345" t="str">
            <v>Southern Pacific Sub-Regional Division</v>
          </cell>
          <cell r="G345" t="str">
            <v>孟加拉代表处</v>
          </cell>
          <cell r="H345" t="str">
            <v>1226</v>
          </cell>
          <cell r="I345" t="str">
            <v>不丹</v>
          </cell>
          <cell r="J345" t="str">
            <v>Bhutan</v>
          </cell>
          <cell r="K345" t="str">
            <v>Chinese employees</v>
          </cell>
          <cell r="L345" t="str">
            <v>L3</v>
          </cell>
          <cell r="M345" t="str">
            <v>ALL</v>
          </cell>
          <cell r="N345" t="str">
            <v>FLPC(含奖金)</v>
          </cell>
          <cell r="O345" t="str">
            <v>USD/小时</v>
          </cell>
          <cell r="P345">
            <v>59.3</v>
          </cell>
        </row>
        <row r="346">
          <cell r="A346" t="str">
            <v>Bhutan - Chinese employees - L4</v>
          </cell>
          <cell r="B346" t="str">
            <v>Current version</v>
          </cell>
          <cell r="C346" t="str">
            <v>V2009R2</v>
          </cell>
          <cell r="D346" t="str">
            <v>Labor Rate</v>
          </cell>
          <cell r="E346" t="str">
            <v>AP</v>
          </cell>
          <cell r="F346" t="str">
            <v>Southern Pacific Sub-Regional Division</v>
          </cell>
          <cell r="G346" t="str">
            <v>孟加拉代表处</v>
          </cell>
          <cell r="H346" t="str">
            <v>1226</v>
          </cell>
          <cell r="I346" t="str">
            <v>不丹</v>
          </cell>
          <cell r="J346" t="str">
            <v>Bhutan</v>
          </cell>
          <cell r="K346" t="str">
            <v>Chinese employees</v>
          </cell>
          <cell r="L346" t="str">
            <v>L4</v>
          </cell>
          <cell r="M346" t="str">
            <v>ALL</v>
          </cell>
          <cell r="N346" t="str">
            <v>FLPC(含奖金)</v>
          </cell>
          <cell r="O346" t="str">
            <v>USD/小时</v>
          </cell>
          <cell r="P346">
            <v>100.7</v>
          </cell>
        </row>
        <row r="347">
          <cell r="A347" t="str">
            <v>Singapore - Chinese employees - L0</v>
          </cell>
          <cell r="B347" t="str">
            <v>Current version</v>
          </cell>
          <cell r="C347" t="str">
            <v>V2009R2</v>
          </cell>
          <cell r="D347" t="str">
            <v>Labor Rate</v>
          </cell>
          <cell r="E347" t="str">
            <v>AP</v>
          </cell>
          <cell r="F347" t="str">
            <v>Southern Pacific Sub-Regional Division</v>
          </cell>
          <cell r="G347" t="str">
            <v>Singapore</v>
          </cell>
          <cell r="H347" t="str">
            <v>1210</v>
          </cell>
          <cell r="I347" t="str">
            <v>新加坡</v>
          </cell>
          <cell r="J347" t="str">
            <v>Singapore</v>
          </cell>
          <cell r="K347" t="str">
            <v>Chinese employees</v>
          </cell>
          <cell r="L347" t="str">
            <v>L0</v>
          </cell>
          <cell r="M347" t="str">
            <v>ALL</v>
          </cell>
          <cell r="N347" t="str">
            <v>FLPC(含奖金)</v>
          </cell>
          <cell r="O347" t="str">
            <v>USD/小时</v>
          </cell>
          <cell r="P347">
            <v>40.57</v>
          </cell>
        </row>
        <row r="348">
          <cell r="A348" t="str">
            <v>Singapore - Chinese employees - L1</v>
          </cell>
          <cell r="B348" t="str">
            <v>Current version</v>
          </cell>
          <cell r="C348" t="str">
            <v>V2009R2</v>
          </cell>
          <cell r="D348" t="str">
            <v>Labor Rate</v>
          </cell>
          <cell r="E348" t="str">
            <v>AP</v>
          </cell>
          <cell r="F348" t="str">
            <v>Southern Pacific Sub-Regional Division</v>
          </cell>
          <cell r="G348" t="str">
            <v>Singapore</v>
          </cell>
          <cell r="H348" t="str">
            <v>1210</v>
          </cell>
          <cell r="I348" t="str">
            <v>新加坡</v>
          </cell>
          <cell r="J348" t="str">
            <v>Singapore</v>
          </cell>
          <cell r="K348" t="str">
            <v>Chinese employees</v>
          </cell>
          <cell r="L348" t="str">
            <v>L1</v>
          </cell>
          <cell r="M348" t="str">
            <v>ALL</v>
          </cell>
          <cell r="N348" t="str">
            <v>FLPC(含奖金)</v>
          </cell>
          <cell r="O348" t="str">
            <v>USD/小时</v>
          </cell>
          <cell r="P348">
            <v>51.2</v>
          </cell>
        </row>
        <row r="349">
          <cell r="A349" t="str">
            <v>Singapore - Chinese employees - L2</v>
          </cell>
          <cell r="B349" t="str">
            <v>Current version</v>
          </cell>
          <cell r="C349" t="str">
            <v>V2009R2</v>
          </cell>
          <cell r="D349" t="str">
            <v>Labor Rate</v>
          </cell>
          <cell r="E349" t="str">
            <v>AP</v>
          </cell>
          <cell r="F349" t="str">
            <v>Southern Pacific Sub-Regional Division</v>
          </cell>
          <cell r="G349" t="str">
            <v>Singapore</v>
          </cell>
          <cell r="H349" t="str">
            <v>1210</v>
          </cell>
          <cell r="I349" t="str">
            <v>新加坡</v>
          </cell>
          <cell r="J349" t="str">
            <v>Singapore</v>
          </cell>
          <cell r="K349" t="str">
            <v>Chinese employees</v>
          </cell>
          <cell r="L349" t="str">
            <v>L2</v>
          </cell>
          <cell r="M349" t="str">
            <v>ALL</v>
          </cell>
          <cell r="N349" t="str">
            <v>FLPC(含奖金)</v>
          </cell>
          <cell r="O349" t="str">
            <v>USD/小时</v>
          </cell>
          <cell r="P349">
            <v>59.68</v>
          </cell>
        </row>
        <row r="350">
          <cell r="A350" t="str">
            <v>Singapore - Chinese employees - L3</v>
          </cell>
          <cell r="B350" t="str">
            <v>Current version</v>
          </cell>
          <cell r="C350" t="str">
            <v>V2009R2</v>
          </cell>
          <cell r="D350" t="str">
            <v>Labor Rate</v>
          </cell>
          <cell r="E350" t="str">
            <v>AP</v>
          </cell>
          <cell r="F350" t="str">
            <v>Southern Pacific Sub-Regional Division</v>
          </cell>
          <cell r="G350" t="str">
            <v>Singapore</v>
          </cell>
          <cell r="H350" t="str">
            <v>1210</v>
          </cell>
          <cell r="I350" t="str">
            <v>新加坡</v>
          </cell>
          <cell r="J350" t="str">
            <v>Singapore</v>
          </cell>
          <cell r="K350" t="str">
            <v>Chinese employees</v>
          </cell>
          <cell r="L350" t="str">
            <v>L3</v>
          </cell>
          <cell r="M350" t="str">
            <v>ALL</v>
          </cell>
          <cell r="N350" t="str">
            <v>FLPC(含奖金)</v>
          </cell>
          <cell r="O350" t="str">
            <v>USD/小时</v>
          </cell>
          <cell r="P350">
            <v>71.8</v>
          </cell>
        </row>
        <row r="351">
          <cell r="A351" t="str">
            <v>Singapore - Chinese employees - L4</v>
          </cell>
          <cell r="B351" t="str">
            <v>Current version</v>
          </cell>
          <cell r="C351" t="str">
            <v>V2009R2</v>
          </cell>
          <cell r="D351" t="str">
            <v>Labor Rate</v>
          </cell>
          <cell r="E351" t="str">
            <v>AP</v>
          </cell>
          <cell r="F351" t="str">
            <v>Southern Pacific Sub-Regional Division</v>
          </cell>
          <cell r="G351" t="str">
            <v>Singapore</v>
          </cell>
          <cell r="H351" t="str">
            <v>1210</v>
          </cell>
          <cell r="I351" t="str">
            <v>新加坡</v>
          </cell>
          <cell r="J351" t="str">
            <v>Singapore</v>
          </cell>
          <cell r="K351" t="str">
            <v>Chinese employees</v>
          </cell>
          <cell r="L351" t="str">
            <v>L4</v>
          </cell>
          <cell r="M351" t="str">
            <v>ALL</v>
          </cell>
          <cell r="N351" t="str">
            <v>FLPC(含奖金)</v>
          </cell>
          <cell r="O351" t="str">
            <v>USD/小时</v>
          </cell>
          <cell r="P351">
            <v>111.39</v>
          </cell>
        </row>
        <row r="352">
          <cell r="A352" t="str">
            <v>Malaysia - Chinese employees - L0</v>
          </cell>
          <cell r="B352" t="str">
            <v>Current version</v>
          </cell>
          <cell r="C352" t="str">
            <v>V2009R2</v>
          </cell>
          <cell r="D352" t="str">
            <v>Labor Rate</v>
          </cell>
          <cell r="E352" t="str">
            <v>AP</v>
          </cell>
          <cell r="F352" t="str">
            <v>Southern Pacific Sub-Regional Division</v>
          </cell>
          <cell r="G352" t="str">
            <v>Malaysia Rep.O.</v>
          </cell>
          <cell r="H352" t="str">
            <v>1201</v>
          </cell>
          <cell r="I352" t="str">
            <v>马来西亚</v>
          </cell>
          <cell r="J352" t="str">
            <v>Malaysia</v>
          </cell>
          <cell r="K352" t="str">
            <v>Chinese employees</v>
          </cell>
          <cell r="L352" t="str">
            <v>L0</v>
          </cell>
          <cell r="M352" t="str">
            <v>ALL</v>
          </cell>
          <cell r="N352" t="str">
            <v>FLPC(含奖金)</v>
          </cell>
          <cell r="O352" t="str">
            <v>USD/小时</v>
          </cell>
          <cell r="P352">
            <v>33.200000000000003</v>
          </cell>
        </row>
        <row r="353">
          <cell r="A353" t="str">
            <v>Malaysia - Chinese employees - L1</v>
          </cell>
          <cell r="B353" t="str">
            <v>Current version</v>
          </cell>
          <cell r="C353" t="str">
            <v>V2009R2</v>
          </cell>
          <cell r="D353" t="str">
            <v>Labor Rate</v>
          </cell>
          <cell r="E353" t="str">
            <v>AP</v>
          </cell>
          <cell r="F353" t="str">
            <v>Southern Pacific Sub-Regional Division</v>
          </cell>
          <cell r="G353" t="str">
            <v>Malaysia Rep.O.</v>
          </cell>
          <cell r="H353" t="str">
            <v>1201</v>
          </cell>
          <cell r="I353" t="str">
            <v>马来西亚</v>
          </cell>
          <cell r="J353" t="str">
            <v>Malaysia</v>
          </cell>
          <cell r="K353" t="str">
            <v>Chinese employees</v>
          </cell>
          <cell r="L353" t="str">
            <v>L1</v>
          </cell>
          <cell r="M353" t="str">
            <v>ALL</v>
          </cell>
          <cell r="N353" t="str">
            <v>FLPC(含奖金)</v>
          </cell>
          <cell r="O353" t="str">
            <v>USD/小时</v>
          </cell>
          <cell r="P353">
            <v>39.090000000000003</v>
          </cell>
        </row>
        <row r="354">
          <cell r="A354" t="str">
            <v>Malaysia - Chinese employees - L2</v>
          </cell>
          <cell r="B354" t="str">
            <v>Current version</v>
          </cell>
          <cell r="C354" t="str">
            <v>V2009R2</v>
          </cell>
          <cell r="D354" t="str">
            <v>Labor Rate</v>
          </cell>
          <cell r="E354" t="str">
            <v>AP</v>
          </cell>
          <cell r="F354" t="str">
            <v>Southern Pacific Sub-Regional Division</v>
          </cell>
          <cell r="G354" t="str">
            <v>Malaysia Rep.O.</v>
          </cell>
          <cell r="H354" t="str">
            <v>1201</v>
          </cell>
          <cell r="I354" t="str">
            <v>马来西亚</v>
          </cell>
          <cell r="J354" t="str">
            <v>Malaysia</v>
          </cell>
          <cell r="K354" t="str">
            <v>Chinese employees</v>
          </cell>
          <cell r="L354" t="str">
            <v>L2</v>
          </cell>
          <cell r="M354" t="str">
            <v>ALL</v>
          </cell>
          <cell r="N354" t="str">
            <v>FLPC(含奖金)</v>
          </cell>
          <cell r="O354" t="str">
            <v>USD/小时</v>
          </cell>
          <cell r="P354">
            <v>46.74</v>
          </cell>
        </row>
        <row r="355">
          <cell r="A355" t="str">
            <v>Malaysia - Chinese employees - L3</v>
          </cell>
          <cell r="B355" t="str">
            <v>Current version</v>
          </cell>
          <cell r="C355" t="str">
            <v>V2009R2</v>
          </cell>
          <cell r="D355" t="str">
            <v>Labor Rate</v>
          </cell>
          <cell r="E355" t="str">
            <v>AP</v>
          </cell>
          <cell r="F355" t="str">
            <v>Southern Pacific Sub-Regional Division</v>
          </cell>
          <cell r="G355" t="str">
            <v>Malaysia Rep.O.</v>
          </cell>
          <cell r="H355" t="str">
            <v>1201</v>
          </cell>
          <cell r="I355" t="str">
            <v>马来西亚</v>
          </cell>
          <cell r="J355" t="str">
            <v>Malaysia</v>
          </cell>
          <cell r="K355" t="str">
            <v>Chinese employees</v>
          </cell>
          <cell r="L355" t="str">
            <v>L3</v>
          </cell>
          <cell r="M355" t="str">
            <v>ALL</v>
          </cell>
          <cell r="N355" t="str">
            <v>FLPC(含奖金)</v>
          </cell>
          <cell r="O355" t="str">
            <v>USD/小时</v>
          </cell>
          <cell r="P355">
            <v>57.67</v>
          </cell>
        </row>
        <row r="356">
          <cell r="A356" t="str">
            <v>Malaysia - Chinese employees - L4</v>
          </cell>
          <cell r="B356" t="str">
            <v>Current version</v>
          </cell>
          <cell r="C356" t="str">
            <v>V2009R2</v>
          </cell>
          <cell r="D356" t="str">
            <v>Labor Rate</v>
          </cell>
          <cell r="E356" t="str">
            <v>AP</v>
          </cell>
          <cell r="F356" t="str">
            <v>Southern Pacific Sub-Regional Division</v>
          </cell>
          <cell r="G356" t="str">
            <v>Malaysia Rep.O.</v>
          </cell>
          <cell r="H356" t="str">
            <v>1201</v>
          </cell>
          <cell r="I356" t="str">
            <v>马来西亚</v>
          </cell>
          <cell r="J356" t="str">
            <v>Malaysia</v>
          </cell>
          <cell r="K356" t="str">
            <v>Chinese employees</v>
          </cell>
          <cell r="L356" t="str">
            <v>L4</v>
          </cell>
          <cell r="M356" t="str">
            <v>ALL</v>
          </cell>
          <cell r="N356" t="str">
            <v>FLPC(含奖金)</v>
          </cell>
          <cell r="O356" t="str">
            <v>USD/小时</v>
          </cell>
          <cell r="P356">
            <v>97.08</v>
          </cell>
        </row>
        <row r="357">
          <cell r="A357" t="str">
            <v>Brunei - Chinese employees - L0</v>
          </cell>
          <cell r="B357" t="str">
            <v>Current version</v>
          </cell>
          <cell r="C357" t="str">
            <v>V2009R2</v>
          </cell>
          <cell r="D357" t="str">
            <v>Labor Rate</v>
          </cell>
          <cell r="E357" t="str">
            <v>AP</v>
          </cell>
          <cell r="F357" t="str">
            <v>Southern Pacific Sub-Regional Division</v>
          </cell>
          <cell r="G357" t="str">
            <v>Malaysia Rep.O.</v>
          </cell>
          <cell r="H357" t="str">
            <v>1204</v>
          </cell>
          <cell r="I357" t="str">
            <v>文莱</v>
          </cell>
          <cell r="J357" t="str">
            <v>Brunei</v>
          </cell>
          <cell r="K357" t="str">
            <v>Chinese employees</v>
          </cell>
          <cell r="L357" t="str">
            <v>L0</v>
          </cell>
          <cell r="M357" t="str">
            <v>ALL</v>
          </cell>
          <cell r="N357" t="str">
            <v>FLPC(含奖金)</v>
          </cell>
          <cell r="O357" t="str">
            <v>USD/小时</v>
          </cell>
          <cell r="P357">
            <v>33.17</v>
          </cell>
        </row>
        <row r="358">
          <cell r="A358" t="str">
            <v>Brunei - Chinese employees - L1</v>
          </cell>
          <cell r="B358" t="str">
            <v>Current version</v>
          </cell>
          <cell r="C358" t="str">
            <v>V2009R2</v>
          </cell>
          <cell r="D358" t="str">
            <v>Labor Rate</v>
          </cell>
          <cell r="E358" t="str">
            <v>AP</v>
          </cell>
          <cell r="F358" t="str">
            <v>Southern Pacific Sub-Regional Division</v>
          </cell>
          <cell r="G358" t="str">
            <v>Malaysia Rep.O.</v>
          </cell>
          <cell r="H358" t="str">
            <v>1204</v>
          </cell>
          <cell r="I358" t="str">
            <v>文莱</v>
          </cell>
          <cell r="J358" t="str">
            <v>Brunei</v>
          </cell>
          <cell r="K358" t="str">
            <v>Chinese employees</v>
          </cell>
          <cell r="L358" t="str">
            <v>L1</v>
          </cell>
          <cell r="M358" t="str">
            <v>ALL</v>
          </cell>
          <cell r="N358" t="str">
            <v>FLPC(含奖金)</v>
          </cell>
          <cell r="O358" t="str">
            <v>USD/小时</v>
          </cell>
          <cell r="P358">
            <v>39.07</v>
          </cell>
        </row>
        <row r="359">
          <cell r="A359" t="str">
            <v>Brunei - Chinese employees - L2</v>
          </cell>
          <cell r="B359" t="str">
            <v>Current version</v>
          </cell>
          <cell r="C359" t="str">
            <v>V2009R2</v>
          </cell>
          <cell r="D359" t="str">
            <v>Labor Rate</v>
          </cell>
          <cell r="E359" t="str">
            <v>AP</v>
          </cell>
          <cell r="F359" t="str">
            <v>Southern Pacific Sub-Regional Division</v>
          </cell>
          <cell r="G359" t="str">
            <v>Malaysia Rep.O.</v>
          </cell>
          <cell r="H359" t="str">
            <v>1204</v>
          </cell>
          <cell r="I359" t="str">
            <v>文莱</v>
          </cell>
          <cell r="J359" t="str">
            <v>Brunei</v>
          </cell>
          <cell r="K359" t="str">
            <v>Chinese employees</v>
          </cell>
          <cell r="L359" t="str">
            <v>L2</v>
          </cell>
          <cell r="M359" t="str">
            <v>ALL</v>
          </cell>
          <cell r="N359" t="str">
            <v>FLPC(含奖金)</v>
          </cell>
          <cell r="O359" t="str">
            <v>USD/小时</v>
          </cell>
          <cell r="P359">
            <v>46.71</v>
          </cell>
        </row>
        <row r="360">
          <cell r="A360" t="str">
            <v>Brunei - Chinese employees - L3</v>
          </cell>
          <cell r="B360" t="str">
            <v>Current version</v>
          </cell>
          <cell r="C360" t="str">
            <v>V2009R2</v>
          </cell>
          <cell r="D360" t="str">
            <v>Labor Rate</v>
          </cell>
          <cell r="E360" t="str">
            <v>AP</v>
          </cell>
          <cell r="F360" t="str">
            <v>Southern Pacific Sub-Regional Division</v>
          </cell>
          <cell r="G360" t="str">
            <v>Malaysia Rep.O.</v>
          </cell>
          <cell r="H360" t="str">
            <v>1204</v>
          </cell>
          <cell r="I360" t="str">
            <v>文莱</v>
          </cell>
          <cell r="J360" t="str">
            <v>Brunei</v>
          </cell>
          <cell r="K360" t="str">
            <v>Chinese employees</v>
          </cell>
          <cell r="L360" t="str">
            <v>L3</v>
          </cell>
          <cell r="M360" t="str">
            <v>ALL</v>
          </cell>
          <cell r="N360" t="str">
            <v>FLPC(含奖金)</v>
          </cell>
          <cell r="O360" t="str">
            <v>USD/小时</v>
          </cell>
          <cell r="P360">
            <v>57.65</v>
          </cell>
        </row>
        <row r="361">
          <cell r="A361" t="str">
            <v>Brunei - Chinese employees - L4</v>
          </cell>
          <cell r="B361" t="str">
            <v>Current version</v>
          </cell>
          <cell r="C361" t="str">
            <v>V2009R2</v>
          </cell>
          <cell r="D361" t="str">
            <v>Labor Rate</v>
          </cell>
          <cell r="E361" t="str">
            <v>AP</v>
          </cell>
          <cell r="F361" t="str">
            <v>Southern Pacific Sub-Regional Division</v>
          </cell>
          <cell r="G361" t="str">
            <v>Malaysia Rep.O.</v>
          </cell>
          <cell r="H361" t="str">
            <v>1204</v>
          </cell>
          <cell r="I361" t="str">
            <v>文莱</v>
          </cell>
          <cell r="J361" t="str">
            <v>Brunei</v>
          </cell>
          <cell r="K361" t="str">
            <v>Chinese employees</v>
          </cell>
          <cell r="L361" t="str">
            <v>L4</v>
          </cell>
          <cell r="M361" t="str">
            <v>ALL</v>
          </cell>
          <cell r="N361" t="str">
            <v>FLPC(含奖金)</v>
          </cell>
          <cell r="O361" t="str">
            <v>USD/小时</v>
          </cell>
          <cell r="P361">
            <v>97.05</v>
          </cell>
        </row>
        <row r="362">
          <cell r="A362" t="str">
            <v>Indonesia - Chinese employees - L0</v>
          </cell>
          <cell r="B362" t="str">
            <v>Current version</v>
          </cell>
          <cell r="C362" t="str">
            <v>V2009R2</v>
          </cell>
          <cell r="D362" t="str">
            <v>Labor Rate</v>
          </cell>
          <cell r="E362" t="str">
            <v>AP</v>
          </cell>
          <cell r="F362" t="str">
            <v>Southern Pacific Sub-Regional Division</v>
          </cell>
          <cell r="G362" t="str">
            <v>Indonesia</v>
          </cell>
          <cell r="H362" t="str">
            <v>1213</v>
          </cell>
          <cell r="I362" t="str">
            <v>印度尼西亚</v>
          </cell>
          <cell r="J362" t="str">
            <v>Indonesia</v>
          </cell>
          <cell r="K362" t="str">
            <v>Chinese employees</v>
          </cell>
          <cell r="L362" t="str">
            <v>L0</v>
          </cell>
          <cell r="M362" t="str">
            <v>ALL</v>
          </cell>
          <cell r="N362" t="str">
            <v>FLPC(含奖金)</v>
          </cell>
          <cell r="O362" t="str">
            <v>USD/小时</v>
          </cell>
          <cell r="P362">
            <v>40.01</v>
          </cell>
        </row>
        <row r="363">
          <cell r="A363" t="str">
            <v>Indonesia - Chinese employees - L1</v>
          </cell>
          <cell r="B363" t="str">
            <v>Current version</v>
          </cell>
          <cell r="C363" t="str">
            <v>V2009R2</v>
          </cell>
          <cell r="D363" t="str">
            <v>Labor Rate</v>
          </cell>
          <cell r="E363" t="str">
            <v>AP</v>
          </cell>
          <cell r="F363" t="str">
            <v>Southern Pacific Sub-Regional Division</v>
          </cell>
          <cell r="G363" t="str">
            <v>Indonesia</v>
          </cell>
          <cell r="H363" t="str">
            <v>1213</v>
          </cell>
          <cell r="I363" t="str">
            <v>印度尼西亚</v>
          </cell>
          <cell r="J363" t="str">
            <v>Indonesia</v>
          </cell>
          <cell r="K363" t="str">
            <v>Chinese employees</v>
          </cell>
          <cell r="L363" t="str">
            <v>L1</v>
          </cell>
          <cell r="M363" t="str">
            <v>ALL</v>
          </cell>
          <cell r="N363" t="str">
            <v>FLPC(含奖金)</v>
          </cell>
          <cell r="O363" t="str">
            <v>USD/小时</v>
          </cell>
          <cell r="P363">
            <v>47.06</v>
          </cell>
        </row>
        <row r="364">
          <cell r="A364" t="str">
            <v>Indonesia - Chinese employees - L2</v>
          </cell>
          <cell r="B364" t="str">
            <v>Current version</v>
          </cell>
          <cell r="C364" t="str">
            <v>V2009R2</v>
          </cell>
          <cell r="D364" t="str">
            <v>Labor Rate</v>
          </cell>
          <cell r="E364" t="str">
            <v>AP</v>
          </cell>
          <cell r="F364" t="str">
            <v>Southern Pacific Sub-Regional Division</v>
          </cell>
          <cell r="G364" t="str">
            <v>Indonesia</v>
          </cell>
          <cell r="H364" t="str">
            <v>1213</v>
          </cell>
          <cell r="I364" t="str">
            <v>印度尼西亚</v>
          </cell>
          <cell r="J364" t="str">
            <v>Indonesia</v>
          </cell>
          <cell r="K364" t="str">
            <v>Chinese employees</v>
          </cell>
          <cell r="L364" t="str">
            <v>L2</v>
          </cell>
          <cell r="M364" t="str">
            <v>ALL</v>
          </cell>
          <cell r="N364" t="str">
            <v>FLPC(含奖金)</v>
          </cell>
          <cell r="O364" t="str">
            <v>USD/小时</v>
          </cell>
          <cell r="P364">
            <v>55.47</v>
          </cell>
        </row>
        <row r="365">
          <cell r="A365" t="str">
            <v>Indonesia - Chinese employees - L3</v>
          </cell>
          <cell r="B365" t="str">
            <v>Current version</v>
          </cell>
          <cell r="C365" t="str">
            <v>V2009R2</v>
          </cell>
          <cell r="D365" t="str">
            <v>Labor Rate</v>
          </cell>
          <cell r="E365" t="str">
            <v>AP</v>
          </cell>
          <cell r="F365" t="str">
            <v>Southern Pacific Sub-Regional Division</v>
          </cell>
          <cell r="G365" t="str">
            <v>Indonesia</v>
          </cell>
          <cell r="H365" t="str">
            <v>1213</v>
          </cell>
          <cell r="I365" t="str">
            <v>印度尼西亚</v>
          </cell>
          <cell r="J365" t="str">
            <v>Indonesia</v>
          </cell>
          <cell r="K365" t="str">
            <v>Chinese employees</v>
          </cell>
          <cell r="L365" t="str">
            <v>L3</v>
          </cell>
          <cell r="M365" t="str">
            <v>ALL</v>
          </cell>
          <cell r="N365" t="str">
            <v>FLPC(含奖金)</v>
          </cell>
          <cell r="O365" t="str">
            <v>USD/小时</v>
          </cell>
          <cell r="P365">
            <v>67.760000000000005</v>
          </cell>
        </row>
        <row r="366">
          <cell r="A366" t="str">
            <v>Indonesia - Chinese employees - L4</v>
          </cell>
          <cell r="B366" t="str">
            <v>Current version</v>
          </cell>
          <cell r="C366" t="str">
            <v>V2009R2</v>
          </cell>
          <cell r="D366" t="str">
            <v>Labor Rate</v>
          </cell>
          <cell r="E366" t="str">
            <v>AP</v>
          </cell>
          <cell r="F366" t="str">
            <v>Southern Pacific Sub-Regional Division</v>
          </cell>
          <cell r="G366" t="str">
            <v>Indonesia</v>
          </cell>
          <cell r="H366" t="str">
            <v>1213</v>
          </cell>
          <cell r="I366" t="str">
            <v>印度尼西亚</v>
          </cell>
          <cell r="J366" t="str">
            <v>Indonesia</v>
          </cell>
          <cell r="K366" t="str">
            <v>Chinese employees</v>
          </cell>
          <cell r="L366" t="str">
            <v>L4</v>
          </cell>
          <cell r="M366" t="str">
            <v>ALL</v>
          </cell>
          <cell r="N366" t="str">
            <v>FLPC(含奖金)</v>
          </cell>
          <cell r="O366" t="str">
            <v>USD/小时</v>
          </cell>
          <cell r="P366">
            <v>111.63</v>
          </cell>
        </row>
        <row r="367">
          <cell r="A367" t="str">
            <v>Australia - Chinese employees - L0</v>
          </cell>
          <cell r="B367" t="str">
            <v>Current version</v>
          </cell>
          <cell r="C367" t="str">
            <v>V2009R2</v>
          </cell>
          <cell r="D367" t="str">
            <v>Labor Rate</v>
          </cell>
          <cell r="E367" t="str">
            <v>AP</v>
          </cell>
          <cell r="F367" t="str">
            <v>Southern Pacific Sub-Regional Division</v>
          </cell>
          <cell r="G367" t="str">
            <v>Australia Rep.O.</v>
          </cell>
          <cell r="H367" t="str">
            <v>1105</v>
          </cell>
          <cell r="I367" t="str">
            <v>澳大利亚</v>
          </cell>
          <cell r="J367" t="str">
            <v>Australia</v>
          </cell>
          <cell r="K367" t="str">
            <v>Chinese employees</v>
          </cell>
          <cell r="L367" t="str">
            <v>L0</v>
          </cell>
          <cell r="M367" t="str">
            <v>ALL</v>
          </cell>
          <cell r="N367" t="str">
            <v>FLPC(含奖金)</v>
          </cell>
          <cell r="O367" t="str">
            <v>USD/小时</v>
          </cell>
          <cell r="P367">
            <v>55.22</v>
          </cell>
        </row>
        <row r="368">
          <cell r="A368" t="str">
            <v>Australia - Chinese employees - L1</v>
          </cell>
          <cell r="B368" t="str">
            <v>Current version</v>
          </cell>
          <cell r="C368" t="str">
            <v>V2009R2</v>
          </cell>
          <cell r="D368" t="str">
            <v>Labor Rate</v>
          </cell>
          <cell r="E368" t="str">
            <v>AP</v>
          </cell>
          <cell r="F368" t="str">
            <v>Southern Pacific Sub-Regional Division</v>
          </cell>
          <cell r="G368" t="str">
            <v>Australia Rep.O.</v>
          </cell>
          <cell r="H368" t="str">
            <v>1105</v>
          </cell>
          <cell r="I368" t="str">
            <v>澳大利亚</v>
          </cell>
          <cell r="J368" t="str">
            <v>Australia</v>
          </cell>
          <cell r="K368" t="str">
            <v>Chinese employees</v>
          </cell>
          <cell r="L368" t="str">
            <v>L1</v>
          </cell>
          <cell r="M368" t="str">
            <v>ALL</v>
          </cell>
          <cell r="N368" t="str">
            <v>FLPC(含奖金)</v>
          </cell>
          <cell r="O368" t="str">
            <v>USD/小时</v>
          </cell>
          <cell r="P368">
            <v>72.11</v>
          </cell>
        </row>
        <row r="369">
          <cell r="A369" t="str">
            <v>Australia - Chinese employees - L2</v>
          </cell>
          <cell r="B369" t="str">
            <v>Current version</v>
          </cell>
          <cell r="C369" t="str">
            <v>V2009R2</v>
          </cell>
          <cell r="D369" t="str">
            <v>Labor Rate</v>
          </cell>
          <cell r="E369" t="str">
            <v>AP</v>
          </cell>
          <cell r="F369" t="str">
            <v>Southern Pacific Sub-Regional Division</v>
          </cell>
          <cell r="G369" t="str">
            <v>Australia Rep.O.</v>
          </cell>
          <cell r="H369" t="str">
            <v>1105</v>
          </cell>
          <cell r="I369" t="str">
            <v>澳大利亚</v>
          </cell>
          <cell r="J369" t="str">
            <v>Australia</v>
          </cell>
          <cell r="K369" t="str">
            <v>Chinese employees</v>
          </cell>
          <cell r="L369" t="str">
            <v>L2</v>
          </cell>
          <cell r="M369" t="str">
            <v>ALL</v>
          </cell>
          <cell r="N369" t="str">
            <v>FLPC(含奖金)</v>
          </cell>
          <cell r="O369" t="str">
            <v>USD/小时</v>
          </cell>
          <cell r="P369">
            <v>79.67</v>
          </cell>
        </row>
        <row r="370">
          <cell r="A370" t="str">
            <v>Australia - Chinese employees - L3</v>
          </cell>
          <cell r="B370" t="str">
            <v>Current version</v>
          </cell>
          <cell r="C370" t="str">
            <v>V2009R2</v>
          </cell>
          <cell r="D370" t="str">
            <v>Labor Rate</v>
          </cell>
          <cell r="E370" t="str">
            <v>AP</v>
          </cell>
          <cell r="F370" t="str">
            <v>Southern Pacific Sub-Regional Division</v>
          </cell>
          <cell r="G370" t="str">
            <v>Australia Rep.O.</v>
          </cell>
          <cell r="H370" t="str">
            <v>1105</v>
          </cell>
          <cell r="I370" t="str">
            <v>澳大利亚</v>
          </cell>
          <cell r="J370" t="str">
            <v>Australia</v>
          </cell>
          <cell r="K370" t="str">
            <v>Chinese employees</v>
          </cell>
          <cell r="L370" t="str">
            <v>L3</v>
          </cell>
          <cell r="M370" t="str">
            <v>ALL</v>
          </cell>
          <cell r="N370" t="str">
            <v>FLPC(含奖金)</v>
          </cell>
          <cell r="O370" t="str">
            <v>USD/小时</v>
          </cell>
          <cell r="P370">
            <v>92.88</v>
          </cell>
        </row>
        <row r="371">
          <cell r="A371" t="str">
            <v>Australia - Chinese employees - L4</v>
          </cell>
          <cell r="B371" t="str">
            <v>Current version</v>
          </cell>
          <cell r="C371" t="str">
            <v>V2009R2</v>
          </cell>
          <cell r="D371" t="str">
            <v>Labor Rate</v>
          </cell>
          <cell r="E371" t="str">
            <v>AP</v>
          </cell>
          <cell r="F371" t="str">
            <v>Southern Pacific Sub-Regional Division</v>
          </cell>
          <cell r="G371" t="str">
            <v>Australia Rep.O.</v>
          </cell>
          <cell r="H371" t="str">
            <v>1105</v>
          </cell>
          <cell r="I371" t="str">
            <v>澳大利亚</v>
          </cell>
          <cell r="J371" t="str">
            <v>Australia</v>
          </cell>
          <cell r="K371" t="str">
            <v>Chinese employees</v>
          </cell>
          <cell r="L371" t="str">
            <v>L4</v>
          </cell>
          <cell r="M371" t="str">
            <v>ALL</v>
          </cell>
          <cell r="N371" t="str">
            <v>FLPC(含奖金)</v>
          </cell>
          <cell r="O371" t="str">
            <v>USD/小时</v>
          </cell>
          <cell r="P371">
            <v>141.88</v>
          </cell>
        </row>
        <row r="372">
          <cell r="A372" t="str">
            <v>Papua New Guinea - Chinese employees - L0</v>
          </cell>
          <cell r="B372" t="str">
            <v>Current version</v>
          </cell>
          <cell r="C372" t="str">
            <v>V2009R2</v>
          </cell>
          <cell r="D372" t="str">
            <v>Labor Rate</v>
          </cell>
          <cell r="E372" t="str">
            <v>AP</v>
          </cell>
          <cell r="F372" t="str">
            <v>Southern Pacific Sub-Regional Division</v>
          </cell>
          <cell r="G372" t="str">
            <v>Australia Rep.O.</v>
          </cell>
          <cell r="H372" t="str">
            <v>1107</v>
          </cell>
          <cell r="I372" t="str">
            <v>巴布亚新几内亚</v>
          </cell>
          <cell r="J372" t="str">
            <v>Papua New Guinea</v>
          </cell>
          <cell r="K372" t="str">
            <v>Chinese employees</v>
          </cell>
          <cell r="L372" t="str">
            <v>L0</v>
          </cell>
          <cell r="M372" t="str">
            <v>ALL</v>
          </cell>
          <cell r="N372" t="str">
            <v>FLPC(含奖金)</v>
          </cell>
          <cell r="O372" t="str">
            <v>USD/小时</v>
          </cell>
          <cell r="P372">
            <v>55.22</v>
          </cell>
        </row>
        <row r="373">
          <cell r="A373" t="str">
            <v>Papua New Guinea - Chinese employees - L1</v>
          </cell>
          <cell r="B373" t="str">
            <v>Current version</v>
          </cell>
          <cell r="C373" t="str">
            <v>V2009R2</v>
          </cell>
          <cell r="D373" t="str">
            <v>Labor Rate</v>
          </cell>
          <cell r="E373" t="str">
            <v>AP</v>
          </cell>
          <cell r="F373" t="str">
            <v>Southern Pacific Sub-Regional Division</v>
          </cell>
          <cell r="G373" t="str">
            <v>Australia Rep.O.</v>
          </cell>
          <cell r="H373" t="str">
            <v>1107</v>
          </cell>
          <cell r="I373" t="str">
            <v>巴布亚新几内亚</v>
          </cell>
          <cell r="J373" t="str">
            <v>Papua New Guinea</v>
          </cell>
          <cell r="K373" t="str">
            <v>Chinese employees</v>
          </cell>
          <cell r="L373" t="str">
            <v>L1</v>
          </cell>
          <cell r="M373" t="str">
            <v>ALL</v>
          </cell>
          <cell r="N373" t="str">
            <v>FLPC(含奖金)</v>
          </cell>
          <cell r="O373" t="str">
            <v>USD/小时</v>
          </cell>
          <cell r="P373">
            <v>72.11</v>
          </cell>
        </row>
        <row r="374">
          <cell r="A374" t="str">
            <v>Papua New Guinea - Chinese employees - L2</v>
          </cell>
          <cell r="B374" t="str">
            <v>Current version</v>
          </cell>
          <cell r="C374" t="str">
            <v>V2009R2</v>
          </cell>
          <cell r="D374" t="str">
            <v>Labor Rate</v>
          </cell>
          <cell r="E374" t="str">
            <v>AP</v>
          </cell>
          <cell r="F374" t="str">
            <v>Southern Pacific Sub-Regional Division</v>
          </cell>
          <cell r="G374" t="str">
            <v>Australia Rep.O.</v>
          </cell>
          <cell r="H374" t="str">
            <v>1107</v>
          </cell>
          <cell r="I374" t="str">
            <v>巴布亚新几内亚</v>
          </cell>
          <cell r="J374" t="str">
            <v>Papua New Guinea</v>
          </cell>
          <cell r="K374" t="str">
            <v>Chinese employees</v>
          </cell>
          <cell r="L374" t="str">
            <v>L2</v>
          </cell>
          <cell r="M374" t="str">
            <v>ALL</v>
          </cell>
          <cell r="N374" t="str">
            <v>FLPC(含奖金)</v>
          </cell>
          <cell r="O374" t="str">
            <v>USD/小时</v>
          </cell>
          <cell r="P374">
            <v>79.67</v>
          </cell>
        </row>
        <row r="375">
          <cell r="A375" t="str">
            <v>Papua New Guinea - Chinese employees - L3</v>
          </cell>
          <cell r="B375" t="str">
            <v>Current version</v>
          </cell>
          <cell r="C375" t="str">
            <v>V2009R2</v>
          </cell>
          <cell r="D375" t="str">
            <v>Labor Rate</v>
          </cell>
          <cell r="E375" t="str">
            <v>AP</v>
          </cell>
          <cell r="F375" t="str">
            <v>Southern Pacific Sub-Regional Division</v>
          </cell>
          <cell r="G375" t="str">
            <v>Australia Rep.O.</v>
          </cell>
          <cell r="H375" t="str">
            <v>1107</v>
          </cell>
          <cell r="I375" t="str">
            <v>巴布亚新几内亚</v>
          </cell>
          <cell r="J375" t="str">
            <v>Papua New Guinea</v>
          </cell>
          <cell r="K375" t="str">
            <v>Chinese employees</v>
          </cell>
          <cell r="L375" t="str">
            <v>L3</v>
          </cell>
          <cell r="M375" t="str">
            <v>ALL</v>
          </cell>
          <cell r="N375" t="str">
            <v>FLPC(含奖金)</v>
          </cell>
          <cell r="O375" t="str">
            <v>USD/小时</v>
          </cell>
          <cell r="P375">
            <v>92.88</v>
          </cell>
        </row>
        <row r="376">
          <cell r="A376" t="str">
            <v>Papua New Guinea - Chinese employees - L4</v>
          </cell>
          <cell r="B376" t="str">
            <v>Current version</v>
          </cell>
          <cell r="C376" t="str">
            <v>V2009R2</v>
          </cell>
          <cell r="D376" t="str">
            <v>Labor Rate</v>
          </cell>
          <cell r="E376" t="str">
            <v>AP</v>
          </cell>
          <cell r="F376" t="str">
            <v>Southern Pacific Sub-Regional Division</v>
          </cell>
          <cell r="G376" t="str">
            <v>Australia Rep.O.</v>
          </cell>
          <cell r="H376" t="str">
            <v>1107</v>
          </cell>
          <cell r="I376" t="str">
            <v>巴布亚新几内亚</v>
          </cell>
          <cell r="J376" t="str">
            <v>Papua New Guinea</v>
          </cell>
          <cell r="K376" t="str">
            <v>Chinese employees</v>
          </cell>
          <cell r="L376" t="str">
            <v>L4</v>
          </cell>
          <cell r="M376" t="str">
            <v>ALL</v>
          </cell>
          <cell r="N376" t="str">
            <v>FLPC(含奖金)</v>
          </cell>
          <cell r="O376" t="str">
            <v>USD/小时</v>
          </cell>
          <cell r="P376">
            <v>141.88</v>
          </cell>
        </row>
        <row r="377">
          <cell r="A377" t="str">
            <v>Tonga - Chinese employees - L0</v>
          </cell>
          <cell r="B377" t="str">
            <v>Current version</v>
          </cell>
          <cell r="C377" t="str">
            <v>V2009R2</v>
          </cell>
          <cell r="D377" t="str">
            <v>Labor Rate</v>
          </cell>
          <cell r="E377" t="str">
            <v>AP</v>
          </cell>
          <cell r="F377" t="str">
            <v>Southern Pacific Sub-Regional Division</v>
          </cell>
          <cell r="G377" t="str">
            <v>Australia Rep.O.</v>
          </cell>
          <cell r="H377" t="str">
            <v>1218</v>
          </cell>
          <cell r="I377" t="str">
            <v>汤加</v>
          </cell>
          <cell r="J377" t="str">
            <v>Tonga</v>
          </cell>
          <cell r="K377" t="str">
            <v>Chinese employees</v>
          </cell>
          <cell r="L377" t="str">
            <v>L0</v>
          </cell>
          <cell r="M377" t="str">
            <v>ALL</v>
          </cell>
          <cell r="N377" t="str">
            <v>FLPC(含奖金)</v>
          </cell>
          <cell r="O377" t="str">
            <v>USD/小时</v>
          </cell>
          <cell r="P377">
            <v>63.15</v>
          </cell>
        </row>
        <row r="378">
          <cell r="A378" t="str">
            <v>Tonga - Chinese employees - L1</v>
          </cell>
          <cell r="B378" t="str">
            <v>Current version</v>
          </cell>
          <cell r="C378" t="str">
            <v>V2009R2</v>
          </cell>
          <cell r="D378" t="str">
            <v>Labor Rate</v>
          </cell>
          <cell r="E378" t="str">
            <v>AP</v>
          </cell>
          <cell r="F378" t="str">
            <v>Southern Pacific Sub-Regional Division</v>
          </cell>
          <cell r="G378" t="str">
            <v>Australia Rep.O.</v>
          </cell>
          <cell r="H378" t="str">
            <v>1218</v>
          </cell>
          <cell r="I378" t="str">
            <v>汤加</v>
          </cell>
          <cell r="J378" t="str">
            <v>Tonga</v>
          </cell>
          <cell r="K378" t="str">
            <v>Chinese employees</v>
          </cell>
          <cell r="L378" t="str">
            <v>L1</v>
          </cell>
          <cell r="M378" t="str">
            <v>ALL</v>
          </cell>
          <cell r="N378" t="str">
            <v>FLPC(含奖金)</v>
          </cell>
          <cell r="O378" t="str">
            <v>USD/小时</v>
          </cell>
          <cell r="P378">
            <v>70.03</v>
          </cell>
        </row>
        <row r="379">
          <cell r="A379" t="str">
            <v>Georgia - Chinese employees - L2</v>
          </cell>
          <cell r="B379" t="str">
            <v>Current version</v>
          </cell>
          <cell r="C379" t="str">
            <v>V2009R2</v>
          </cell>
          <cell r="D379" t="str">
            <v>Labor Rate</v>
          </cell>
          <cell r="E379" t="str">
            <v>CIS</v>
          </cell>
          <cell r="F379" t="str">
            <v>Central Asia Sub-Regional Division</v>
          </cell>
          <cell r="G379" t="str">
            <v>Azerbaijan Rep.O.</v>
          </cell>
          <cell r="H379" t="str">
            <v>3019</v>
          </cell>
          <cell r="I379" t="str">
            <v>格鲁吉亚</v>
          </cell>
          <cell r="J379" t="str">
            <v>Georgia</v>
          </cell>
          <cell r="K379" t="str">
            <v>Chinese employees</v>
          </cell>
          <cell r="L379" t="str">
            <v>L2</v>
          </cell>
          <cell r="M379" t="str">
            <v>ALL</v>
          </cell>
          <cell r="N379" t="str">
            <v>FLPC(含奖金)</v>
          </cell>
          <cell r="O379" t="str">
            <v>USD/小时</v>
          </cell>
          <cell r="P379">
            <v>59.79</v>
          </cell>
        </row>
        <row r="380">
          <cell r="A380" t="str">
            <v>Georgia - Chinese employees - L3</v>
          </cell>
          <cell r="B380" t="str">
            <v>Current version</v>
          </cell>
          <cell r="C380" t="str">
            <v>V2009R2</v>
          </cell>
          <cell r="D380" t="str">
            <v>Labor Rate</v>
          </cell>
          <cell r="E380" t="str">
            <v>CIS</v>
          </cell>
          <cell r="F380" t="str">
            <v>Central Asia Sub-Regional Division</v>
          </cell>
          <cell r="G380" t="str">
            <v>Azerbaijan Rep.O.</v>
          </cell>
          <cell r="H380" t="str">
            <v>3019</v>
          </cell>
          <cell r="I380" t="str">
            <v>格鲁吉亚</v>
          </cell>
          <cell r="J380" t="str">
            <v>Georgia</v>
          </cell>
          <cell r="K380" t="str">
            <v>Chinese employees</v>
          </cell>
          <cell r="L380" t="str">
            <v>L3</v>
          </cell>
          <cell r="M380" t="str">
            <v>ALL</v>
          </cell>
          <cell r="N380" t="str">
            <v>FLPC(含奖金)</v>
          </cell>
          <cell r="O380" t="str">
            <v>USD/小时</v>
          </cell>
          <cell r="P380">
            <v>70.37</v>
          </cell>
        </row>
        <row r="381">
          <cell r="A381" t="str">
            <v>Georgia - Chinese employees - L4</v>
          </cell>
          <cell r="B381" t="str">
            <v>Current version</v>
          </cell>
          <cell r="C381" t="str">
            <v>V2009R2</v>
          </cell>
          <cell r="D381" t="str">
            <v>Labor Rate</v>
          </cell>
          <cell r="E381" t="str">
            <v>CIS</v>
          </cell>
          <cell r="F381" t="str">
            <v>Central Asia Sub-Regional Division</v>
          </cell>
          <cell r="G381" t="str">
            <v>Azerbaijan Rep.O.</v>
          </cell>
          <cell r="H381" t="str">
            <v>3019</v>
          </cell>
          <cell r="I381" t="str">
            <v>格鲁吉亚</v>
          </cell>
          <cell r="J381" t="str">
            <v>Georgia</v>
          </cell>
          <cell r="K381" t="str">
            <v>Chinese employees</v>
          </cell>
          <cell r="L381" t="str">
            <v>L4</v>
          </cell>
          <cell r="M381" t="str">
            <v>ALL</v>
          </cell>
          <cell r="N381" t="str">
            <v>FLPC(含奖金)</v>
          </cell>
          <cell r="O381" t="str">
            <v>USD/小时</v>
          </cell>
          <cell r="P381">
            <v>111.4</v>
          </cell>
        </row>
        <row r="382">
          <cell r="A382" t="str">
            <v>Albania - Chinese employees - L0</v>
          </cell>
          <cell r="B382" t="str">
            <v>Current version</v>
          </cell>
          <cell r="C382" t="str">
            <v>V2009R2</v>
          </cell>
          <cell r="D382" t="str">
            <v>Labor Rate</v>
          </cell>
          <cell r="E382" t="str">
            <v>CIS</v>
          </cell>
          <cell r="F382" t="str">
            <v>Central Asia Sub-Regional Division</v>
          </cell>
          <cell r="G382" t="str">
            <v>Turkey Rep.O</v>
          </cell>
          <cell r="H382" t="str">
            <v>3317</v>
          </cell>
          <cell r="I382" t="str">
            <v>阿尔巴尼亚</v>
          </cell>
          <cell r="J382" t="str">
            <v>Albania</v>
          </cell>
          <cell r="K382" t="str">
            <v>Chinese employees</v>
          </cell>
          <cell r="L382" t="str">
            <v>L0</v>
          </cell>
          <cell r="M382" t="str">
            <v>ALL</v>
          </cell>
          <cell r="N382" t="str">
            <v>FLPC(含奖金)</v>
          </cell>
          <cell r="O382" t="str">
            <v>USD/小时</v>
          </cell>
          <cell r="P382">
            <v>41.33</v>
          </cell>
        </row>
        <row r="383">
          <cell r="A383" t="str">
            <v>Albania - Chinese employees - L1</v>
          </cell>
          <cell r="B383" t="str">
            <v>Current version</v>
          </cell>
          <cell r="C383" t="str">
            <v>V2009R2</v>
          </cell>
          <cell r="D383" t="str">
            <v>Labor Rate</v>
          </cell>
          <cell r="E383" t="str">
            <v>CIS</v>
          </cell>
          <cell r="F383" t="str">
            <v>Central Asia Sub-Regional Division</v>
          </cell>
          <cell r="G383" t="str">
            <v>Turkey Rep.O</v>
          </cell>
          <cell r="H383" t="str">
            <v>3317</v>
          </cell>
          <cell r="I383" t="str">
            <v>阿尔巴尼亚</v>
          </cell>
          <cell r="J383" t="str">
            <v>Albania</v>
          </cell>
          <cell r="K383" t="str">
            <v>Chinese employees</v>
          </cell>
          <cell r="L383" t="str">
            <v>L1</v>
          </cell>
          <cell r="M383" t="str">
            <v>ALL</v>
          </cell>
          <cell r="N383" t="str">
            <v>FLPC(含奖金)</v>
          </cell>
          <cell r="O383" t="str">
            <v>USD/小时</v>
          </cell>
          <cell r="P383">
            <v>47.08</v>
          </cell>
        </row>
        <row r="384">
          <cell r="A384" t="str">
            <v>Albania - Chinese employees - L2</v>
          </cell>
          <cell r="B384" t="str">
            <v>Current version</v>
          </cell>
          <cell r="C384" t="str">
            <v>V2009R2</v>
          </cell>
          <cell r="D384" t="str">
            <v>Labor Rate</v>
          </cell>
          <cell r="E384" t="str">
            <v>CIS</v>
          </cell>
          <cell r="F384" t="str">
            <v>Central Asia Sub-Regional Division</v>
          </cell>
          <cell r="G384" t="str">
            <v>Turkey Rep.O</v>
          </cell>
          <cell r="H384" t="str">
            <v>3317</v>
          </cell>
          <cell r="I384" t="str">
            <v>阿尔巴尼亚</v>
          </cell>
          <cell r="J384" t="str">
            <v>Albania</v>
          </cell>
          <cell r="K384" t="str">
            <v>Chinese employees</v>
          </cell>
          <cell r="L384" t="str">
            <v>L2</v>
          </cell>
          <cell r="M384" t="str">
            <v>ALL</v>
          </cell>
          <cell r="N384" t="str">
            <v>FLPC(含奖金)</v>
          </cell>
          <cell r="O384" t="str">
            <v>USD/小时</v>
          </cell>
          <cell r="P384">
            <v>54.54</v>
          </cell>
        </row>
        <row r="385">
          <cell r="A385" t="str">
            <v>Albania - Chinese employees - L3</v>
          </cell>
          <cell r="B385" t="str">
            <v>Current version</v>
          </cell>
          <cell r="C385" t="str">
            <v>V2009R2</v>
          </cell>
          <cell r="D385" t="str">
            <v>Labor Rate</v>
          </cell>
          <cell r="E385" t="str">
            <v>CIS</v>
          </cell>
          <cell r="F385" t="str">
            <v>Central Asia Sub-Regional Division</v>
          </cell>
          <cell r="G385" t="str">
            <v>Turkey Rep.O</v>
          </cell>
          <cell r="H385" t="str">
            <v>3317</v>
          </cell>
          <cell r="I385" t="str">
            <v>阿尔巴尼亚</v>
          </cell>
          <cell r="J385" t="str">
            <v>Albania</v>
          </cell>
          <cell r="K385" t="str">
            <v>Chinese employees</v>
          </cell>
          <cell r="L385" t="str">
            <v>L3</v>
          </cell>
          <cell r="M385" t="str">
            <v>ALL</v>
          </cell>
          <cell r="N385" t="str">
            <v>FLPC(含奖金)</v>
          </cell>
          <cell r="O385" t="str">
            <v>USD/小时</v>
          </cell>
          <cell r="P385">
            <v>65.2</v>
          </cell>
        </row>
        <row r="386">
          <cell r="A386" t="str">
            <v>Albania - Chinese employees - L4</v>
          </cell>
          <cell r="B386" t="str">
            <v>Current version</v>
          </cell>
          <cell r="C386" t="str">
            <v>V2009R2</v>
          </cell>
          <cell r="D386" t="str">
            <v>Labor Rate</v>
          </cell>
          <cell r="E386" t="str">
            <v>CIS</v>
          </cell>
          <cell r="F386" t="str">
            <v>Central Asia Sub-Regional Division</v>
          </cell>
          <cell r="G386" t="str">
            <v>Turkey Rep.O</v>
          </cell>
          <cell r="H386" t="str">
            <v>3317</v>
          </cell>
          <cell r="I386" t="str">
            <v>阿尔巴尼亚</v>
          </cell>
          <cell r="J386" t="str">
            <v>Albania</v>
          </cell>
          <cell r="K386" t="str">
            <v>Chinese employees</v>
          </cell>
          <cell r="L386" t="str">
            <v>L4</v>
          </cell>
          <cell r="M386" t="str">
            <v>ALL</v>
          </cell>
          <cell r="N386" t="str">
            <v>FLPC(含奖金)</v>
          </cell>
          <cell r="O386" t="str">
            <v>USD/小时</v>
          </cell>
          <cell r="P386">
            <v>103.64</v>
          </cell>
        </row>
        <row r="387">
          <cell r="A387" t="str">
            <v>Armenia - Chinese employees - L0</v>
          </cell>
          <cell r="B387" t="str">
            <v>Current version</v>
          </cell>
          <cell r="C387" t="str">
            <v>V2009R2</v>
          </cell>
          <cell r="D387" t="str">
            <v>Labor Rate</v>
          </cell>
          <cell r="E387" t="str">
            <v>CIS</v>
          </cell>
          <cell r="F387" t="str">
            <v>Russia</v>
          </cell>
          <cell r="G387" t="str">
            <v>Russia Rep.O.</v>
          </cell>
          <cell r="H387" t="str">
            <v>3016</v>
          </cell>
          <cell r="I387" t="str">
            <v>亚美尼亚</v>
          </cell>
          <cell r="J387" t="str">
            <v>Armenia</v>
          </cell>
          <cell r="K387" t="str">
            <v>Chinese employees</v>
          </cell>
          <cell r="L387" t="str">
            <v>L0</v>
          </cell>
          <cell r="M387" t="str">
            <v>ALL</v>
          </cell>
          <cell r="N387" t="str">
            <v>FLPC(含奖金)</v>
          </cell>
          <cell r="O387" t="str">
            <v>USD/小时</v>
          </cell>
          <cell r="P387">
            <v>57.12</v>
          </cell>
        </row>
        <row r="388">
          <cell r="A388" t="str">
            <v>Armenia - Chinese employees - L1</v>
          </cell>
          <cell r="B388" t="str">
            <v>Current version</v>
          </cell>
          <cell r="C388" t="str">
            <v>V2009R2</v>
          </cell>
          <cell r="D388" t="str">
            <v>Labor Rate</v>
          </cell>
          <cell r="E388" t="str">
            <v>CIS</v>
          </cell>
          <cell r="F388" t="str">
            <v>Russia</v>
          </cell>
          <cell r="G388" t="str">
            <v>Russia Rep.O.</v>
          </cell>
          <cell r="H388" t="str">
            <v>3016</v>
          </cell>
          <cell r="I388" t="str">
            <v>亚美尼亚</v>
          </cell>
          <cell r="J388" t="str">
            <v>Armenia</v>
          </cell>
          <cell r="K388" t="str">
            <v>Chinese employees</v>
          </cell>
          <cell r="L388" t="str">
            <v>L1</v>
          </cell>
          <cell r="M388" t="str">
            <v>ALL</v>
          </cell>
          <cell r="N388" t="str">
            <v>FLPC(含奖金)</v>
          </cell>
          <cell r="O388" t="str">
            <v>USD/小时</v>
          </cell>
          <cell r="P388">
            <v>63.68</v>
          </cell>
        </row>
        <row r="389">
          <cell r="A389" t="str">
            <v>Armenia - Chinese employees - L2</v>
          </cell>
          <cell r="B389" t="str">
            <v>Current version</v>
          </cell>
          <cell r="C389" t="str">
            <v>V2009R2</v>
          </cell>
          <cell r="D389" t="str">
            <v>Labor Rate</v>
          </cell>
          <cell r="E389" t="str">
            <v>CIS</v>
          </cell>
          <cell r="F389" t="str">
            <v>Russia</v>
          </cell>
          <cell r="G389" t="str">
            <v>Russia Rep.O.</v>
          </cell>
          <cell r="H389" t="str">
            <v>3016</v>
          </cell>
          <cell r="I389" t="str">
            <v>亚美尼亚</v>
          </cell>
          <cell r="J389" t="str">
            <v>Armenia</v>
          </cell>
          <cell r="K389" t="str">
            <v>Chinese employees</v>
          </cell>
          <cell r="L389" t="str">
            <v>L2</v>
          </cell>
          <cell r="M389" t="str">
            <v>ALL</v>
          </cell>
          <cell r="N389" t="str">
            <v>FLPC(含奖金)</v>
          </cell>
          <cell r="O389" t="str">
            <v>USD/小时</v>
          </cell>
          <cell r="P389">
            <v>71.930000000000007</v>
          </cell>
        </row>
        <row r="390">
          <cell r="A390" t="str">
            <v>Armenia - Chinese employees - L3</v>
          </cell>
          <cell r="B390" t="str">
            <v>Current version</v>
          </cell>
          <cell r="C390" t="str">
            <v>V2009R2</v>
          </cell>
          <cell r="D390" t="str">
            <v>Labor Rate</v>
          </cell>
          <cell r="E390" t="str">
            <v>CIS</v>
          </cell>
          <cell r="F390" t="str">
            <v>Russia</v>
          </cell>
          <cell r="G390" t="str">
            <v>Russia Rep.O.</v>
          </cell>
          <cell r="H390" t="str">
            <v>3016</v>
          </cell>
          <cell r="I390" t="str">
            <v>亚美尼亚</v>
          </cell>
          <cell r="J390" t="str">
            <v>Armenia</v>
          </cell>
          <cell r="K390" t="str">
            <v>Chinese employees</v>
          </cell>
          <cell r="L390" t="str">
            <v>L3</v>
          </cell>
          <cell r="M390" t="str">
            <v>ALL</v>
          </cell>
          <cell r="N390" t="str">
            <v>FLPC(含奖金)</v>
          </cell>
          <cell r="O390" t="str">
            <v>USD/小时</v>
          </cell>
          <cell r="P390">
            <v>83.76</v>
          </cell>
        </row>
        <row r="391">
          <cell r="A391" t="str">
            <v>Armenia - Chinese employees - L4</v>
          </cell>
          <cell r="B391" t="str">
            <v>Current version</v>
          </cell>
          <cell r="C391" t="str">
            <v>V2009R2</v>
          </cell>
          <cell r="D391" t="str">
            <v>Labor Rate</v>
          </cell>
          <cell r="E391" t="str">
            <v>CIS</v>
          </cell>
          <cell r="F391" t="str">
            <v>Russia</v>
          </cell>
          <cell r="G391" t="str">
            <v>Russia Rep.O.</v>
          </cell>
          <cell r="H391" t="str">
            <v>3016</v>
          </cell>
          <cell r="I391" t="str">
            <v>亚美尼亚</v>
          </cell>
          <cell r="J391" t="str">
            <v>Armenia</v>
          </cell>
          <cell r="K391" t="str">
            <v>Chinese employees</v>
          </cell>
          <cell r="L391" t="str">
            <v>L4</v>
          </cell>
          <cell r="M391" t="str">
            <v>ALL</v>
          </cell>
          <cell r="N391" t="str">
            <v>FLPC(含奖金)</v>
          </cell>
          <cell r="O391" t="str">
            <v>USD/小时</v>
          </cell>
          <cell r="P391">
            <v>126.27</v>
          </cell>
        </row>
        <row r="392">
          <cell r="A392" t="str">
            <v>Russia - Chinese employees - L0</v>
          </cell>
          <cell r="B392" t="str">
            <v>Current version</v>
          </cell>
          <cell r="C392" t="str">
            <v>V2009R2</v>
          </cell>
          <cell r="D392" t="str">
            <v>Labor Rate</v>
          </cell>
          <cell r="E392" t="str">
            <v>CIS</v>
          </cell>
          <cell r="F392" t="str">
            <v>Russia</v>
          </cell>
          <cell r="G392" t="str">
            <v>Russia Rep.O.</v>
          </cell>
          <cell r="H392" t="str">
            <v>3001</v>
          </cell>
          <cell r="I392" t="str">
            <v>俄罗斯</v>
          </cell>
          <cell r="J392" t="str">
            <v>Russia</v>
          </cell>
          <cell r="K392" t="str">
            <v>Chinese employees</v>
          </cell>
          <cell r="L392" t="str">
            <v>L0</v>
          </cell>
          <cell r="M392" t="str">
            <v>ALL</v>
          </cell>
          <cell r="N392" t="str">
            <v>FLPC(含奖金)</v>
          </cell>
          <cell r="O392" t="str">
            <v>USD/小时</v>
          </cell>
          <cell r="P392">
            <v>57.12</v>
          </cell>
        </row>
        <row r="393">
          <cell r="A393" t="str">
            <v>Russia - Chinese employees - L1</v>
          </cell>
          <cell r="B393" t="str">
            <v>Current version</v>
          </cell>
          <cell r="C393" t="str">
            <v>V2009R2</v>
          </cell>
          <cell r="D393" t="str">
            <v>Labor Rate</v>
          </cell>
          <cell r="E393" t="str">
            <v>CIS</v>
          </cell>
          <cell r="F393" t="str">
            <v>Russia</v>
          </cell>
          <cell r="G393" t="str">
            <v>Russia Rep.O.</v>
          </cell>
          <cell r="H393" t="str">
            <v>3001</v>
          </cell>
          <cell r="I393" t="str">
            <v>俄罗斯</v>
          </cell>
          <cell r="J393" t="str">
            <v>Russia</v>
          </cell>
          <cell r="K393" t="str">
            <v>Chinese employees</v>
          </cell>
          <cell r="L393" t="str">
            <v>L1</v>
          </cell>
          <cell r="M393" t="str">
            <v>ALL</v>
          </cell>
          <cell r="N393" t="str">
            <v>FLPC(含奖金)</v>
          </cell>
          <cell r="O393" t="str">
            <v>USD/小时</v>
          </cell>
          <cell r="P393">
            <v>63.68</v>
          </cell>
        </row>
        <row r="394">
          <cell r="A394" t="str">
            <v>Russia - Chinese employees - L2</v>
          </cell>
          <cell r="B394" t="str">
            <v>Current version</v>
          </cell>
          <cell r="C394" t="str">
            <v>V2009R2</v>
          </cell>
          <cell r="D394" t="str">
            <v>Labor Rate</v>
          </cell>
          <cell r="E394" t="str">
            <v>CIS</v>
          </cell>
          <cell r="F394" t="str">
            <v>Russia</v>
          </cell>
          <cell r="G394" t="str">
            <v>Russia Rep.O.</v>
          </cell>
          <cell r="H394" t="str">
            <v>3001</v>
          </cell>
          <cell r="I394" t="str">
            <v>俄罗斯</v>
          </cell>
          <cell r="J394" t="str">
            <v>Russia</v>
          </cell>
          <cell r="K394" t="str">
            <v>Chinese employees</v>
          </cell>
          <cell r="L394" t="str">
            <v>L2</v>
          </cell>
          <cell r="M394" t="str">
            <v>ALL</v>
          </cell>
          <cell r="N394" t="str">
            <v>FLPC(含奖金)</v>
          </cell>
          <cell r="O394" t="str">
            <v>USD/小时</v>
          </cell>
          <cell r="P394">
            <v>71.930000000000007</v>
          </cell>
        </row>
        <row r="395">
          <cell r="A395" t="str">
            <v>Russia - Chinese employees - L3</v>
          </cell>
          <cell r="B395" t="str">
            <v>Current version</v>
          </cell>
          <cell r="C395" t="str">
            <v>V2009R2</v>
          </cell>
          <cell r="D395" t="str">
            <v>Labor Rate</v>
          </cell>
          <cell r="E395" t="str">
            <v>CIS</v>
          </cell>
          <cell r="F395" t="str">
            <v>Russia</v>
          </cell>
          <cell r="G395" t="str">
            <v>Russia Rep.O.</v>
          </cell>
          <cell r="H395" t="str">
            <v>3001</v>
          </cell>
          <cell r="I395" t="str">
            <v>俄罗斯</v>
          </cell>
          <cell r="J395" t="str">
            <v>Russia</v>
          </cell>
          <cell r="K395" t="str">
            <v>Chinese employees</v>
          </cell>
          <cell r="L395" t="str">
            <v>L3</v>
          </cell>
          <cell r="M395" t="str">
            <v>ALL</v>
          </cell>
          <cell r="N395" t="str">
            <v>FLPC(含奖金)</v>
          </cell>
          <cell r="O395" t="str">
            <v>USD/小时</v>
          </cell>
          <cell r="P395">
            <v>83.76</v>
          </cell>
        </row>
        <row r="396">
          <cell r="A396" t="str">
            <v>Russia - Chinese employees - L4</v>
          </cell>
          <cell r="B396" t="str">
            <v>Current version</v>
          </cell>
          <cell r="C396" t="str">
            <v>V2009R2</v>
          </cell>
          <cell r="D396" t="str">
            <v>Labor Rate</v>
          </cell>
          <cell r="E396" t="str">
            <v>CIS</v>
          </cell>
          <cell r="F396" t="str">
            <v>Russia</v>
          </cell>
          <cell r="G396" t="str">
            <v>Russia Rep.O.</v>
          </cell>
          <cell r="H396" t="str">
            <v>3001</v>
          </cell>
          <cell r="I396" t="str">
            <v>俄罗斯</v>
          </cell>
          <cell r="J396" t="str">
            <v>Russia</v>
          </cell>
          <cell r="K396" t="str">
            <v>Chinese employees</v>
          </cell>
          <cell r="L396" t="str">
            <v>L4</v>
          </cell>
          <cell r="M396" t="str">
            <v>ALL</v>
          </cell>
          <cell r="N396" t="str">
            <v>FLPC(含奖金)</v>
          </cell>
          <cell r="O396" t="str">
            <v>USD/小时</v>
          </cell>
          <cell r="P396">
            <v>126.27</v>
          </cell>
        </row>
        <row r="397">
          <cell r="A397" t="str">
            <v>Ufa - Chinese employees - L0</v>
          </cell>
          <cell r="B397" t="str">
            <v>Current version</v>
          </cell>
          <cell r="C397" t="str">
            <v>V2009R2</v>
          </cell>
          <cell r="D397" t="str">
            <v>Labor Rate</v>
          </cell>
          <cell r="E397" t="str">
            <v>CIS</v>
          </cell>
          <cell r="F397" t="str">
            <v>Russia</v>
          </cell>
          <cell r="G397" t="str">
            <v>Russia Rep.O.</v>
          </cell>
          <cell r="H397" t="str">
            <v>3009</v>
          </cell>
          <cell r="I397" t="str">
            <v>乌法</v>
          </cell>
          <cell r="J397" t="str">
            <v>Ufa</v>
          </cell>
          <cell r="K397" t="str">
            <v>Chinese employees</v>
          </cell>
          <cell r="L397" t="str">
            <v>L0</v>
          </cell>
          <cell r="M397" t="str">
            <v>ALL</v>
          </cell>
          <cell r="N397" t="str">
            <v>FLPC(含奖金)</v>
          </cell>
          <cell r="O397" t="str">
            <v>USD/小时</v>
          </cell>
          <cell r="P397">
            <v>57.12</v>
          </cell>
        </row>
        <row r="398">
          <cell r="A398" t="str">
            <v>Ufa - Chinese employees - L1</v>
          </cell>
          <cell r="B398" t="str">
            <v>Current version</v>
          </cell>
          <cell r="C398" t="str">
            <v>V2009R2</v>
          </cell>
          <cell r="D398" t="str">
            <v>Labor Rate</v>
          </cell>
          <cell r="E398" t="str">
            <v>CIS</v>
          </cell>
          <cell r="F398" t="str">
            <v>Russia</v>
          </cell>
          <cell r="G398" t="str">
            <v>Russia Rep.O.</v>
          </cell>
          <cell r="H398" t="str">
            <v>3009</v>
          </cell>
          <cell r="I398" t="str">
            <v>乌法</v>
          </cell>
          <cell r="J398" t="str">
            <v>Ufa</v>
          </cell>
          <cell r="K398" t="str">
            <v>Chinese employees</v>
          </cell>
          <cell r="L398" t="str">
            <v>L1</v>
          </cell>
          <cell r="M398" t="str">
            <v>ALL</v>
          </cell>
          <cell r="N398" t="str">
            <v>FLPC(含奖金)</v>
          </cell>
          <cell r="O398" t="str">
            <v>USD/小时</v>
          </cell>
          <cell r="P398">
            <v>63.68</v>
          </cell>
        </row>
        <row r="399">
          <cell r="A399" t="str">
            <v>Ufa - Chinese employees - L2</v>
          </cell>
          <cell r="B399" t="str">
            <v>Current version</v>
          </cell>
          <cell r="C399" t="str">
            <v>V2009R2</v>
          </cell>
          <cell r="D399" t="str">
            <v>Labor Rate</v>
          </cell>
          <cell r="E399" t="str">
            <v>CIS</v>
          </cell>
          <cell r="F399" t="str">
            <v>Russia</v>
          </cell>
          <cell r="G399" t="str">
            <v>Russia Rep.O.</v>
          </cell>
          <cell r="H399" t="str">
            <v>3009</v>
          </cell>
          <cell r="I399" t="str">
            <v>乌法</v>
          </cell>
          <cell r="J399" t="str">
            <v>Ufa</v>
          </cell>
          <cell r="K399" t="str">
            <v>Chinese employees</v>
          </cell>
          <cell r="L399" t="str">
            <v>L2</v>
          </cell>
          <cell r="M399" t="str">
            <v>ALL</v>
          </cell>
          <cell r="N399" t="str">
            <v>FLPC(含奖金)</v>
          </cell>
          <cell r="O399" t="str">
            <v>USD/小时</v>
          </cell>
          <cell r="P399">
            <v>71.930000000000007</v>
          </cell>
        </row>
        <row r="400">
          <cell r="A400" t="str">
            <v>Ufa - Chinese employees - L3</v>
          </cell>
          <cell r="B400" t="str">
            <v>Current version</v>
          </cell>
          <cell r="C400" t="str">
            <v>V2009R2</v>
          </cell>
          <cell r="D400" t="str">
            <v>Labor Rate</v>
          </cell>
          <cell r="E400" t="str">
            <v>CIS</v>
          </cell>
          <cell r="F400" t="str">
            <v>Russia</v>
          </cell>
          <cell r="G400" t="str">
            <v>Russia Rep.O.</v>
          </cell>
          <cell r="H400" t="str">
            <v>3009</v>
          </cell>
          <cell r="I400" t="str">
            <v>乌法</v>
          </cell>
          <cell r="J400" t="str">
            <v>Ufa</v>
          </cell>
          <cell r="K400" t="str">
            <v>Chinese employees</v>
          </cell>
          <cell r="L400" t="str">
            <v>L3</v>
          </cell>
          <cell r="M400" t="str">
            <v>ALL</v>
          </cell>
          <cell r="N400" t="str">
            <v>FLPC(含奖金)</v>
          </cell>
          <cell r="O400" t="str">
            <v>USD/小时</v>
          </cell>
          <cell r="P400">
            <v>83.76</v>
          </cell>
        </row>
        <row r="401">
          <cell r="A401" t="str">
            <v>Ufa - Chinese employees - L4</v>
          </cell>
          <cell r="B401" t="str">
            <v>Current version</v>
          </cell>
          <cell r="C401" t="str">
            <v>V2009R2</v>
          </cell>
          <cell r="D401" t="str">
            <v>Labor Rate</v>
          </cell>
          <cell r="E401" t="str">
            <v>CIS</v>
          </cell>
          <cell r="F401" t="str">
            <v>Russia</v>
          </cell>
          <cell r="G401" t="str">
            <v>Russia Rep.O.</v>
          </cell>
          <cell r="H401" t="str">
            <v>3009</v>
          </cell>
          <cell r="I401" t="str">
            <v>乌法</v>
          </cell>
          <cell r="J401" t="str">
            <v>Ufa</v>
          </cell>
          <cell r="K401" t="str">
            <v>Chinese employees</v>
          </cell>
          <cell r="L401" t="str">
            <v>L4</v>
          </cell>
          <cell r="M401" t="str">
            <v>ALL</v>
          </cell>
          <cell r="N401" t="str">
            <v>FLPC(含奖金)</v>
          </cell>
          <cell r="O401" t="str">
            <v>USD/小时</v>
          </cell>
          <cell r="P401">
            <v>126.27</v>
          </cell>
        </row>
        <row r="402">
          <cell r="A402" t="str">
            <v>Moscow - Chinese employees - L0</v>
          </cell>
          <cell r="B402" t="str">
            <v>Current version</v>
          </cell>
          <cell r="C402" t="str">
            <v>V2009R2</v>
          </cell>
          <cell r="D402" t="str">
            <v>Labor Rate</v>
          </cell>
          <cell r="E402" t="str">
            <v>CIS</v>
          </cell>
          <cell r="F402" t="str">
            <v>Russia</v>
          </cell>
          <cell r="G402" t="str">
            <v>Russia Rep.O.</v>
          </cell>
          <cell r="H402" t="str">
            <v>3010</v>
          </cell>
          <cell r="I402" t="str">
            <v>莫斯科</v>
          </cell>
          <cell r="J402" t="str">
            <v>Moscow</v>
          </cell>
          <cell r="K402" t="str">
            <v>Chinese employees</v>
          </cell>
          <cell r="L402" t="str">
            <v>L0</v>
          </cell>
          <cell r="M402" t="str">
            <v>ALL</v>
          </cell>
          <cell r="N402" t="str">
            <v>FLPC(含奖金)</v>
          </cell>
          <cell r="O402" t="str">
            <v>USD/小时</v>
          </cell>
          <cell r="P402">
            <v>57.12</v>
          </cell>
        </row>
        <row r="403">
          <cell r="A403" t="str">
            <v>Moscow - Chinese employees - L1</v>
          </cell>
          <cell r="B403" t="str">
            <v>Current version</v>
          </cell>
          <cell r="C403" t="str">
            <v>V2009R2</v>
          </cell>
          <cell r="D403" t="str">
            <v>Labor Rate</v>
          </cell>
          <cell r="E403" t="str">
            <v>CIS</v>
          </cell>
          <cell r="F403" t="str">
            <v>Russia</v>
          </cell>
          <cell r="G403" t="str">
            <v>Russia Rep.O.</v>
          </cell>
          <cell r="H403" t="str">
            <v>3010</v>
          </cell>
          <cell r="I403" t="str">
            <v>莫斯科</v>
          </cell>
          <cell r="J403" t="str">
            <v>Moscow</v>
          </cell>
          <cell r="K403" t="str">
            <v>Chinese employees</v>
          </cell>
          <cell r="L403" t="str">
            <v>L1</v>
          </cell>
          <cell r="M403" t="str">
            <v>ALL</v>
          </cell>
          <cell r="N403" t="str">
            <v>FLPC(含奖金)</v>
          </cell>
          <cell r="O403" t="str">
            <v>USD/小时</v>
          </cell>
          <cell r="P403">
            <v>63.68</v>
          </cell>
        </row>
        <row r="404">
          <cell r="A404" t="str">
            <v>Moscow - Chinese employees - L2</v>
          </cell>
          <cell r="B404" t="str">
            <v>Current version</v>
          </cell>
          <cell r="C404" t="str">
            <v>V2009R2</v>
          </cell>
          <cell r="D404" t="str">
            <v>Labor Rate</v>
          </cell>
          <cell r="E404" t="str">
            <v>CIS</v>
          </cell>
          <cell r="F404" t="str">
            <v>Russia</v>
          </cell>
          <cell r="G404" t="str">
            <v>Russia Rep.O.</v>
          </cell>
          <cell r="H404" t="str">
            <v>3010</v>
          </cell>
          <cell r="I404" t="str">
            <v>莫斯科</v>
          </cell>
          <cell r="J404" t="str">
            <v>Moscow</v>
          </cell>
          <cell r="K404" t="str">
            <v>Chinese employees</v>
          </cell>
          <cell r="L404" t="str">
            <v>L2</v>
          </cell>
          <cell r="M404" t="str">
            <v>ALL</v>
          </cell>
          <cell r="N404" t="str">
            <v>FLPC(含奖金)</v>
          </cell>
          <cell r="O404" t="str">
            <v>USD/小时</v>
          </cell>
          <cell r="P404">
            <v>71.930000000000007</v>
          </cell>
        </row>
        <row r="405">
          <cell r="A405" t="str">
            <v>Moscow - Chinese employees - L3</v>
          </cell>
          <cell r="B405" t="str">
            <v>Current version</v>
          </cell>
          <cell r="C405" t="str">
            <v>V2009R2</v>
          </cell>
          <cell r="D405" t="str">
            <v>Labor Rate</v>
          </cell>
          <cell r="E405" t="str">
            <v>CIS</v>
          </cell>
          <cell r="F405" t="str">
            <v>Russia</v>
          </cell>
          <cell r="G405" t="str">
            <v>Russia Rep.O.</v>
          </cell>
          <cell r="H405" t="str">
            <v>3010</v>
          </cell>
          <cell r="I405" t="str">
            <v>莫斯科</v>
          </cell>
          <cell r="J405" t="str">
            <v>Moscow</v>
          </cell>
          <cell r="K405" t="str">
            <v>Chinese employees</v>
          </cell>
          <cell r="L405" t="str">
            <v>L3</v>
          </cell>
          <cell r="M405" t="str">
            <v>ALL</v>
          </cell>
          <cell r="N405" t="str">
            <v>FLPC(含奖金)</v>
          </cell>
          <cell r="O405" t="str">
            <v>USD/小时</v>
          </cell>
          <cell r="P405">
            <v>83.76</v>
          </cell>
        </row>
        <row r="406">
          <cell r="A406" t="str">
            <v>Moscow - Chinese employees - L4</v>
          </cell>
          <cell r="B406" t="str">
            <v>Current version</v>
          </cell>
          <cell r="C406" t="str">
            <v>V2009R2</v>
          </cell>
          <cell r="D406" t="str">
            <v>Labor Rate</v>
          </cell>
          <cell r="E406" t="str">
            <v>CIS</v>
          </cell>
          <cell r="F406" t="str">
            <v>Russia</v>
          </cell>
          <cell r="G406" t="str">
            <v>Russia Rep.O.</v>
          </cell>
          <cell r="H406" t="str">
            <v>3010</v>
          </cell>
          <cell r="I406" t="str">
            <v>莫斯科</v>
          </cell>
          <cell r="J406" t="str">
            <v>Moscow</v>
          </cell>
          <cell r="K406" t="str">
            <v>Chinese employees</v>
          </cell>
          <cell r="L406" t="str">
            <v>L4</v>
          </cell>
          <cell r="M406" t="str">
            <v>ALL</v>
          </cell>
          <cell r="N406" t="str">
            <v>FLPC(含奖金)</v>
          </cell>
          <cell r="O406" t="str">
            <v>USD/小时</v>
          </cell>
          <cell r="P406">
            <v>126.27</v>
          </cell>
        </row>
        <row r="407">
          <cell r="A407" t="str">
            <v>St. Petersburg - Chinese employees - L0</v>
          </cell>
          <cell r="B407" t="str">
            <v>Current version</v>
          </cell>
          <cell r="C407" t="str">
            <v>V2009R2</v>
          </cell>
          <cell r="D407" t="str">
            <v>Labor Rate</v>
          </cell>
          <cell r="E407" t="str">
            <v>CIS</v>
          </cell>
          <cell r="F407" t="str">
            <v>Russia</v>
          </cell>
          <cell r="G407" t="str">
            <v>Russia Rep.O.</v>
          </cell>
          <cell r="H407" t="str">
            <v>3011</v>
          </cell>
          <cell r="I407" t="str">
            <v>圣彼得堡</v>
          </cell>
          <cell r="J407" t="str">
            <v>St. Petersburg</v>
          </cell>
          <cell r="K407" t="str">
            <v>Chinese employees</v>
          </cell>
          <cell r="L407" t="str">
            <v>L0</v>
          </cell>
          <cell r="M407" t="str">
            <v>ALL</v>
          </cell>
          <cell r="N407" t="str">
            <v>FLPC(含奖金)</v>
          </cell>
          <cell r="O407" t="str">
            <v>USD/小时</v>
          </cell>
          <cell r="P407">
            <v>57.12</v>
          </cell>
        </row>
        <row r="408">
          <cell r="A408" t="str">
            <v>St. Petersburg - Chinese employees - L1</v>
          </cell>
          <cell r="B408" t="str">
            <v>Current version</v>
          </cell>
          <cell r="C408" t="str">
            <v>V2009R2</v>
          </cell>
          <cell r="D408" t="str">
            <v>Labor Rate</v>
          </cell>
          <cell r="E408" t="str">
            <v>CIS</v>
          </cell>
          <cell r="F408" t="str">
            <v>Russia</v>
          </cell>
          <cell r="G408" t="str">
            <v>Russia Rep.O.</v>
          </cell>
          <cell r="H408" t="str">
            <v>3011</v>
          </cell>
          <cell r="I408" t="str">
            <v>圣彼得堡</v>
          </cell>
          <cell r="J408" t="str">
            <v>St. Petersburg</v>
          </cell>
          <cell r="K408" t="str">
            <v>Chinese employees</v>
          </cell>
          <cell r="L408" t="str">
            <v>L1</v>
          </cell>
          <cell r="M408" t="str">
            <v>ALL</v>
          </cell>
          <cell r="N408" t="str">
            <v>FLPC(含奖金)</v>
          </cell>
          <cell r="O408" t="str">
            <v>USD/小时</v>
          </cell>
          <cell r="P408">
            <v>63.68</v>
          </cell>
        </row>
        <row r="409">
          <cell r="A409" t="str">
            <v>St. Petersburg - Chinese employees - L2</v>
          </cell>
          <cell r="B409" t="str">
            <v>Current version</v>
          </cell>
          <cell r="C409" t="str">
            <v>V2009R2</v>
          </cell>
          <cell r="D409" t="str">
            <v>Labor Rate</v>
          </cell>
          <cell r="E409" t="str">
            <v>CIS</v>
          </cell>
          <cell r="F409" t="str">
            <v>Russia</v>
          </cell>
          <cell r="G409" t="str">
            <v>Russia Rep.O.</v>
          </cell>
          <cell r="H409" t="str">
            <v>3011</v>
          </cell>
          <cell r="I409" t="str">
            <v>圣彼得堡</v>
          </cell>
          <cell r="J409" t="str">
            <v>St. Petersburg</v>
          </cell>
          <cell r="K409" t="str">
            <v>Chinese employees</v>
          </cell>
          <cell r="L409" t="str">
            <v>L2</v>
          </cell>
          <cell r="M409" t="str">
            <v>ALL</v>
          </cell>
          <cell r="N409" t="str">
            <v>FLPC(含奖金)</v>
          </cell>
          <cell r="O409" t="str">
            <v>USD/小时</v>
          </cell>
          <cell r="P409">
            <v>71.930000000000007</v>
          </cell>
        </row>
        <row r="410">
          <cell r="A410" t="str">
            <v>St. Petersburg - Chinese employees - L3</v>
          </cell>
          <cell r="B410" t="str">
            <v>Current version</v>
          </cell>
          <cell r="C410" t="str">
            <v>V2009R2</v>
          </cell>
          <cell r="D410" t="str">
            <v>Labor Rate</v>
          </cell>
          <cell r="E410" t="str">
            <v>CIS</v>
          </cell>
          <cell r="F410" t="str">
            <v>Russia</v>
          </cell>
          <cell r="G410" t="str">
            <v>Russia Rep.O.</v>
          </cell>
          <cell r="H410" t="str">
            <v>3011</v>
          </cell>
          <cell r="I410" t="str">
            <v>圣彼得堡</v>
          </cell>
          <cell r="J410" t="str">
            <v>St. Petersburg</v>
          </cell>
          <cell r="K410" t="str">
            <v>Chinese employees</v>
          </cell>
          <cell r="L410" t="str">
            <v>L3</v>
          </cell>
          <cell r="M410" t="str">
            <v>ALL</v>
          </cell>
          <cell r="N410" t="str">
            <v>FLPC(含奖金)</v>
          </cell>
          <cell r="O410" t="str">
            <v>USD/小时</v>
          </cell>
          <cell r="P410">
            <v>83.76</v>
          </cell>
        </row>
        <row r="411">
          <cell r="A411" t="str">
            <v>St. Petersburg - Chinese employees - L4</v>
          </cell>
          <cell r="B411" t="str">
            <v>Current version</v>
          </cell>
          <cell r="C411" t="str">
            <v>V2009R2</v>
          </cell>
          <cell r="D411" t="str">
            <v>Labor Rate</v>
          </cell>
          <cell r="E411" t="str">
            <v>CIS</v>
          </cell>
          <cell r="F411" t="str">
            <v>Russia</v>
          </cell>
          <cell r="G411" t="str">
            <v>Russia Rep.O.</v>
          </cell>
          <cell r="H411" t="str">
            <v>3011</v>
          </cell>
          <cell r="I411" t="str">
            <v>圣彼得堡</v>
          </cell>
          <cell r="J411" t="str">
            <v>St. Petersburg</v>
          </cell>
          <cell r="K411" t="str">
            <v>Chinese employees</v>
          </cell>
          <cell r="L411" t="str">
            <v>L4</v>
          </cell>
          <cell r="M411" t="str">
            <v>ALL</v>
          </cell>
          <cell r="N411" t="str">
            <v>FLPC(含奖金)</v>
          </cell>
          <cell r="O411" t="str">
            <v>USD/小时</v>
          </cell>
          <cell r="P411">
            <v>126.27</v>
          </cell>
        </row>
        <row r="412">
          <cell r="A412" t="str">
            <v>Perm - Chinese employees - L0</v>
          </cell>
          <cell r="B412" t="str">
            <v>Current version</v>
          </cell>
          <cell r="C412" t="str">
            <v>V2009R2</v>
          </cell>
          <cell r="D412" t="str">
            <v>Labor Rate</v>
          </cell>
          <cell r="E412" t="str">
            <v>CIS</v>
          </cell>
          <cell r="F412" t="str">
            <v>Russia</v>
          </cell>
          <cell r="G412" t="str">
            <v>Russia Rep.O.</v>
          </cell>
          <cell r="H412" t="str">
            <v>3012</v>
          </cell>
          <cell r="I412" t="str">
            <v>别尔姆</v>
          </cell>
          <cell r="J412" t="str">
            <v>Perm</v>
          </cell>
          <cell r="K412" t="str">
            <v>Chinese employees</v>
          </cell>
          <cell r="L412" t="str">
            <v>L0</v>
          </cell>
          <cell r="M412" t="str">
            <v>ALL</v>
          </cell>
          <cell r="N412" t="str">
            <v>FLPC(含奖金)</v>
          </cell>
          <cell r="O412" t="str">
            <v>USD/小时</v>
          </cell>
          <cell r="P412">
            <v>57.12</v>
          </cell>
        </row>
        <row r="413">
          <cell r="A413" t="str">
            <v>Perm - Chinese employees - L1</v>
          </cell>
          <cell r="B413" t="str">
            <v>Current version</v>
          </cell>
          <cell r="C413" t="str">
            <v>V2009R2</v>
          </cell>
          <cell r="D413" t="str">
            <v>Labor Rate</v>
          </cell>
          <cell r="E413" t="str">
            <v>CIS</v>
          </cell>
          <cell r="F413" t="str">
            <v>Russia</v>
          </cell>
          <cell r="G413" t="str">
            <v>Russia Rep.O.</v>
          </cell>
          <cell r="H413" t="str">
            <v>3012</v>
          </cell>
          <cell r="I413" t="str">
            <v>别尔姆</v>
          </cell>
          <cell r="J413" t="str">
            <v>Perm</v>
          </cell>
          <cell r="K413" t="str">
            <v>Chinese employees</v>
          </cell>
          <cell r="L413" t="str">
            <v>L1</v>
          </cell>
          <cell r="M413" t="str">
            <v>ALL</v>
          </cell>
          <cell r="N413" t="str">
            <v>FLPC(含奖金)</v>
          </cell>
          <cell r="O413" t="str">
            <v>USD/小时</v>
          </cell>
          <cell r="P413">
            <v>63.68</v>
          </cell>
        </row>
        <row r="414">
          <cell r="A414" t="str">
            <v>Perm - Chinese employees - L2</v>
          </cell>
          <cell r="B414" t="str">
            <v>Current version</v>
          </cell>
          <cell r="C414" t="str">
            <v>V2009R2</v>
          </cell>
          <cell r="D414" t="str">
            <v>Labor Rate</v>
          </cell>
          <cell r="E414" t="str">
            <v>CIS</v>
          </cell>
          <cell r="F414" t="str">
            <v>Russia</v>
          </cell>
          <cell r="G414" t="str">
            <v>Russia Rep.O.</v>
          </cell>
          <cell r="H414" t="str">
            <v>3012</v>
          </cell>
          <cell r="I414" t="str">
            <v>别尔姆</v>
          </cell>
          <cell r="J414" t="str">
            <v>Perm</v>
          </cell>
          <cell r="K414" t="str">
            <v>Chinese employees</v>
          </cell>
          <cell r="L414" t="str">
            <v>L2</v>
          </cell>
          <cell r="M414" t="str">
            <v>ALL</v>
          </cell>
          <cell r="N414" t="str">
            <v>FLPC(含奖金)</v>
          </cell>
          <cell r="O414" t="str">
            <v>USD/小时</v>
          </cell>
          <cell r="P414">
            <v>71.930000000000007</v>
          </cell>
        </row>
        <row r="415">
          <cell r="A415" t="str">
            <v>Perm - Chinese employees - L3</v>
          </cell>
          <cell r="B415" t="str">
            <v>Current version</v>
          </cell>
          <cell r="C415" t="str">
            <v>V2009R2</v>
          </cell>
          <cell r="D415" t="str">
            <v>Labor Rate</v>
          </cell>
          <cell r="E415" t="str">
            <v>CIS</v>
          </cell>
          <cell r="F415" t="str">
            <v>Russia</v>
          </cell>
          <cell r="G415" t="str">
            <v>Russia Rep.O.</v>
          </cell>
          <cell r="H415" t="str">
            <v>3012</v>
          </cell>
          <cell r="I415" t="str">
            <v>别尔姆</v>
          </cell>
          <cell r="J415" t="str">
            <v>Perm</v>
          </cell>
          <cell r="K415" t="str">
            <v>Chinese employees</v>
          </cell>
          <cell r="L415" t="str">
            <v>L3</v>
          </cell>
          <cell r="M415" t="str">
            <v>ALL</v>
          </cell>
          <cell r="N415" t="str">
            <v>FLPC(含奖金)</v>
          </cell>
          <cell r="O415" t="str">
            <v>USD/小时</v>
          </cell>
          <cell r="P415">
            <v>83.76</v>
          </cell>
        </row>
        <row r="416">
          <cell r="A416" t="str">
            <v>Perm - Chinese employees - L4</v>
          </cell>
          <cell r="B416" t="str">
            <v>Current version</v>
          </cell>
          <cell r="C416" t="str">
            <v>V2009R2</v>
          </cell>
          <cell r="D416" t="str">
            <v>Labor Rate</v>
          </cell>
          <cell r="E416" t="str">
            <v>CIS</v>
          </cell>
          <cell r="F416" t="str">
            <v>Russia</v>
          </cell>
          <cell r="G416" t="str">
            <v>Russia Rep.O.</v>
          </cell>
          <cell r="H416" t="str">
            <v>3012</v>
          </cell>
          <cell r="I416" t="str">
            <v>别尔姆</v>
          </cell>
          <cell r="J416" t="str">
            <v>Perm</v>
          </cell>
          <cell r="K416" t="str">
            <v>Chinese employees</v>
          </cell>
          <cell r="L416" t="str">
            <v>L4</v>
          </cell>
          <cell r="M416" t="str">
            <v>ALL</v>
          </cell>
          <cell r="N416" t="str">
            <v>FLPC(含奖金)</v>
          </cell>
          <cell r="O416" t="str">
            <v>USD/小时</v>
          </cell>
          <cell r="P416">
            <v>126.27</v>
          </cell>
        </row>
        <row r="417">
          <cell r="A417" t="str">
            <v>Rostov - Chinese employees - L0</v>
          </cell>
          <cell r="B417" t="str">
            <v>Current version</v>
          </cell>
          <cell r="C417" t="str">
            <v>V2009R2</v>
          </cell>
          <cell r="D417" t="str">
            <v>Labor Rate</v>
          </cell>
          <cell r="E417" t="str">
            <v>CIS</v>
          </cell>
          <cell r="F417" t="str">
            <v>Russia</v>
          </cell>
          <cell r="G417" t="str">
            <v>Russia Rep.O.</v>
          </cell>
          <cell r="H417" t="str">
            <v>3013</v>
          </cell>
          <cell r="I417" t="str">
            <v>罗斯托夫</v>
          </cell>
          <cell r="J417" t="str">
            <v>Rostov</v>
          </cell>
          <cell r="K417" t="str">
            <v>Chinese employees</v>
          </cell>
          <cell r="L417" t="str">
            <v>L0</v>
          </cell>
          <cell r="M417" t="str">
            <v>ALL</v>
          </cell>
          <cell r="N417" t="str">
            <v>FLPC(含奖金)</v>
          </cell>
          <cell r="O417" t="str">
            <v>USD/小时</v>
          </cell>
          <cell r="P417">
            <v>57.12</v>
          </cell>
        </row>
        <row r="418">
          <cell r="A418" t="str">
            <v>Rostov - Chinese employees - L1</v>
          </cell>
          <cell r="B418" t="str">
            <v>Current version</v>
          </cell>
          <cell r="C418" t="str">
            <v>V2009R2</v>
          </cell>
          <cell r="D418" t="str">
            <v>Labor Rate</v>
          </cell>
          <cell r="E418" t="str">
            <v>CIS</v>
          </cell>
          <cell r="F418" t="str">
            <v>Russia</v>
          </cell>
          <cell r="G418" t="str">
            <v>Russia Rep.O.</v>
          </cell>
          <cell r="H418" t="str">
            <v>3013</v>
          </cell>
          <cell r="I418" t="str">
            <v>罗斯托夫</v>
          </cell>
          <cell r="J418" t="str">
            <v>Rostov</v>
          </cell>
          <cell r="K418" t="str">
            <v>Chinese employees</v>
          </cell>
          <cell r="L418" t="str">
            <v>L1</v>
          </cell>
          <cell r="M418" t="str">
            <v>ALL</v>
          </cell>
          <cell r="N418" t="str">
            <v>FLPC(含奖金)</v>
          </cell>
          <cell r="O418" t="str">
            <v>USD/小时</v>
          </cell>
          <cell r="P418">
            <v>63.68</v>
          </cell>
        </row>
        <row r="419">
          <cell r="A419" t="str">
            <v>Rostov - Chinese employees - L2</v>
          </cell>
          <cell r="B419" t="str">
            <v>Current version</v>
          </cell>
          <cell r="C419" t="str">
            <v>V2009R2</v>
          </cell>
          <cell r="D419" t="str">
            <v>Labor Rate</v>
          </cell>
          <cell r="E419" t="str">
            <v>CIS</v>
          </cell>
          <cell r="F419" t="str">
            <v>Russia</v>
          </cell>
          <cell r="G419" t="str">
            <v>Russia Rep.O.</v>
          </cell>
          <cell r="H419" t="str">
            <v>3013</v>
          </cell>
          <cell r="I419" t="str">
            <v>罗斯托夫</v>
          </cell>
          <cell r="J419" t="str">
            <v>Rostov</v>
          </cell>
          <cell r="K419" t="str">
            <v>Chinese employees</v>
          </cell>
          <cell r="L419" t="str">
            <v>L2</v>
          </cell>
          <cell r="M419" t="str">
            <v>ALL</v>
          </cell>
          <cell r="N419" t="str">
            <v>FLPC(含奖金)</v>
          </cell>
          <cell r="O419" t="str">
            <v>USD/小时</v>
          </cell>
          <cell r="P419">
            <v>71.930000000000007</v>
          </cell>
        </row>
        <row r="420">
          <cell r="A420" t="str">
            <v>Rostov - Chinese employees - L3</v>
          </cell>
          <cell r="B420" t="str">
            <v>Current version</v>
          </cell>
          <cell r="C420" t="str">
            <v>V2009R2</v>
          </cell>
          <cell r="D420" t="str">
            <v>Labor Rate</v>
          </cell>
          <cell r="E420" t="str">
            <v>CIS</v>
          </cell>
          <cell r="F420" t="str">
            <v>Russia</v>
          </cell>
          <cell r="G420" t="str">
            <v>Russia Rep.O.</v>
          </cell>
          <cell r="H420" t="str">
            <v>3013</v>
          </cell>
          <cell r="I420" t="str">
            <v>罗斯托夫</v>
          </cell>
          <cell r="J420" t="str">
            <v>Rostov</v>
          </cell>
          <cell r="K420" t="str">
            <v>Chinese employees</v>
          </cell>
          <cell r="L420" t="str">
            <v>L3</v>
          </cell>
          <cell r="M420" t="str">
            <v>ALL</v>
          </cell>
          <cell r="N420" t="str">
            <v>FLPC(含奖金)</v>
          </cell>
          <cell r="O420" t="str">
            <v>USD/小时</v>
          </cell>
          <cell r="P420">
            <v>83.76</v>
          </cell>
        </row>
        <row r="421">
          <cell r="A421" t="str">
            <v>Tonga - Chinese employees - L2</v>
          </cell>
          <cell r="B421" t="str">
            <v>Current version</v>
          </cell>
          <cell r="C421" t="str">
            <v>V2009R2</v>
          </cell>
          <cell r="D421" t="str">
            <v>Labor Rate</v>
          </cell>
          <cell r="E421" t="str">
            <v>AP</v>
          </cell>
          <cell r="F421" t="str">
            <v>Southern Pacific Sub-Regional Division</v>
          </cell>
          <cell r="G421" t="str">
            <v>Australia Rep.O.</v>
          </cell>
          <cell r="H421" t="str">
            <v>1218</v>
          </cell>
          <cell r="I421" t="str">
            <v>汤加</v>
          </cell>
          <cell r="J421" t="str">
            <v>Tonga</v>
          </cell>
          <cell r="K421" t="str">
            <v>Chinese employees</v>
          </cell>
          <cell r="L421" t="str">
            <v>L2</v>
          </cell>
          <cell r="M421" t="str">
            <v>ALL</v>
          </cell>
          <cell r="N421" t="str">
            <v>FLPC(含奖金)</v>
          </cell>
          <cell r="O421" t="str">
            <v>USD/小时</v>
          </cell>
          <cell r="P421">
            <v>78.94</v>
          </cell>
        </row>
        <row r="422">
          <cell r="A422" t="str">
            <v>Tonga - Chinese employees - L3</v>
          </cell>
          <cell r="B422" t="str">
            <v>Current version</v>
          </cell>
          <cell r="C422" t="str">
            <v>V2009R2</v>
          </cell>
          <cell r="D422" t="str">
            <v>Labor Rate</v>
          </cell>
          <cell r="E422" t="str">
            <v>AP</v>
          </cell>
          <cell r="F422" t="str">
            <v>Southern Pacific Sub-Regional Division</v>
          </cell>
          <cell r="G422" t="str">
            <v>Australia Rep.O.</v>
          </cell>
          <cell r="H422" t="str">
            <v>1218</v>
          </cell>
          <cell r="I422" t="str">
            <v>汤加</v>
          </cell>
          <cell r="J422" t="str">
            <v>Tonga</v>
          </cell>
          <cell r="K422" t="str">
            <v>Chinese employees</v>
          </cell>
          <cell r="L422" t="str">
            <v>L3</v>
          </cell>
          <cell r="M422" t="str">
            <v>ALL</v>
          </cell>
          <cell r="N422" t="str">
            <v>FLPC(含奖金)</v>
          </cell>
          <cell r="O422" t="str">
            <v>USD/小时</v>
          </cell>
          <cell r="P422">
            <v>91.69</v>
          </cell>
        </row>
        <row r="423">
          <cell r="A423" t="str">
            <v>Tonga - Chinese employees - L4</v>
          </cell>
          <cell r="B423" t="str">
            <v>Current version</v>
          </cell>
          <cell r="C423" t="str">
            <v>V2009R2</v>
          </cell>
          <cell r="D423" t="str">
            <v>Labor Rate</v>
          </cell>
          <cell r="E423" t="str">
            <v>AP</v>
          </cell>
          <cell r="F423" t="str">
            <v>Southern Pacific Sub-Regional Division</v>
          </cell>
          <cell r="G423" t="str">
            <v>Australia Rep.O.</v>
          </cell>
          <cell r="H423" t="str">
            <v>1218</v>
          </cell>
          <cell r="I423" t="str">
            <v>汤加</v>
          </cell>
          <cell r="J423" t="str">
            <v>Tonga</v>
          </cell>
          <cell r="K423" t="str">
            <v>Chinese employees</v>
          </cell>
          <cell r="L423" t="str">
            <v>L4</v>
          </cell>
          <cell r="M423" t="str">
            <v>ALL</v>
          </cell>
          <cell r="N423" t="str">
            <v>FLPC(含奖金)</v>
          </cell>
          <cell r="O423" t="str">
            <v>USD/小时</v>
          </cell>
          <cell r="P423">
            <v>137.65</v>
          </cell>
        </row>
        <row r="424">
          <cell r="A424" t="str">
            <v>New Zealand - Chinese employees - L0</v>
          </cell>
          <cell r="B424" t="str">
            <v>Current version</v>
          </cell>
          <cell r="C424" t="str">
            <v>V2009R2</v>
          </cell>
          <cell r="D424" t="str">
            <v>Labor Rate</v>
          </cell>
          <cell r="E424" t="str">
            <v>AP</v>
          </cell>
          <cell r="F424" t="str">
            <v>Southern Pacific Sub-Regional Division</v>
          </cell>
          <cell r="G424" t="str">
            <v>Australia Rep.O.</v>
          </cell>
          <cell r="H424" t="str">
            <v>1219</v>
          </cell>
          <cell r="I424" t="str">
            <v>新西兰</v>
          </cell>
          <cell r="J424" t="str">
            <v>New Zealand</v>
          </cell>
          <cell r="K424" t="str">
            <v>Chinese employees</v>
          </cell>
          <cell r="L424" t="str">
            <v>L0</v>
          </cell>
          <cell r="M424" t="str">
            <v>ALL</v>
          </cell>
          <cell r="N424" t="str">
            <v>FLPC(含奖金)</v>
          </cell>
          <cell r="O424" t="str">
            <v>USD/小时</v>
          </cell>
          <cell r="P424">
            <v>55.22</v>
          </cell>
        </row>
        <row r="425">
          <cell r="A425" t="str">
            <v>New Zealand - Chinese employees - L1</v>
          </cell>
          <cell r="B425" t="str">
            <v>Current version</v>
          </cell>
          <cell r="C425" t="str">
            <v>V2009R2</v>
          </cell>
          <cell r="D425" t="str">
            <v>Labor Rate</v>
          </cell>
          <cell r="E425" t="str">
            <v>AP</v>
          </cell>
          <cell r="F425" t="str">
            <v>Southern Pacific Sub-Regional Division</v>
          </cell>
          <cell r="G425" t="str">
            <v>Australia Rep.O.</v>
          </cell>
          <cell r="H425" t="str">
            <v>1219</v>
          </cell>
          <cell r="I425" t="str">
            <v>新西兰</v>
          </cell>
          <cell r="J425" t="str">
            <v>New Zealand</v>
          </cell>
          <cell r="K425" t="str">
            <v>Chinese employees</v>
          </cell>
          <cell r="L425" t="str">
            <v>L1</v>
          </cell>
          <cell r="M425" t="str">
            <v>ALL</v>
          </cell>
          <cell r="N425" t="str">
            <v>FLPC(含奖金)</v>
          </cell>
          <cell r="O425" t="str">
            <v>USD/小时</v>
          </cell>
          <cell r="P425">
            <v>68.75</v>
          </cell>
        </row>
        <row r="426">
          <cell r="A426" t="str">
            <v>New Zealand - Chinese employees - L2</v>
          </cell>
          <cell r="B426" t="str">
            <v>Current version</v>
          </cell>
          <cell r="C426" t="str">
            <v>V2009R2</v>
          </cell>
          <cell r="D426" t="str">
            <v>Labor Rate</v>
          </cell>
          <cell r="E426" t="str">
            <v>AP</v>
          </cell>
          <cell r="F426" t="str">
            <v>Southern Pacific Sub-Regional Division</v>
          </cell>
          <cell r="G426" t="str">
            <v>Australia Rep.O.</v>
          </cell>
          <cell r="H426" t="str">
            <v>1219</v>
          </cell>
          <cell r="I426" t="str">
            <v>新西兰</v>
          </cell>
          <cell r="J426" t="str">
            <v>New Zealand</v>
          </cell>
          <cell r="K426" t="str">
            <v>Chinese employees</v>
          </cell>
          <cell r="L426" t="str">
            <v>L2</v>
          </cell>
          <cell r="M426" t="str">
            <v>ALL</v>
          </cell>
          <cell r="N426" t="str">
            <v>FLPC(含奖金)</v>
          </cell>
          <cell r="O426" t="str">
            <v>USD/小时</v>
          </cell>
          <cell r="P426">
            <v>80.239999999999995</v>
          </cell>
        </row>
        <row r="427">
          <cell r="A427" t="str">
            <v>New Zealand - Chinese employees - L3</v>
          </cell>
          <cell r="B427" t="str">
            <v>Current version</v>
          </cell>
          <cell r="C427" t="str">
            <v>V2009R2</v>
          </cell>
          <cell r="D427" t="str">
            <v>Labor Rate</v>
          </cell>
          <cell r="E427" t="str">
            <v>AP</v>
          </cell>
          <cell r="F427" t="str">
            <v>Southern Pacific Sub-Regional Division</v>
          </cell>
          <cell r="G427" t="str">
            <v>Australia Rep.O.</v>
          </cell>
          <cell r="H427" t="str">
            <v>1219</v>
          </cell>
          <cell r="I427" t="str">
            <v>新西兰</v>
          </cell>
          <cell r="J427" t="str">
            <v>New Zealand</v>
          </cell>
          <cell r="K427" t="str">
            <v>Chinese employees</v>
          </cell>
          <cell r="L427" t="str">
            <v>L3</v>
          </cell>
          <cell r="M427" t="str">
            <v>ALL</v>
          </cell>
          <cell r="N427" t="str">
            <v>FLPC(含奖金)</v>
          </cell>
          <cell r="O427" t="str">
            <v>USD/小时</v>
          </cell>
          <cell r="P427">
            <v>96.56</v>
          </cell>
        </row>
        <row r="428">
          <cell r="A428" t="str">
            <v>New Zealand - Chinese employees - L4</v>
          </cell>
          <cell r="B428" t="str">
            <v>Current version</v>
          </cell>
          <cell r="C428" t="str">
            <v>V2009R2</v>
          </cell>
          <cell r="D428" t="str">
            <v>Labor Rate</v>
          </cell>
          <cell r="E428" t="str">
            <v>AP</v>
          </cell>
          <cell r="F428" t="str">
            <v>Southern Pacific Sub-Regional Division</v>
          </cell>
          <cell r="G428" t="str">
            <v>Australia Rep.O.</v>
          </cell>
          <cell r="H428" t="str">
            <v>1219</v>
          </cell>
          <cell r="I428" t="str">
            <v>新西兰</v>
          </cell>
          <cell r="J428" t="str">
            <v>New Zealand</v>
          </cell>
          <cell r="K428" t="str">
            <v>Chinese employees</v>
          </cell>
          <cell r="L428" t="str">
            <v>L4</v>
          </cell>
          <cell r="M428" t="str">
            <v>ALL</v>
          </cell>
          <cell r="N428" t="str">
            <v>FLPC(含奖金)</v>
          </cell>
          <cell r="O428" t="str">
            <v>USD/小时</v>
          </cell>
          <cell r="P428">
            <v>147.47</v>
          </cell>
        </row>
        <row r="429">
          <cell r="A429" t="str">
            <v>Samoa - Chinese employees - L0</v>
          </cell>
          <cell r="B429" t="str">
            <v>Current version</v>
          </cell>
          <cell r="C429" t="str">
            <v>V2009R2</v>
          </cell>
          <cell r="D429" t="str">
            <v>Labor Rate</v>
          </cell>
          <cell r="E429" t="str">
            <v>AP</v>
          </cell>
          <cell r="F429" t="str">
            <v>Southern Pacific Sub-Regional Division</v>
          </cell>
          <cell r="G429" t="str">
            <v>Australia Rep.O.</v>
          </cell>
          <cell r="H429" t="str">
            <v>1220</v>
          </cell>
          <cell r="I429" t="str">
            <v>萨犘亚群岛</v>
          </cell>
          <cell r="J429" t="str">
            <v>Samoa</v>
          </cell>
          <cell r="K429" t="str">
            <v>Chinese employees</v>
          </cell>
          <cell r="L429" t="str">
            <v>L0</v>
          </cell>
          <cell r="M429" t="str">
            <v>ALL</v>
          </cell>
          <cell r="N429" t="str">
            <v>FLPC(含奖金)</v>
          </cell>
          <cell r="O429" t="str">
            <v>USD/小时</v>
          </cell>
          <cell r="P429">
            <v>63.15</v>
          </cell>
        </row>
        <row r="430">
          <cell r="A430" t="str">
            <v>Samoa - Chinese employees - L1</v>
          </cell>
          <cell r="B430" t="str">
            <v>Current version</v>
          </cell>
          <cell r="C430" t="str">
            <v>V2009R2</v>
          </cell>
          <cell r="D430" t="str">
            <v>Labor Rate</v>
          </cell>
          <cell r="E430" t="str">
            <v>AP</v>
          </cell>
          <cell r="F430" t="str">
            <v>Southern Pacific Sub-Regional Division</v>
          </cell>
          <cell r="G430" t="str">
            <v>Australia Rep.O.</v>
          </cell>
          <cell r="H430" t="str">
            <v>1220</v>
          </cell>
          <cell r="I430" t="str">
            <v>萨犘亚群岛</v>
          </cell>
          <cell r="J430" t="str">
            <v>Samoa</v>
          </cell>
          <cell r="K430" t="str">
            <v>Chinese employees</v>
          </cell>
          <cell r="L430" t="str">
            <v>L1</v>
          </cell>
          <cell r="M430" t="str">
            <v>ALL</v>
          </cell>
          <cell r="N430" t="str">
            <v>FLPC(含奖金)</v>
          </cell>
          <cell r="O430" t="str">
            <v>USD/小时</v>
          </cell>
          <cell r="P430">
            <v>70.03</v>
          </cell>
        </row>
        <row r="431">
          <cell r="A431" t="str">
            <v>Samoa - Chinese employees - L2</v>
          </cell>
          <cell r="B431" t="str">
            <v>Current version</v>
          </cell>
          <cell r="C431" t="str">
            <v>V2009R2</v>
          </cell>
          <cell r="D431" t="str">
            <v>Labor Rate</v>
          </cell>
          <cell r="E431" t="str">
            <v>AP</v>
          </cell>
          <cell r="F431" t="str">
            <v>Southern Pacific Sub-Regional Division</v>
          </cell>
          <cell r="G431" t="str">
            <v>Australia Rep.O.</v>
          </cell>
          <cell r="H431" t="str">
            <v>1220</v>
          </cell>
          <cell r="I431" t="str">
            <v>萨犘亚群岛</v>
          </cell>
          <cell r="J431" t="str">
            <v>Samoa</v>
          </cell>
          <cell r="K431" t="str">
            <v>Chinese employees</v>
          </cell>
          <cell r="L431" t="str">
            <v>L2</v>
          </cell>
          <cell r="M431" t="str">
            <v>ALL</v>
          </cell>
          <cell r="N431" t="str">
            <v>FLPC(含奖金)</v>
          </cell>
          <cell r="O431" t="str">
            <v>USD/小时</v>
          </cell>
          <cell r="P431">
            <v>78.94</v>
          </cell>
        </row>
        <row r="432">
          <cell r="A432" t="str">
            <v>Samoa - Chinese employees - L3</v>
          </cell>
          <cell r="B432" t="str">
            <v>Current version</v>
          </cell>
          <cell r="C432" t="str">
            <v>V2009R2</v>
          </cell>
          <cell r="D432" t="str">
            <v>Labor Rate</v>
          </cell>
          <cell r="E432" t="str">
            <v>AP</v>
          </cell>
          <cell r="F432" t="str">
            <v>Southern Pacific Sub-Regional Division</v>
          </cell>
          <cell r="G432" t="str">
            <v>Australia Rep.O.</v>
          </cell>
          <cell r="H432" t="str">
            <v>1220</v>
          </cell>
          <cell r="I432" t="str">
            <v>萨犘亚群岛</v>
          </cell>
          <cell r="J432" t="str">
            <v>Samoa</v>
          </cell>
          <cell r="K432" t="str">
            <v>Chinese employees</v>
          </cell>
          <cell r="L432" t="str">
            <v>L3</v>
          </cell>
          <cell r="M432" t="str">
            <v>ALL</v>
          </cell>
          <cell r="N432" t="str">
            <v>FLPC(含奖金)</v>
          </cell>
          <cell r="O432" t="str">
            <v>USD/小时</v>
          </cell>
          <cell r="P432">
            <v>91.69</v>
          </cell>
        </row>
        <row r="433">
          <cell r="A433" t="str">
            <v>Samoa - Chinese employees - L4</v>
          </cell>
          <cell r="B433" t="str">
            <v>Current version</v>
          </cell>
          <cell r="C433" t="str">
            <v>V2009R2</v>
          </cell>
          <cell r="D433" t="str">
            <v>Labor Rate</v>
          </cell>
          <cell r="E433" t="str">
            <v>AP</v>
          </cell>
          <cell r="F433" t="str">
            <v>Southern Pacific Sub-Regional Division</v>
          </cell>
          <cell r="G433" t="str">
            <v>Australia Rep.O.</v>
          </cell>
          <cell r="H433" t="str">
            <v>1220</v>
          </cell>
          <cell r="I433" t="str">
            <v>萨犘亚群岛</v>
          </cell>
          <cell r="J433" t="str">
            <v>Samoa</v>
          </cell>
          <cell r="K433" t="str">
            <v>Chinese employees</v>
          </cell>
          <cell r="L433" t="str">
            <v>L4</v>
          </cell>
          <cell r="M433" t="str">
            <v>ALL</v>
          </cell>
          <cell r="N433" t="str">
            <v>FLPC(含奖金)</v>
          </cell>
          <cell r="O433" t="str">
            <v>USD/小时</v>
          </cell>
          <cell r="P433">
            <v>137.65</v>
          </cell>
        </row>
        <row r="434">
          <cell r="A434" t="str">
            <v>FIJI - Chinese employees - L0</v>
          </cell>
          <cell r="B434" t="str">
            <v>Current version</v>
          </cell>
          <cell r="C434" t="str">
            <v>V2009R2</v>
          </cell>
          <cell r="D434" t="str">
            <v>Labor Rate</v>
          </cell>
          <cell r="E434" t="str">
            <v>AP</v>
          </cell>
          <cell r="F434" t="str">
            <v>Southern Pacific Sub-Regional Division</v>
          </cell>
          <cell r="G434" t="str">
            <v>Australia Rep.O.</v>
          </cell>
          <cell r="H434" t="str">
            <v>1224</v>
          </cell>
          <cell r="I434" t="str">
            <v>斐济</v>
          </cell>
          <cell r="J434" t="str">
            <v>FIJI</v>
          </cell>
          <cell r="K434" t="str">
            <v>Chinese employees</v>
          </cell>
          <cell r="L434" t="str">
            <v>L0</v>
          </cell>
          <cell r="M434" t="str">
            <v>ALL</v>
          </cell>
          <cell r="N434" t="str">
            <v>FLPC(含奖金)</v>
          </cell>
          <cell r="O434" t="str">
            <v>USD/小时</v>
          </cell>
          <cell r="P434">
            <v>55.22</v>
          </cell>
        </row>
        <row r="435">
          <cell r="A435" t="str">
            <v>FIJI - Chinese employees - L1</v>
          </cell>
          <cell r="B435" t="str">
            <v>Current version</v>
          </cell>
          <cell r="C435" t="str">
            <v>V2009R2</v>
          </cell>
          <cell r="D435" t="str">
            <v>Labor Rate</v>
          </cell>
          <cell r="E435" t="str">
            <v>AP</v>
          </cell>
          <cell r="F435" t="str">
            <v>Southern Pacific Sub-Regional Division</v>
          </cell>
          <cell r="G435" t="str">
            <v>Australia Rep.O.</v>
          </cell>
          <cell r="H435" t="str">
            <v>1224</v>
          </cell>
          <cell r="I435" t="str">
            <v>斐济</v>
          </cell>
          <cell r="J435" t="str">
            <v>FIJI</v>
          </cell>
          <cell r="K435" t="str">
            <v>Chinese employees</v>
          </cell>
          <cell r="L435" t="str">
            <v>L1</v>
          </cell>
          <cell r="M435" t="str">
            <v>ALL</v>
          </cell>
          <cell r="N435" t="str">
            <v>FLPC(含奖金)</v>
          </cell>
          <cell r="O435" t="str">
            <v>USD/小时</v>
          </cell>
          <cell r="P435">
            <v>72.11</v>
          </cell>
        </row>
        <row r="436">
          <cell r="A436" t="str">
            <v>FIJI - Chinese employees - L2</v>
          </cell>
          <cell r="B436" t="str">
            <v>Current version</v>
          </cell>
          <cell r="C436" t="str">
            <v>V2009R2</v>
          </cell>
          <cell r="D436" t="str">
            <v>Labor Rate</v>
          </cell>
          <cell r="E436" t="str">
            <v>AP</v>
          </cell>
          <cell r="F436" t="str">
            <v>Southern Pacific Sub-Regional Division</v>
          </cell>
          <cell r="G436" t="str">
            <v>Australia Rep.O.</v>
          </cell>
          <cell r="H436" t="str">
            <v>1224</v>
          </cell>
          <cell r="I436" t="str">
            <v>斐济</v>
          </cell>
          <cell r="J436" t="str">
            <v>FIJI</v>
          </cell>
          <cell r="K436" t="str">
            <v>Chinese employees</v>
          </cell>
          <cell r="L436" t="str">
            <v>L2</v>
          </cell>
          <cell r="M436" t="str">
            <v>ALL</v>
          </cell>
          <cell r="N436" t="str">
            <v>FLPC(含奖金)</v>
          </cell>
          <cell r="O436" t="str">
            <v>USD/小时</v>
          </cell>
          <cell r="P436">
            <v>79.67</v>
          </cell>
        </row>
        <row r="437">
          <cell r="A437" t="str">
            <v>FIJI - Chinese employees - L3</v>
          </cell>
          <cell r="B437" t="str">
            <v>Current version</v>
          </cell>
          <cell r="C437" t="str">
            <v>V2009R2</v>
          </cell>
          <cell r="D437" t="str">
            <v>Labor Rate</v>
          </cell>
          <cell r="E437" t="str">
            <v>AP</v>
          </cell>
          <cell r="F437" t="str">
            <v>Southern Pacific Sub-Regional Division</v>
          </cell>
          <cell r="G437" t="str">
            <v>Australia Rep.O.</v>
          </cell>
          <cell r="H437" t="str">
            <v>1224</v>
          </cell>
          <cell r="I437" t="str">
            <v>斐济</v>
          </cell>
          <cell r="J437" t="str">
            <v>FIJI</v>
          </cell>
          <cell r="K437" t="str">
            <v>Chinese employees</v>
          </cell>
          <cell r="L437" t="str">
            <v>L3</v>
          </cell>
          <cell r="M437" t="str">
            <v>ALL</v>
          </cell>
          <cell r="N437" t="str">
            <v>FLPC(含奖金)</v>
          </cell>
          <cell r="O437" t="str">
            <v>USD/小时</v>
          </cell>
          <cell r="P437">
            <v>92.88</v>
          </cell>
        </row>
        <row r="438">
          <cell r="A438" t="str">
            <v>FIJI - Chinese employees - L4</v>
          </cell>
          <cell r="B438" t="str">
            <v>Current version</v>
          </cell>
          <cell r="C438" t="str">
            <v>V2009R2</v>
          </cell>
          <cell r="D438" t="str">
            <v>Labor Rate</v>
          </cell>
          <cell r="E438" t="str">
            <v>AP</v>
          </cell>
          <cell r="F438" t="str">
            <v>Southern Pacific Sub-Regional Division</v>
          </cell>
          <cell r="G438" t="str">
            <v>Australia Rep.O.</v>
          </cell>
          <cell r="H438" t="str">
            <v>1224</v>
          </cell>
          <cell r="I438" t="str">
            <v>斐济</v>
          </cell>
          <cell r="J438" t="str">
            <v>FIJI</v>
          </cell>
          <cell r="K438" t="str">
            <v>Chinese employees</v>
          </cell>
          <cell r="L438" t="str">
            <v>L4</v>
          </cell>
          <cell r="M438" t="str">
            <v>ALL</v>
          </cell>
          <cell r="N438" t="str">
            <v>FLPC(含奖金)</v>
          </cell>
          <cell r="O438" t="str">
            <v>USD/小时</v>
          </cell>
          <cell r="P438">
            <v>137.65</v>
          </cell>
        </row>
        <row r="439">
          <cell r="A439" t="str">
            <v>Micronesia - Chinese employees - L0</v>
          </cell>
          <cell r="B439" t="str">
            <v>Current version</v>
          </cell>
          <cell r="C439" t="str">
            <v>V2009R2</v>
          </cell>
          <cell r="D439" t="str">
            <v>Labor Rate</v>
          </cell>
          <cell r="E439" t="str">
            <v>AP</v>
          </cell>
          <cell r="F439" t="str">
            <v>Southern Pacific Sub-Regional Division</v>
          </cell>
          <cell r="G439" t="str">
            <v>Australia Rep.O.</v>
          </cell>
          <cell r="H439" t="str">
            <v>1227</v>
          </cell>
          <cell r="I439" t="str">
            <v>密克罗尼西亚</v>
          </cell>
          <cell r="J439" t="str">
            <v>Micronesia</v>
          </cell>
          <cell r="K439" t="str">
            <v>Chinese employees</v>
          </cell>
          <cell r="L439" t="str">
            <v>L0</v>
          </cell>
          <cell r="M439" t="str">
            <v>ALL</v>
          </cell>
          <cell r="N439" t="str">
            <v>FLPC(含奖金)</v>
          </cell>
          <cell r="O439" t="str">
            <v>USD/小时</v>
          </cell>
          <cell r="P439">
            <v>55.22</v>
          </cell>
        </row>
        <row r="440">
          <cell r="A440" t="str">
            <v>Micronesia - Chinese employees - L1</v>
          </cell>
          <cell r="B440" t="str">
            <v>Current version</v>
          </cell>
          <cell r="C440" t="str">
            <v>V2009R2</v>
          </cell>
          <cell r="D440" t="str">
            <v>Labor Rate</v>
          </cell>
          <cell r="E440" t="str">
            <v>AP</v>
          </cell>
          <cell r="F440" t="str">
            <v>Southern Pacific Sub-Regional Division</v>
          </cell>
          <cell r="G440" t="str">
            <v>Australia Rep.O.</v>
          </cell>
          <cell r="H440" t="str">
            <v>1227</v>
          </cell>
          <cell r="I440" t="str">
            <v>密克罗尼西亚</v>
          </cell>
          <cell r="J440" t="str">
            <v>Micronesia</v>
          </cell>
          <cell r="K440" t="str">
            <v>Chinese employees</v>
          </cell>
          <cell r="L440" t="str">
            <v>L1</v>
          </cell>
          <cell r="M440" t="str">
            <v>ALL</v>
          </cell>
          <cell r="N440" t="str">
            <v>FLPC(含奖金)</v>
          </cell>
          <cell r="O440" t="str">
            <v>USD/小时</v>
          </cell>
          <cell r="P440">
            <v>72.11</v>
          </cell>
        </row>
        <row r="441">
          <cell r="A441" t="str">
            <v>Micronesia - Chinese employees - L2</v>
          </cell>
          <cell r="B441" t="str">
            <v>Current version</v>
          </cell>
          <cell r="C441" t="str">
            <v>V2009R2</v>
          </cell>
          <cell r="D441" t="str">
            <v>Labor Rate</v>
          </cell>
          <cell r="E441" t="str">
            <v>AP</v>
          </cell>
          <cell r="F441" t="str">
            <v>Southern Pacific Sub-Regional Division</v>
          </cell>
          <cell r="G441" t="str">
            <v>Australia Rep.O.</v>
          </cell>
          <cell r="H441" t="str">
            <v>1227</v>
          </cell>
          <cell r="I441" t="str">
            <v>密克罗尼西亚</v>
          </cell>
          <cell r="J441" t="str">
            <v>Micronesia</v>
          </cell>
          <cell r="K441" t="str">
            <v>Chinese employees</v>
          </cell>
          <cell r="L441" t="str">
            <v>L2</v>
          </cell>
          <cell r="M441" t="str">
            <v>ALL</v>
          </cell>
          <cell r="N441" t="str">
            <v>FLPC(含奖金)</v>
          </cell>
          <cell r="O441" t="str">
            <v>USD/小时</v>
          </cell>
          <cell r="P441">
            <v>79.67</v>
          </cell>
        </row>
        <row r="442">
          <cell r="A442" t="str">
            <v>Micronesia - Chinese employees - L3</v>
          </cell>
          <cell r="B442" t="str">
            <v>Current version</v>
          </cell>
          <cell r="C442" t="str">
            <v>V2009R2</v>
          </cell>
          <cell r="D442" t="str">
            <v>Labor Rate</v>
          </cell>
          <cell r="E442" t="str">
            <v>AP</v>
          </cell>
          <cell r="F442" t="str">
            <v>Southern Pacific Sub-Regional Division</v>
          </cell>
          <cell r="G442" t="str">
            <v>Australia Rep.O.</v>
          </cell>
          <cell r="H442" t="str">
            <v>1227</v>
          </cell>
          <cell r="I442" t="str">
            <v>密克罗尼西亚</v>
          </cell>
          <cell r="J442" t="str">
            <v>Micronesia</v>
          </cell>
          <cell r="K442" t="str">
            <v>Chinese employees</v>
          </cell>
          <cell r="L442" t="str">
            <v>L3</v>
          </cell>
          <cell r="M442" t="str">
            <v>ALL</v>
          </cell>
          <cell r="N442" t="str">
            <v>FLPC(含奖金)</v>
          </cell>
          <cell r="O442" t="str">
            <v>USD/小时</v>
          </cell>
          <cell r="P442">
            <v>92.88</v>
          </cell>
        </row>
        <row r="443">
          <cell r="A443" t="str">
            <v>Micronesia - Chinese employees - L4</v>
          </cell>
          <cell r="B443" t="str">
            <v>Current version</v>
          </cell>
          <cell r="C443" t="str">
            <v>V2009R2</v>
          </cell>
          <cell r="D443" t="str">
            <v>Labor Rate</v>
          </cell>
          <cell r="E443" t="str">
            <v>AP</v>
          </cell>
          <cell r="F443" t="str">
            <v>Southern Pacific Sub-Regional Division</v>
          </cell>
          <cell r="G443" t="str">
            <v>Australia Rep.O.</v>
          </cell>
          <cell r="H443" t="str">
            <v>1227</v>
          </cell>
          <cell r="I443" t="str">
            <v>密克罗尼西亚</v>
          </cell>
          <cell r="J443" t="str">
            <v>Micronesia</v>
          </cell>
          <cell r="K443" t="str">
            <v>Chinese employees</v>
          </cell>
          <cell r="L443" t="str">
            <v>L4</v>
          </cell>
          <cell r="M443" t="str">
            <v>ALL</v>
          </cell>
          <cell r="N443" t="str">
            <v>FLPC(含奖金)</v>
          </cell>
          <cell r="O443" t="str">
            <v>USD/小时</v>
          </cell>
          <cell r="P443">
            <v>137.65</v>
          </cell>
        </row>
        <row r="444">
          <cell r="A444" t="str">
            <v>Solomon Islands - Chinese employees - L0</v>
          </cell>
          <cell r="B444" t="str">
            <v>Current version</v>
          </cell>
          <cell r="C444" t="str">
            <v>V2009R2</v>
          </cell>
          <cell r="D444" t="str">
            <v>Labor Rate</v>
          </cell>
          <cell r="E444" t="str">
            <v>AP</v>
          </cell>
          <cell r="F444" t="str">
            <v>Southern Pacific Sub-Regional Division</v>
          </cell>
          <cell r="G444" t="str">
            <v>Australia Rep.O.</v>
          </cell>
          <cell r="H444" t="str">
            <v>1228</v>
          </cell>
          <cell r="I444" t="str">
            <v>所罗门群岛</v>
          </cell>
          <cell r="J444" t="str">
            <v>Solomon Islands</v>
          </cell>
          <cell r="K444" t="str">
            <v>Chinese employees</v>
          </cell>
          <cell r="L444" t="str">
            <v>L0</v>
          </cell>
          <cell r="M444" t="str">
            <v>ALL</v>
          </cell>
          <cell r="N444" t="str">
            <v>FLPC(含奖金)</v>
          </cell>
          <cell r="O444" t="str">
            <v>USD/小时</v>
          </cell>
          <cell r="P444">
            <v>55.22</v>
          </cell>
        </row>
        <row r="445">
          <cell r="A445" t="str">
            <v>Solomon Islands - Chinese employees - L1</v>
          </cell>
          <cell r="B445" t="str">
            <v>Current version</v>
          </cell>
          <cell r="C445" t="str">
            <v>V2009R2</v>
          </cell>
          <cell r="D445" t="str">
            <v>Labor Rate</v>
          </cell>
          <cell r="E445" t="str">
            <v>AP</v>
          </cell>
          <cell r="F445" t="str">
            <v>Southern Pacific Sub-Regional Division</v>
          </cell>
          <cell r="G445" t="str">
            <v>Australia Rep.O.</v>
          </cell>
          <cell r="H445" t="str">
            <v>1228</v>
          </cell>
          <cell r="I445" t="str">
            <v>所罗门群岛</v>
          </cell>
          <cell r="J445" t="str">
            <v>Solomon Islands</v>
          </cell>
          <cell r="K445" t="str">
            <v>Chinese employees</v>
          </cell>
          <cell r="L445" t="str">
            <v>L1</v>
          </cell>
          <cell r="M445" t="str">
            <v>ALL</v>
          </cell>
          <cell r="N445" t="str">
            <v>FLPC(含奖金)</v>
          </cell>
          <cell r="O445" t="str">
            <v>USD/小时</v>
          </cell>
          <cell r="P445">
            <v>72.11</v>
          </cell>
        </row>
        <row r="446">
          <cell r="A446" t="str">
            <v>Solomon Islands - Chinese employees - L2</v>
          </cell>
          <cell r="B446" t="str">
            <v>Current version</v>
          </cell>
          <cell r="C446" t="str">
            <v>V2009R2</v>
          </cell>
          <cell r="D446" t="str">
            <v>Labor Rate</v>
          </cell>
          <cell r="E446" t="str">
            <v>AP</v>
          </cell>
          <cell r="F446" t="str">
            <v>Southern Pacific Sub-Regional Division</v>
          </cell>
          <cell r="G446" t="str">
            <v>Australia Rep.O.</v>
          </cell>
          <cell r="H446" t="str">
            <v>1228</v>
          </cell>
          <cell r="I446" t="str">
            <v>所罗门群岛</v>
          </cell>
          <cell r="J446" t="str">
            <v>Solomon Islands</v>
          </cell>
          <cell r="K446" t="str">
            <v>Chinese employees</v>
          </cell>
          <cell r="L446" t="str">
            <v>L2</v>
          </cell>
          <cell r="M446" t="str">
            <v>ALL</v>
          </cell>
          <cell r="N446" t="str">
            <v>FLPC(含奖金)</v>
          </cell>
          <cell r="O446" t="str">
            <v>USD/小时</v>
          </cell>
          <cell r="P446">
            <v>79.67</v>
          </cell>
        </row>
        <row r="447">
          <cell r="A447" t="str">
            <v>Solomon Islands - Chinese employees - L3</v>
          </cell>
          <cell r="B447" t="str">
            <v>Current version</v>
          </cell>
          <cell r="C447" t="str">
            <v>V2009R2</v>
          </cell>
          <cell r="D447" t="str">
            <v>Labor Rate</v>
          </cell>
          <cell r="E447" t="str">
            <v>AP</v>
          </cell>
          <cell r="F447" t="str">
            <v>Southern Pacific Sub-Regional Division</v>
          </cell>
          <cell r="G447" t="str">
            <v>Australia Rep.O.</v>
          </cell>
          <cell r="H447" t="str">
            <v>1228</v>
          </cell>
          <cell r="I447" t="str">
            <v>所罗门群岛</v>
          </cell>
          <cell r="J447" t="str">
            <v>Solomon Islands</v>
          </cell>
          <cell r="K447" t="str">
            <v>Chinese employees</v>
          </cell>
          <cell r="L447" t="str">
            <v>L3</v>
          </cell>
          <cell r="M447" t="str">
            <v>ALL</v>
          </cell>
          <cell r="N447" t="str">
            <v>FLPC(含奖金)</v>
          </cell>
          <cell r="O447" t="str">
            <v>USD/小时</v>
          </cell>
          <cell r="P447">
            <v>92.88</v>
          </cell>
        </row>
        <row r="448">
          <cell r="A448" t="str">
            <v>Solomon Islands - Chinese employees - L4</v>
          </cell>
          <cell r="B448" t="str">
            <v>Current version</v>
          </cell>
          <cell r="C448" t="str">
            <v>V2009R2</v>
          </cell>
          <cell r="D448" t="str">
            <v>Labor Rate</v>
          </cell>
          <cell r="E448" t="str">
            <v>AP</v>
          </cell>
          <cell r="F448" t="str">
            <v>Southern Pacific Sub-Regional Division</v>
          </cell>
          <cell r="G448" t="str">
            <v>Australia Rep.O.</v>
          </cell>
          <cell r="H448" t="str">
            <v>1228</v>
          </cell>
          <cell r="I448" t="str">
            <v>所罗门群岛</v>
          </cell>
          <cell r="J448" t="str">
            <v>Solomon Islands</v>
          </cell>
          <cell r="K448" t="str">
            <v>Chinese employees</v>
          </cell>
          <cell r="L448" t="str">
            <v>L4</v>
          </cell>
          <cell r="M448" t="str">
            <v>ALL</v>
          </cell>
          <cell r="N448" t="str">
            <v>FLPC(含奖金)</v>
          </cell>
          <cell r="O448" t="str">
            <v>USD/小时</v>
          </cell>
          <cell r="P448">
            <v>137.65</v>
          </cell>
        </row>
        <row r="449">
          <cell r="A449" t="str">
            <v>Vanuatu - Chinese employees - L0</v>
          </cell>
          <cell r="B449" t="str">
            <v>Current version</v>
          </cell>
          <cell r="C449" t="str">
            <v>V2009R2</v>
          </cell>
          <cell r="D449" t="str">
            <v>Labor Rate</v>
          </cell>
          <cell r="E449" t="str">
            <v>AP</v>
          </cell>
          <cell r="F449" t="str">
            <v>Southern Pacific Sub-Regional Division</v>
          </cell>
          <cell r="G449" t="str">
            <v>Australia Rep.O.</v>
          </cell>
          <cell r="H449" t="str">
            <v>1229</v>
          </cell>
          <cell r="I449" t="str">
            <v>瓦努阿图</v>
          </cell>
          <cell r="J449" t="str">
            <v>Vanuatu</v>
          </cell>
          <cell r="K449" t="str">
            <v>Chinese employees</v>
          </cell>
          <cell r="L449" t="str">
            <v>L0</v>
          </cell>
          <cell r="M449" t="str">
            <v>ALL</v>
          </cell>
          <cell r="N449" t="str">
            <v>FLPC(含奖金)</v>
          </cell>
          <cell r="O449" t="str">
            <v>USD/小时</v>
          </cell>
          <cell r="P449">
            <v>63.15</v>
          </cell>
        </row>
        <row r="450">
          <cell r="A450" t="str">
            <v>Vanuatu - Chinese employees - L1</v>
          </cell>
          <cell r="B450" t="str">
            <v>Current version</v>
          </cell>
          <cell r="C450" t="str">
            <v>V2009R2</v>
          </cell>
          <cell r="D450" t="str">
            <v>Labor Rate</v>
          </cell>
          <cell r="E450" t="str">
            <v>AP</v>
          </cell>
          <cell r="F450" t="str">
            <v>Southern Pacific Sub-Regional Division</v>
          </cell>
          <cell r="G450" t="str">
            <v>Australia Rep.O.</v>
          </cell>
          <cell r="H450" t="str">
            <v>1229</v>
          </cell>
          <cell r="I450" t="str">
            <v>瓦努阿图</v>
          </cell>
          <cell r="J450" t="str">
            <v>Vanuatu</v>
          </cell>
          <cell r="K450" t="str">
            <v>Chinese employees</v>
          </cell>
          <cell r="L450" t="str">
            <v>L1</v>
          </cell>
          <cell r="M450" t="str">
            <v>ALL</v>
          </cell>
          <cell r="N450" t="str">
            <v>FLPC(含奖金)</v>
          </cell>
          <cell r="O450" t="str">
            <v>USD/小时</v>
          </cell>
          <cell r="P450">
            <v>70.03</v>
          </cell>
        </row>
        <row r="451">
          <cell r="A451" t="str">
            <v>Vanuatu - Chinese employees - L2</v>
          </cell>
          <cell r="B451" t="str">
            <v>Current version</v>
          </cell>
          <cell r="C451" t="str">
            <v>V2009R2</v>
          </cell>
          <cell r="D451" t="str">
            <v>Labor Rate</v>
          </cell>
          <cell r="E451" t="str">
            <v>AP</v>
          </cell>
          <cell r="F451" t="str">
            <v>Southern Pacific Sub-Regional Division</v>
          </cell>
          <cell r="G451" t="str">
            <v>Australia Rep.O.</v>
          </cell>
          <cell r="H451" t="str">
            <v>1229</v>
          </cell>
          <cell r="I451" t="str">
            <v>瓦努阿图</v>
          </cell>
          <cell r="J451" t="str">
            <v>Vanuatu</v>
          </cell>
          <cell r="K451" t="str">
            <v>Chinese employees</v>
          </cell>
          <cell r="L451" t="str">
            <v>L2</v>
          </cell>
          <cell r="M451" t="str">
            <v>ALL</v>
          </cell>
          <cell r="N451" t="str">
            <v>FLPC(含奖金)</v>
          </cell>
          <cell r="O451" t="str">
            <v>USD/小时</v>
          </cell>
          <cell r="P451">
            <v>78.94</v>
          </cell>
        </row>
        <row r="452">
          <cell r="A452" t="str">
            <v>Vanuatu - Chinese employees - L3</v>
          </cell>
          <cell r="B452" t="str">
            <v>Current version</v>
          </cell>
          <cell r="C452" t="str">
            <v>V2009R2</v>
          </cell>
          <cell r="D452" t="str">
            <v>Labor Rate</v>
          </cell>
          <cell r="E452" t="str">
            <v>AP</v>
          </cell>
          <cell r="F452" t="str">
            <v>Southern Pacific Sub-Regional Division</v>
          </cell>
          <cell r="G452" t="str">
            <v>Australia Rep.O.</v>
          </cell>
          <cell r="H452" t="str">
            <v>1229</v>
          </cell>
          <cell r="I452" t="str">
            <v>瓦努阿图</v>
          </cell>
          <cell r="J452" t="str">
            <v>Vanuatu</v>
          </cell>
          <cell r="K452" t="str">
            <v>Chinese employees</v>
          </cell>
          <cell r="L452" t="str">
            <v>L3</v>
          </cell>
          <cell r="M452" t="str">
            <v>ALL</v>
          </cell>
          <cell r="N452" t="str">
            <v>FLPC(含奖金)</v>
          </cell>
          <cell r="O452" t="str">
            <v>USD/小时</v>
          </cell>
          <cell r="P452">
            <v>91.69</v>
          </cell>
        </row>
        <row r="453">
          <cell r="A453" t="str">
            <v>Vanuatu - Chinese employees - L4</v>
          </cell>
          <cell r="B453" t="str">
            <v>Current version</v>
          </cell>
          <cell r="C453" t="str">
            <v>V2009R2</v>
          </cell>
          <cell r="D453" t="str">
            <v>Labor Rate</v>
          </cell>
          <cell r="E453" t="str">
            <v>AP</v>
          </cell>
          <cell r="F453" t="str">
            <v>Southern Pacific Sub-Regional Division</v>
          </cell>
          <cell r="G453" t="str">
            <v>Australia Rep.O.</v>
          </cell>
          <cell r="H453" t="str">
            <v>1229</v>
          </cell>
          <cell r="I453" t="str">
            <v>瓦努阿图</v>
          </cell>
          <cell r="J453" t="str">
            <v>Vanuatu</v>
          </cell>
          <cell r="K453" t="str">
            <v>Chinese employees</v>
          </cell>
          <cell r="L453" t="str">
            <v>L4</v>
          </cell>
          <cell r="M453" t="str">
            <v>ALL</v>
          </cell>
          <cell r="N453" t="str">
            <v>FLPC(含奖金)</v>
          </cell>
          <cell r="O453" t="str">
            <v>USD/小时</v>
          </cell>
          <cell r="P453">
            <v>137.65</v>
          </cell>
        </row>
        <row r="454">
          <cell r="A454" t="str">
            <v>New Caledonia - Chinese employees - L0</v>
          </cell>
          <cell r="B454" t="str">
            <v>Current version</v>
          </cell>
          <cell r="C454" t="str">
            <v>V2009R2</v>
          </cell>
          <cell r="D454" t="str">
            <v>Labor Rate</v>
          </cell>
          <cell r="E454" t="str">
            <v>AP</v>
          </cell>
          <cell r="F454" t="str">
            <v>Southern Pacific Sub-Regional Division</v>
          </cell>
          <cell r="G454" t="str">
            <v>Australia Rep.O.</v>
          </cell>
          <cell r="H454" t="str">
            <v>1230</v>
          </cell>
          <cell r="I454" t="str">
            <v>新喀里多尼亚</v>
          </cell>
          <cell r="J454" t="str">
            <v>New Caledonia</v>
          </cell>
          <cell r="K454" t="str">
            <v>Chinese employees</v>
          </cell>
          <cell r="L454" t="str">
            <v>L0</v>
          </cell>
          <cell r="M454" t="str">
            <v>ALL</v>
          </cell>
          <cell r="N454" t="str">
            <v>FLPC(含奖金)</v>
          </cell>
          <cell r="O454" t="str">
            <v>USD/小时</v>
          </cell>
          <cell r="P454">
            <v>55.22</v>
          </cell>
        </row>
        <row r="455">
          <cell r="A455" t="str">
            <v>New Caledonia - Chinese employees - L1</v>
          </cell>
          <cell r="B455" t="str">
            <v>Current version</v>
          </cell>
          <cell r="C455" t="str">
            <v>V2009R2</v>
          </cell>
          <cell r="D455" t="str">
            <v>Labor Rate</v>
          </cell>
          <cell r="E455" t="str">
            <v>AP</v>
          </cell>
          <cell r="F455" t="str">
            <v>Southern Pacific Sub-Regional Division</v>
          </cell>
          <cell r="G455" t="str">
            <v>Australia Rep.O.</v>
          </cell>
          <cell r="H455" t="str">
            <v>1230</v>
          </cell>
          <cell r="I455" t="str">
            <v>新喀里多尼亚</v>
          </cell>
          <cell r="J455" t="str">
            <v>New Caledonia</v>
          </cell>
          <cell r="K455" t="str">
            <v>Chinese employees</v>
          </cell>
          <cell r="L455" t="str">
            <v>L1</v>
          </cell>
          <cell r="M455" t="str">
            <v>ALL</v>
          </cell>
          <cell r="N455" t="str">
            <v>FLPC(含奖金)</v>
          </cell>
          <cell r="O455" t="str">
            <v>USD/小时</v>
          </cell>
          <cell r="P455">
            <v>72.11</v>
          </cell>
        </row>
        <row r="456">
          <cell r="A456" t="str">
            <v>New Caledonia - Chinese employees - L2</v>
          </cell>
          <cell r="B456" t="str">
            <v>Current version</v>
          </cell>
          <cell r="C456" t="str">
            <v>V2009R2</v>
          </cell>
          <cell r="D456" t="str">
            <v>Labor Rate</v>
          </cell>
          <cell r="E456" t="str">
            <v>AP</v>
          </cell>
          <cell r="F456" t="str">
            <v>Southern Pacific Sub-Regional Division</v>
          </cell>
          <cell r="G456" t="str">
            <v>Australia Rep.O.</v>
          </cell>
          <cell r="H456" t="str">
            <v>1230</v>
          </cell>
          <cell r="I456" t="str">
            <v>新喀里多尼亚</v>
          </cell>
          <cell r="J456" t="str">
            <v>New Caledonia</v>
          </cell>
          <cell r="K456" t="str">
            <v>Chinese employees</v>
          </cell>
          <cell r="L456" t="str">
            <v>L2</v>
          </cell>
          <cell r="M456" t="str">
            <v>ALL</v>
          </cell>
          <cell r="N456" t="str">
            <v>FLPC(含奖金)</v>
          </cell>
          <cell r="O456" t="str">
            <v>USD/小时</v>
          </cell>
          <cell r="P456">
            <v>79.67</v>
          </cell>
        </row>
        <row r="457">
          <cell r="A457" t="str">
            <v>New Caledonia - Chinese employees - L3</v>
          </cell>
          <cell r="B457" t="str">
            <v>Current version</v>
          </cell>
          <cell r="C457" t="str">
            <v>V2009R2</v>
          </cell>
          <cell r="D457" t="str">
            <v>Labor Rate</v>
          </cell>
          <cell r="E457" t="str">
            <v>AP</v>
          </cell>
          <cell r="F457" t="str">
            <v>Southern Pacific Sub-Regional Division</v>
          </cell>
          <cell r="G457" t="str">
            <v>Australia Rep.O.</v>
          </cell>
          <cell r="H457" t="str">
            <v>1230</v>
          </cell>
          <cell r="I457" t="str">
            <v>新喀里多尼亚</v>
          </cell>
          <cell r="J457" t="str">
            <v>New Caledonia</v>
          </cell>
          <cell r="K457" t="str">
            <v>Chinese employees</v>
          </cell>
          <cell r="L457" t="str">
            <v>L3</v>
          </cell>
          <cell r="M457" t="str">
            <v>ALL</v>
          </cell>
          <cell r="N457" t="str">
            <v>FLPC(含奖金)</v>
          </cell>
          <cell r="O457" t="str">
            <v>USD/小时</v>
          </cell>
          <cell r="P457">
            <v>92.88</v>
          </cell>
        </row>
        <row r="458">
          <cell r="A458" t="str">
            <v>New Caledonia - Chinese employees - L4</v>
          </cell>
          <cell r="B458" t="str">
            <v>Current version</v>
          </cell>
          <cell r="C458" t="str">
            <v>V2009R2</v>
          </cell>
          <cell r="D458" t="str">
            <v>Labor Rate</v>
          </cell>
          <cell r="E458" t="str">
            <v>AP</v>
          </cell>
          <cell r="F458" t="str">
            <v>Southern Pacific Sub-Regional Division</v>
          </cell>
          <cell r="G458" t="str">
            <v>Australia Rep.O.</v>
          </cell>
          <cell r="H458" t="str">
            <v>1230</v>
          </cell>
          <cell r="I458" t="str">
            <v>新喀里多尼亚</v>
          </cell>
          <cell r="J458" t="str">
            <v>New Caledonia</v>
          </cell>
          <cell r="K458" t="str">
            <v>Chinese employees</v>
          </cell>
          <cell r="L458" t="str">
            <v>L4</v>
          </cell>
          <cell r="M458" t="str">
            <v>ALL</v>
          </cell>
          <cell r="N458" t="str">
            <v>FLPC(含奖金)</v>
          </cell>
          <cell r="O458" t="str">
            <v>USD/小时</v>
          </cell>
          <cell r="P458">
            <v>137.65</v>
          </cell>
        </row>
        <row r="459">
          <cell r="A459" t="str">
            <v>Kiribati - Chinese employees - L0</v>
          </cell>
          <cell r="B459" t="str">
            <v>Current version</v>
          </cell>
          <cell r="C459" t="str">
            <v>V2009R2</v>
          </cell>
          <cell r="D459" t="str">
            <v>Labor Rate</v>
          </cell>
          <cell r="E459" t="str">
            <v>AP</v>
          </cell>
          <cell r="F459" t="str">
            <v>Southern Pacific Sub-Regional Division</v>
          </cell>
          <cell r="G459" t="str">
            <v>Australia Rep.O.</v>
          </cell>
          <cell r="H459" t="str">
            <v>1231</v>
          </cell>
          <cell r="I459" t="str">
            <v>基里巴斯</v>
          </cell>
          <cell r="J459" t="str">
            <v>Kiribati</v>
          </cell>
          <cell r="K459" t="str">
            <v>Chinese employees</v>
          </cell>
          <cell r="L459" t="str">
            <v>L0</v>
          </cell>
          <cell r="M459" t="str">
            <v>ALL</v>
          </cell>
          <cell r="N459" t="str">
            <v>FLPC(含奖金)</v>
          </cell>
          <cell r="O459" t="str">
            <v>USD/小时</v>
          </cell>
          <cell r="P459">
            <v>55.22</v>
          </cell>
        </row>
        <row r="460">
          <cell r="A460" t="str">
            <v>Kiribati - Chinese employees - L1</v>
          </cell>
          <cell r="B460" t="str">
            <v>Current version</v>
          </cell>
          <cell r="C460" t="str">
            <v>V2009R2</v>
          </cell>
          <cell r="D460" t="str">
            <v>Labor Rate</v>
          </cell>
          <cell r="E460" t="str">
            <v>AP</v>
          </cell>
          <cell r="F460" t="str">
            <v>Southern Pacific Sub-Regional Division</v>
          </cell>
          <cell r="G460" t="str">
            <v>Australia Rep.O.</v>
          </cell>
          <cell r="H460" t="str">
            <v>1231</v>
          </cell>
          <cell r="I460" t="str">
            <v>基里巴斯</v>
          </cell>
          <cell r="J460" t="str">
            <v>Kiribati</v>
          </cell>
          <cell r="K460" t="str">
            <v>Chinese employees</v>
          </cell>
          <cell r="L460" t="str">
            <v>L1</v>
          </cell>
          <cell r="M460" t="str">
            <v>ALL</v>
          </cell>
          <cell r="N460" t="str">
            <v>FLPC(含奖金)</v>
          </cell>
          <cell r="O460" t="str">
            <v>USD/小时</v>
          </cell>
          <cell r="P460">
            <v>72.11</v>
          </cell>
        </row>
        <row r="461">
          <cell r="A461" t="str">
            <v>Kiribati - Chinese employees - L2</v>
          </cell>
          <cell r="B461" t="str">
            <v>Current version</v>
          </cell>
          <cell r="C461" t="str">
            <v>V2009R2</v>
          </cell>
          <cell r="D461" t="str">
            <v>Labor Rate</v>
          </cell>
          <cell r="E461" t="str">
            <v>AP</v>
          </cell>
          <cell r="F461" t="str">
            <v>Southern Pacific Sub-Regional Division</v>
          </cell>
          <cell r="G461" t="str">
            <v>Australia Rep.O.</v>
          </cell>
          <cell r="H461" t="str">
            <v>1231</v>
          </cell>
          <cell r="I461" t="str">
            <v>基里巴斯</v>
          </cell>
          <cell r="J461" t="str">
            <v>Kiribati</v>
          </cell>
          <cell r="K461" t="str">
            <v>Chinese employees</v>
          </cell>
          <cell r="L461" t="str">
            <v>L2</v>
          </cell>
          <cell r="M461" t="str">
            <v>ALL</v>
          </cell>
          <cell r="N461" t="str">
            <v>FLPC(含奖金)</v>
          </cell>
          <cell r="O461" t="str">
            <v>USD/小时</v>
          </cell>
          <cell r="P461">
            <v>79.67</v>
          </cell>
        </row>
        <row r="462">
          <cell r="A462" t="str">
            <v>Kiribati - Chinese employees - L3</v>
          </cell>
          <cell r="B462" t="str">
            <v>Current version</v>
          </cell>
          <cell r="C462" t="str">
            <v>V2009R2</v>
          </cell>
          <cell r="D462" t="str">
            <v>Labor Rate</v>
          </cell>
          <cell r="E462" t="str">
            <v>AP</v>
          </cell>
          <cell r="F462" t="str">
            <v>Southern Pacific Sub-Regional Division</v>
          </cell>
          <cell r="G462" t="str">
            <v>Australia Rep.O.</v>
          </cell>
          <cell r="H462" t="str">
            <v>1231</v>
          </cell>
          <cell r="I462" t="str">
            <v>基里巴斯</v>
          </cell>
          <cell r="J462" t="str">
            <v>Kiribati</v>
          </cell>
          <cell r="K462" t="str">
            <v>Chinese employees</v>
          </cell>
          <cell r="L462" t="str">
            <v>L3</v>
          </cell>
          <cell r="M462" t="str">
            <v>ALL</v>
          </cell>
          <cell r="N462" t="str">
            <v>FLPC(含奖金)</v>
          </cell>
          <cell r="O462" t="str">
            <v>USD/小时</v>
          </cell>
          <cell r="P462">
            <v>92.88</v>
          </cell>
        </row>
        <row r="463">
          <cell r="A463" t="str">
            <v>Colombia - Chinese employees - L2</v>
          </cell>
          <cell r="B463" t="str">
            <v>Current version</v>
          </cell>
          <cell r="C463" t="str">
            <v>V2009R2</v>
          </cell>
          <cell r="D463" t="str">
            <v>Labor Rate</v>
          </cell>
          <cell r="E463" t="str">
            <v>LA</v>
          </cell>
          <cell r="F463" t="str">
            <v>Northern South America Sub-Regional Division</v>
          </cell>
          <cell r="G463" t="str">
            <v>Colombia Rep.O.</v>
          </cell>
          <cell r="H463" t="str">
            <v>6005</v>
          </cell>
          <cell r="I463" t="str">
            <v>哥伦比亚</v>
          </cell>
          <cell r="J463" t="str">
            <v>Colombia</v>
          </cell>
          <cell r="K463" t="str">
            <v>Chinese employees</v>
          </cell>
          <cell r="L463" t="str">
            <v>L2</v>
          </cell>
          <cell r="M463" t="str">
            <v>ALL</v>
          </cell>
          <cell r="N463" t="str">
            <v>FLPC(含奖金)</v>
          </cell>
          <cell r="O463" t="str">
            <v>USD/小时</v>
          </cell>
          <cell r="P463">
            <v>76.88</v>
          </cell>
        </row>
        <row r="464">
          <cell r="A464" t="str">
            <v>Colombia - Chinese employees - L3</v>
          </cell>
          <cell r="B464" t="str">
            <v>Current version</v>
          </cell>
          <cell r="C464" t="str">
            <v>V2009R2</v>
          </cell>
          <cell r="D464" t="str">
            <v>Labor Rate</v>
          </cell>
          <cell r="E464" t="str">
            <v>LA</v>
          </cell>
          <cell r="F464" t="str">
            <v>Northern South America Sub-Regional Division</v>
          </cell>
          <cell r="G464" t="str">
            <v>Colombia Rep.O.</v>
          </cell>
          <cell r="H464" t="str">
            <v>6005</v>
          </cell>
          <cell r="I464" t="str">
            <v>哥伦比亚</v>
          </cell>
          <cell r="J464" t="str">
            <v>Colombia</v>
          </cell>
          <cell r="K464" t="str">
            <v>Chinese employees</v>
          </cell>
          <cell r="L464" t="str">
            <v>L3</v>
          </cell>
          <cell r="M464" t="str">
            <v>ALL</v>
          </cell>
          <cell r="N464" t="str">
            <v>FLPC(含奖金)</v>
          </cell>
          <cell r="O464" t="str">
            <v>USD/小时</v>
          </cell>
          <cell r="P464">
            <v>91.41</v>
          </cell>
        </row>
        <row r="465">
          <cell r="A465" t="str">
            <v>Colombia - Chinese employees - L4</v>
          </cell>
          <cell r="B465" t="str">
            <v>Current version</v>
          </cell>
          <cell r="C465" t="str">
            <v>V2009R2</v>
          </cell>
          <cell r="D465" t="str">
            <v>Labor Rate</v>
          </cell>
          <cell r="E465" t="str">
            <v>LA</v>
          </cell>
          <cell r="F465" t="str">
            <v>Northern South America Sub-Regional Division</v>
          </cell>
          <cell r="G465" t="str">
            <v>Colombia Rep.O.</v>
          </cell>
          <cell r="H465" t="str">
            <v>6005</v>
          </cell>
          <cell r="I465" t="str">
            <v>哥伦比亚</v>
          </cell>
          <cell r="J465" t="str">
            <v>Colombia</v>
          </cell>
          <cell r="K465" t="str">
            <v>Chinese employees</v>
          </cell>
          <cell r="L465" t="str">
            <v>L4</v>
          </cell>
          <cell r="M465" t="str">
            <v>ALL</v>
          </cell>
          <cell r="N465" t="str">
            <v>FLPC(含奖金)</v>
          </cell>
          <cell r="O465" t="str">
            <v>USD/小时</v>
          </cell>
          <cell r="P465">
            <v>123.14</v>
          </cell>
        </row>
        <row r="466">
          <cell r="A466" t="str">
            <v>Salvador - Chinese employees - L0</v>
          </cell>
          <cell r="B466" t="str">
            <v>Current version</v>
          </cell>
          <cell r="C466" t="str">
            <v>V2009R2</v>
          </cell>
          <cell r="D466" t="str">
            <v>Labor Rate</v>
          </cell>
          <cell r="E466" t="str">
            <v>LA</v>
          </cell>
          <cell r="F466" t="str">
            <v>Mexico Rep.O.</v>
          </cell>
          <cell r="G466" t="str">
            <v>Salvador</v>
          </cell>
          <cell r="H466" t="str">
            <v>6029</v>
          </cell>
          <cell r="I466" t="str">
            <v>萨尔瓦多</v>
          </cell>
          <cell r="J466" t="str">
            <v>Salvador</v>
          </cell>
          <cell r="K466" t="str">
            <v>Chinese employees</v>
          </cell>
          <cell r="L466" t="str">
            <v>L0</v>
          </cell>
          <cell r="M466" t="str">
            <v>ALL</v>
          </cell>
          <cell r="N466" t="str">
            <v>FLPC(含奖金)</v>
          </cell>
          <cell r="O466" t="str">
            <v>USD/小时</v>
          </cell>
          <cell r="P466">
            <v>69.19</v>
          </cell>
        </row>
        <row r="467">
          <cell r="A467" t="str">
            <v>Salvador - Chinese employees - L1</v>
          </cell>
          <cell r="B467" t="str">
            <v>Current version</v>
          </cell>
          <cell r="C467" t="str">
            <v>V2009R2</v>
          </cell>
          <cell r="D467" t="str">
            <v>Labor Rate</v>
          </cell>
          <cell r="E467" t="str">
            <v>LA</v>
          </cell>
          <cell r="F467" t="str">
            <v>Mexico Rep.O.</v>
          </cell>
          <cell r="G467" t="str">
            <v>Salvador</v>
          </cell>
          <cell r="H467" t="str">
            <v>6029</v>
          </cell>
          <cell r="I467" t="str">
            <v>萨尔瓦多</v>
          </cell>
          <cell r="J467" t="str">
            <v>Salvador</v>
          </cell>
          <cell r="K467" t="str">
            <v>Chinese employees</v>
          </cell>
          <cell r="L467" t="str">
            <v>L1</v>
          </cell>
          <cell r="M467" t="str">
            <v>ALL</v>
          </cell>
          <cell r="N467" t="str">
            <v>FLPC(含奖金)</v>
          </cell>
          <cell r="O467" t="str">
            <v>USD/小时</v>
          </cell>
          <cell r="P467">
            <v>74.95</v>
          </cell>
        </row>
        <row r="468">
          <cell r="A468" t="str">
            <v>Salvador - Chinese employees - L2</v>
          </cell>
          <cell r="B468" t="str">
            <v>Current version</v>
          </cell>
          <cell r="C468" t="str">
            <v>V2009R2</v>
          </cell>
          <cell r="D468" t="str">
            <v>Labor Rate</v>
          </cell>
          <cell r="E468" t="str">
            <v>LA</v>
          </cell>
          <cell r="F468" t="str">
            <v>Mexico Rep.O.</v>
          </cell>
          <cell r="G468" t="str">
            <v>Salvador</v>
          </cell>
          <cell r="H468" t="str">
            <v>6029</v>
          </cell>
          <cell r="I468" t="str">
            <v>萨尔瓦多</v>
          </cell>
          <cell r="J468" t="str">
            <v>Salvador</v>
          </cell>
          <cell r="K468" t="str">
            <v>Chinese employees</v>
          </cell>
          <cell r="L468" t="str">
            <v>L2</v>
          </cell>
          <cell r="M468" t="str">
            <v>ALL</v>
          </cell>
          <cell r="N468" t="str">
            <v>FLPC(含奖金)</v>
          </cell>
          <cell r="O468" t="str">
            <v>USD/小时</v>
          </cell>
          <cell r="P468">
            <v>82.4</v>
          </cell>
        </row>
        <row r="469">
          <cell r="A469" t="str">
            <v>Salvador - Chinese employees - L3</v>
          </cell>
          <cell r="B469" t="str">
            <v>Current version</v>
          </cell>
          <cell r="C469" t="str">
            <v>V2009R2</v>
          </cell>
          <cell r="D469" t="str">
            <v>Labor Rate</v>
          </cell>
          <cell r="E469" t="str">
            <v>LA</v>
          </cell>
          <cell r="F469" t="str">
            <v>Mexico Rep.O.</v>
          </cell>
          <cell r="G469" t="str">
            <v>Salvador</v>
          </cell>
          <cell r="H469" t="str">
            <v>6029</v>
          </cell>
          <cell r="I469" t="str">
            <v>萨尔瓦多</v>
          </cell>
          <cell r="J469" t="str">
            <v>Salvador</v>
          </cell>
          <cell r="K469" t="str">
            <v>Chinese employees</v>
          </cell>
          <cell r="L469" t="str">
            <v>L3</v>
          </cell>
          <cell r="M469" t="str">
            <v>ALL</v>
          </cell>
          <cell r="N469" t="str">
            <v>FLPC(含奖金)</v>
          </cell>
          <cell r="O469" t="str">
            <v>USD/小时</v>
          </cell>
          <cell r="P469">
            <v>93.07</v>
          </cell>
        </row>
        <row r="470">
          <cell r="A470" t="str">
            <v>Salvador - Chinese employees - L4</v>
          </cell>
          <cell r="B470" t="str">
            <v>Current version</v>
          </cell>
          <cell r="C470" t="str">
            <v>V2009R2</v>
          </cell>
          <cell r="D470" t="str">
            <v>Labor Rate</v>
          </cell>
          <cell r="E470" t="str">
            <v>LA</v>
          </cell>
          <cell r="F470" t="str">
            <v>Mexico Rep.O.</v>
          </cell>
          <cell r="G470" t="str">
            <v>Salvador</v>
          </cell>
          <cell r="H470" t="str">
            <v>6029</v>
          </cell>
          <cell r="I470" t="str">
            <v>萨尔瓦多</v>
          </cell>
          <cell r="J470" t="str">
            <v>Salvador</v>
          </cell>
          <cell r="K470" t="str">
            <v>Chinese employees</v>
          </cell>
          <cell r="L470" t="str">
            <v>L4</v>
          </cell>
          <cell r="M470" t="str">
            <v>ALL</v>
          </cell>
          <cell r="N470" t="str">
            <v>FLPC(含奖金)</v>
          </cell>
          <cell r="O470" t="str">
            <v>USD/小时</v>
          </cell>
          <cell r="P470">
            <v>131.51</v>
          </cell>
        </row>
        <row r="471">
          <cell r="A471" t="str">
            <v>Panama - Chinese employees - L0</v>
          </cell>
          <cell r="B471" t="str">
            <v>Current version</v>
          </cell>
          <cell r="C471" t="str">
            <v>V2009R2</v>
          </cell>
          <cell r="D471" t="str">
            <v>Labor Rate</v>
          </cell>
          <cell r="E471" t="str">
            <v>LA</v>
          </cell>
          <cell r="F471" t="str">
            <v>Mexico Rep.O.</v>
          </cell>
          <cell r="G471" t="str">
            <v>Panama</v>
          </cell>
          <cell r="H471" t="str">
            <v>6014</v>
          </cell>
          <cell r="I471" t="str">
            <v>巴拿马</v>
          </cell>
          <cell r="J471" t="str">
            <v>Panama</v>
          </cell>
          <cell r="K471" t="str">
            <v>Chinese employees</v>
          </cell>
          <cell r="L471" t="str">
            <v>L0</v>
          </cell>
          <cell r="M471" t="str">
            <v>ALL</v>
          </cell>
          <cell r="N471" t="str">
            <v>FLPC(含奖金)</v>
          </cell>
          <cell r="O471" t="str">
            <v>USD/小时</v>
          </cell>
          <cell r="P471">
            <v>67.05</v>
          </cell>
        </row>
        <row r="472">
          <cell r="A472" t="str">
            <v>Panama - Chinese employees - L1</v>
          </cell>
          <cell r="B472" t="str">
            <v>Current version</v>
          </cell>
          <cell r="C472" t="str">
            <v>V2009R2</v>
          </cell>
          <cell r="D472" t="str">
            <v>Labor Rate</v>
          </cell>
          <cell r="E472" t="str">
            <v>LA</v>
          </cell>
          <cell r="F472" t="str">
            <v>Mexico Rep.O.</v>
          </cell>
          <cell r="G472" t="str">
            <v>Panama</v>
          </cell>
          <cell r="H472" t="str">
            <v>6014</v>
          </cell>
          <cell r="I472" t="str">
            <v>巴拿马</v>
          </cell>
          <cell r="J472" t="str">
            <v>Panama</v>
          </cell>
          <cell r="K472" t="str">
            <v>Chinese employees</v>
          </cell>
          <cell r="L472" t="str">
            <v>L1</v>
          </cell>
          <cell r="M472" t="str">
            <v>ALL</v>
          </cell>
          <cell r="N472" t="str">
            <v>FLPC(含奖金)</v>
          </cell>
          <cell r="O472" t="str">
            <v>USD/小时</v>
          </cell>
          <cell r="P472">
            <v>72.62</v>
          </cell>
        </row>
        <row r="473">
          <cell r="A473" t="str">
            <v>Panama - Chinese employees - L2</v>
          </cell>
          <cell r="B473" t="str">
            <v>Current version</v>
          </cell>
          <cell r="C473" t="str">
            <v>V2009R2</v>
          </cell>
          <cell r="D473" t="str">
            <v>Labor Rate</v>
          </cell>
          <cell r="E473" t="str">
            <v>LA</v>
          </cell>
          <cell r="F473" t="str">
            <v>Mexico Rep.O.</v>
          </cell>
          <cell r="G473" t="str">
            <v>Panama</v>
          </cell>
          <cell r="H473" t="str">
            <v>6014</v>
          </cell>
          <cell r="I473" t="str">
            <v>巴拿马</v>
          </cell>
          <cell r="J473" t="str">
            <v>Panama</v>
          </cell>
          <cell r="K473" t="str">
            <v>Chinese employees</v>
          </cell>
          <cell r="L473" t="str">
            <v>L2</v>
          </cell>
          <cell r="M473" t="str">
            <v>ALL</v>
          </cell>
          <cell r="N473" t="str">
            <v>FLPC(含奖金)</v>
          </cell>
          <cell r="O473" t="str">
            <v>USD/小时</v>
          </cell>
          <cell r="P473">
            <v>79.849999999999994</v>
          </cell>
        </row>
        <row r="474">
          <cell r="A474" t="str">
            <v>Panama - Chinese employees - L3</v>
          </cell>
          <cell r="B474" t="str">
            <v>Current version</v>
          </cell>
          <cell r="C474" t="str">
            <v>V2009R2</v>
          </cell>
          <cell r="D474" t="str">
            <v>Labor Rate</v>
          </cell>
          <cell r="E474" t="str">
            <v>LA</v>
          </cell>
          <cell r="F474" t="str">
            <v>Mexico Rep.O.</v>
          </cell>
          <cell r="G474" t="str">
            <v>Panama</v>
          </cell>
          <cell r="H474" t="str">
            <v>6014</v>
          </cell>
          <cell r="I474" t="str">
            <v>巴拿马</v>
          </cell>
          <cell r="J474" t="str">
            <v>Panama</v>
          </cell>
          <cell r="K474" t="str">
            <v>Chinese employees</v>
          </cell>
          <cell r="L474" t="str">
            <v>L3</v>
          </cell>
          <cell r="M474" t="str">
            <v>ALL</v>
          </cell>
          <cell r="N474" t="str">
            <v>FLPC(含奖金)</v>
          </cell>
          <cell r="O474" t="str">
            <v>USD/小时</v>
          </cell>
          <cell r="P474">
            <v>90.18</v>
          </cell>
        </row>
        <row r="475">
          <cell r="A475" t="str">
            <v>Panama - Chinese employees - L4</v>
          </cell>
          <cell r="B475" t="str">
            <v>Current version</v>
          </cell>
          <cell r="C475" t="str">
            <v>V2009R2</v>
          </cell>
          <cell r="D475" t="str">
            <v>Labor Rate</v>
          </cell>
          <cell r="E475" t="str">
            <v>LA</v>
          </cell>
          <cell r="F475" t="str">
            <v>Mexico Rep.O.</v>
          </cell>
          <cell r="G475" t="str">
            <v>Panama</v>
          </cell>
          <cell r="H475" t="str">
            <v>6014</v>
          </cell>
          <cell r="I475" t="str">
            <v>巴拿马</v>
          </cell>
          <cell r="J475" t="str">
            <v>Panama</v>
          </cell>
          <cell r="K475" t="str">
            <v>Chinese employees</v>
          </cell>
          <cell r="L475" t="str">
            <v>L4</v>
          </cell>
          <cell r="M475" t="str">
            <v>ALL</v>
          </cell>
          <cell r="N475" t="str">
            <v>FLPC(含奖金)</v>
          </cell>
          <cell r="O475" t="str">
            <v>USD/小时</v>
          </cell>
          <cell r="P475">
            <v>127.43</v>
          </cell>
        </row>
        <row r="476">
          <cell r="A476" t="str">
            <v>North Mexico - Chinese employees - L0</v>
          </cell>
          <cell r="B476" t="str">
            <v>Current version</v>
          </cell>
          <cell r="C476" t="str">
            <v>V2009R2</v>
          </cell>
          <cell r="D476" t="str">
            <v>Labor Rate</v>
          </cell>
          <cell r="E476" t="str">
            <v>LA</v>
          </cell>
          <cell r="F476" t="str">
            <v>Mexico Rep.O.</v>
          </cell>
          <cell r="G476" t="str">
            <v>North Mexico</v>
          </cell>
          <cell r="H476" t="str">
            <v>6028</v>
          </cell>
          <cell r="I476" t="str">
            <v>墨西哥北区</v>
          </cell>
          <cell r="J476" t="str">
            <v>North Mexico</v>
          </cell>
          <cell r="K476" t="str">
            <v>Chinese employees</v>
          </cell>
          <cell r="L476" t="str">
            <v>L0</v>
          </cell>
          <cell r="M476" t="str">
            <v>ALL</v>
          </cell>
          <cell r="N476" t="str">
            <v>FLPC(含奖金)</v>
          </cell>
          <cell r="O476" t="str">
            <v>USD/小时</v>
          </cell>
          <cell r="P476">
            <v>63.4</v>
          </cell>
        </row>
        <row r="477">
          <cell r="A477" t="str">
            <v>North Mexico - Chinese employees - L1</v>
          </cell>
          <cell r="B477" t="str">
            <v>Current version</v>
          </cell>
          <cell r="C477" t="str">
            <v>V2009R2</v>
          </cell>
          <cell r="D477" t="str">
            <v>Labor Rate</v>
          </cell>
          <cell r="E477" t="str">
            <v>LA</v>
          </cell>
          <cell r="F477" t="str">
            <v>Mexico Rep.O.</v>
          </cell>
          <cell r="G477" t="str">
            <v>North Mexico</v>
          </cell>
          <cell r="H477" t="str">
            <v>6028</v>
          </cell>
          <cell r="I477" t="str">
            <v>墨西哥北区</v>
          </cell>
          <cell r="J477" t="str">
            <v>North Mexico</v>
          </cell>
          <cell r="K477" t="str">
            <v>Chinese employees</v>
          </cell>
          <cell r="L477" t="str">
            <v>L1</v>
          </cell>
          <cell r="M477" t="str">
            <v>ALL</v>
          </cell>
          <cell r="N477" t="str">
            <v>FLPC(含奖金)</v>
          </cell>
          <cell r="O477" t="str">
            <v>USD/小时</v>
          </cell>
          <cell r="P477">
            <v>69.239999999999995</v>
          </cell>
        </row>
        <row r="478">
          <cell r="A478" t="str">
            <v>North Mexico - Chinese employees - L2</v>
          </cell>
          <cell r="B478" t="str">
            <v>Current version</v>
          </cell>
          <cell r="C478" t="str">
            <v>V2009R2</v>
          </cell>
          <cell r="D478" t="str">
            <v>Labor Rate</v>
          </cell>
          <cell r="E478" t="str">
            <v>LA</v>
          </cell>
          <cell r="F478" t="str">
            <v>Mexico Rep.O.</v>
          </cell>
          <cell r="G478" t="str">
            <v>North Mexico</v>
          </cell>
          <cell r="H478" t="str">
            <v>6028</v>
          </cell>
          <cell r="I478" t="str">
            <v>墨西哥北区</v>
          </cell>
          <cell r="J478" t="str">
            <v>North Mexico</v>
          </cell>
          <cell r="K478" t="str">
            <v>Chinese employees</v>
          </cell>
          <cell r="L478" t="str">
            <v>L2</v>
          </cell>
          <cell r="M478" t="str">
            <v>ALL</v>
          </cell>
          <cell r="N478" t="str">
            <v>FLPC(含奖金)</v>
          </cell>
          <cell r="O478" t="str">
            <v>USD/小时</v>
          </cell>
          <cell r="P478">
            <v>76.819999999999993</v>
          </cell>
        </row>
        <row r="479">
          <cell r="A479" t="str">
            <v>North Mexico - Chinese employees - L3</v>
          </cell>
          <cell r="B479" t="str">
            <v>Current version</v>
          </cell>
          <cell r="C479" t="str">
            <v>V2009R2</v>
          </cell>
          <cell r="D479" t="str">
            <v>Labor Rate</v>
          </cell>
          <cell r="E479" t="str">
            <v>LA</v>
          </cell>
          <cell r="F479" t="str">
            <v>Mexico Rep.O.</v>
          </cell>
          <cell r="G479" t="str">
            <v>North Mexico</v>
          </cell>
          <cell r="H479" t="str">
            <v>6028</v>
          </cell>
          <cell r="I479" t="str">
            <v>墨西哥北区</v>
          </cell>
          <cell r="J479" t="str">
            <v>North Mexico</v>
          </cell>
          <cell r="K479" t="str">
            <v>Chinese employees</v>
          </cell>
          <cell r="L479" t="str">
            <v>L3</v>
          </cell>
          <cell r="M479" t="str">
            <v>ALL</v>
          </cell>
          <cell r="N479" t="str">
            <v>FLPC(含奖金)</v>
          </cell>
          <cell r="O479" t="str">
            <v>USD/小时</v>
          </cell>
          <cell r="P479">
            <v>87.66</v>
          </cell>
        </row>
        <row r="480">
          <cell r="A480" t="str">
            <v>North Mexico - Chinese employees - L4</v>
          </cell>
          <cell r="B480" t="str">
            <v>Current version</v>
          </cell>
          <cell r="C480" t="str">
            <v>V2009R2</v>
          </cell>
          <cell r="D480" t="str">
            <v>Labor Rate</v>
          </cell>
          <cell r="E480" t="str">
            <v>LA</v>
          </cell>
          <cell r="F480" t="str">
            <v>Mexico Rep.O.</v>
          </cell>
          <cell r="G480" t="str">
            <v>North Mexico</v>
          </cell>
          <cell r="H480" t="str">
            <v>6028</v>
          </cell>
          <cell r="I480" t="str">
            <v>墨西哥北区</v>
          </cell>
          <cell r="J480" t="str">
            <v>North Mexico</v>
          </cell>
          <cell r="K480" t="str">
            <v>Chinese employees</v>
          </cell>
          <cell r="L480" t="str">
            <v>L4</v>
          </cell>
          <cell r="M480" t="str">
            <v>ALL</v>
          </cell>
          <cell r="N480" t="str">
            <v>FLPC(含奖金)</v>
          </cell>
          <cell r="O480" t="str">
            <v>USD/小时</v>
          </cell>
          <cell r="P480">
            <v>126.72</v>
          </cell>
        </row>
        <row r="481">
          <cell r="A481" t="str">
            <v>Mexico - Chinese employees - L0</v>
          </cell>
          <cell r="B481" t="str">
            <v>Current version</v>
          </cell>
          <cell r="C481" t="str">
            <v>V2009R2</v>
          </cell>
          <cell r="D481" t="str">
            <v>Labor Rate</v>
          </cell>
          <cell r="E481" t="str">
            <v>LA</v>
          </cell>
          <cell r="F481" t="str">
            <v>Mexico Rep.O.</v>
          </cell>
          <cell r="G481" t="str">
            <v>Mexico</v>
          </cell>
          <cell r="H481" t="str">
            <v>6007</v>
          </cell>
          <cell r="I481" t="str">
            <v>墨西哥</v>
          </cell>
          <cell r="J481" t="str">
            <v>Mexico</v>
          </cell>
          <cell r="K481" t="str">
            <v>Chinese employees</v>
          </cell>
          <cell r="L481" t="str">
            <v>L0</v>
          </cell>
          <cell r="M481" t="str">
            <v>ALL</v>
          </cell>
          <cell r="N481" t="str">
            <v>FLPC(含奖金)</v>
          </cell>
          <cell r="O481" t="str">
            <v>USD/小时</v>
          </cell>
          <cell r="P481">
            <v>63.4</v>
          </cell>
        </row>
        <row r="482">
          <cell r="A482" t="str">
            <v>Mexico - Chinese employees - L1</v>
          </cell>
          <cell r="B482" t="str">
            <v>Current version</v>
          </cell>
          <cell r="C482" t="str">
            <v>V2009R2</v>
          </cell>
          <cell r="D482" t="str">
            <v>Labor Rate</v>
          </cell>
          <cell r="E482" t="str">
            <v>LA</v>
          </cell>
          <cell r="F482" t="str">
            <v>Mexico Rep.O.</v>
          </cell>
          <cell r="G482" t="str">
            <v>Mexico</v>
          </cell>
          <cell r="H482" t="str">
            <v>6007</v>
          </cell>
          <cell r="I482" t="str">
            <v>墨西哥</v>
          </cell>
          <cell r="J482" t="str">
            <v>Mexico</v>
          </cell>
          <cell r="K482" t="str">
            <v>Chinese employees</v>
          </cell>
          <cell r="L482" t="str">
            <v>L1</v>
          </cell>
          <cell r="M482" t="str">
            <v>ALL</v>
          </cell>
          <cell r="N482" t="str">
            <v>FLPC(含奖金)</v>
          </cell>
          <cell r="O482" t="str">
            <v>USD/小时</v>
          </cell>
          <cell r="P482">
            <v>69.239999999999995</v>
          </cell>
        </row>
        <row r="483">
          <cell r="A483" t="str">
            <v>Mexico - Chinese employees - L2</v>
          </cell>
          <cell r="B483" t="str">
            <v>Current version</v>
          </cell>
          <cell r="C483" t="str">
            <v>V2009R2</v>
          </cell>
          <cell r="D483" t="str">
            <v>Labor Rate</v>
          </cell>
          <cell r="E483" t="str">
            <v>LA</v>
          </cell>
          <cell r="F483" t="str">
            <v>Mexico Rep.O.</v>
          </cell>
          <cell r="G483" t="str">
            <v>Mexico</v>
          </cell>
          <cell r="H483" t="str">
            <v>6007</v>
          </cell>
          <cell r="I483" t="str">
            <v>墨西哥</v>
          </cell>
          <cell r="J483" t="str">
            <v>Mexico</v>
          </cell>
          <cell r="K483" t="str">
            <v>Chinese employees</v>
          </cell>
          <cell r="L483" t="str">
            <v>L2</v>
          </cell>
          <cell r="M483" t="str">
            <v>ALL</v>
          </cell>
          <cell r="N483" t="str">
            <v>FLPC(含奖金)</v>
          </cell>
          <cell r="O483" t="str">
            <v>USD/小时</v>
          </cell>
          <cell r="P483">
            <v>76.819999999999993</v>
          </cell>
        </row>
        <row r="484">
          <cell r="A484" t="str">
            <v>Mexico - Chinese employees - L3</v>
          </cell>
          <cell r="B484" t="str">
            <v>Current version</v>
          </cell>
          <cell r="C484" t="str">
            <v>V2009R2</v>
          </cell>
          <cell r="D484" t="str">
            <v>Labor Rate</v>
          </cell>
          <cell r="E484" t="str">
            <v>LA</v>
          </cell>
          <cell r="F484" t="str">
            <v>Mexico Rep.O.</v>
          </cell>
          <cell r="G484" t="str">
            <v>Mexico</v>
          </cell>
          <cell r="H484" t="str">
            <v>6007</v>
          </cell>
          <cell r="I484" t="str">
            <v>墨西哥</v>
          </cell>
          <cell r="J484" t="str">
            <v>Mexico</v>
          </cell>
          <cell r="K484" t="str">
            <v>Chinese employees</v>
          </cell>
          <cell r="L484" t="str">
            <v>L3</v>
          </cell>
          <cell r="M484" t="str">
            <v>ALL</v>
          </cell>
          <cell r="N484" t="str">
            <v>FLPC(含奖金)</v>
          </cell>
          <cell r="O484" t="str">
            <v>USD/小时</v>
          </cell>
          <cell r="P484">
            <v>87.66</v>
          </cell>
        </row>
        <row r="485">
          <cell r="A485" t="str">
            <v>Mexico - Chinese employees - L4</v>
          </cell>
          <cell r="B485" t="str">
            <v>Current version</v>
          </cell>
          <cell r="C485" t="str">
            <v>V2009R2</v>
          </cell>
          <cell r="D485" t="str">
            <v>Labor Rate</v>
          </cell>
          <cell r="E485" t="str">
            <v>LA</v>
          </cell>
          <cell r="F485" t="str">
            <v>Mexico Rep.O.</v>
          </cell>
          <cell r="G485" t="str">
            <v>Mexico</v>
          </cell>
          <cell r="H485" t="str">
            <v>6007</v>
          </cell>
          <cell r="I485" t="str">
            <v>墨西哥</v>
          </cell>
          <cell r="J485" t="str">
            <v>Mexico</v>
          </cell>
          <cell r="K485" t="str">
            <v>Chinese employees</v>
          </cell>
          <cell r="L485" t="str">
            <v>L4</v>
          </cell>
          <cell r="M485" t="str">
            <v>ALL</v>
          </cell>
          <cell r="N485" t="str">
            <v>FLPC(含奖金)</v>
          </cell>
          <cell r="O485" t="str">
            <v>USD/小时</v>
          </cell>
          <cell r="P485">
            <v>126.72</v>
          </cell>
        </row>
        <row r="486">
          <cell r="A486" t="str">
            <v>Jamaica - Chinese employees - L0</v>
          </cell>
          <cell r="B486" t="str">
            <v>Current version</v>
          </cell>
          <cell r="C486" t="str">
            <v>V2009R2</v>
          </cell>
          <cell r="D486" t="str">
            <v>Labor Rate</v>
          </cell>
          <cell r="E486" t="str">
            <v>LA</v>
          </cell>
          <cell r="F486" t="str">
            <v>Mexico Rep.O.</v>
          </cell>
          <cell r="G486" t="str">
            <v>Jamaica</v>
          </cell>
          <cell r="H486" t="str">
            <v>6026</v>
          </cell>
          <cell r="I486" t="str">
            <v>牙买加</v>
          </cell>
          <cell r="J486" t="str">
            <v>Jamaica</v>
          </cell>
          <cell r="K486" t="str">
            <v>Chinese employees</v>
          </cell>
          <cell r="L486" t="str">
            <v>L0</v>
          </cell>
          <cell r="M486" t="str">
            <v>ALL</v>
          </cell>
          <cell r="N486" t="str">
            <v>FLPC(含奖金)</v>
          </cell>
          <cell r="O486" t="str">
            <v>USD/小时</v>
          </cell>
          <cell r="P486">
            <v>68.650000000000006</v>
          </cell>
        </row>
        <row r="487">
          <cell r="A487" t="str">
            <v>Jamaica - Chinese employees - L1</v>
          </cell>
          <cell r="B487" t="str">
            <v>Current version</v>
          </cell>
          <cell r="C487" t="str">
            <v>V2009R2</v>
          </cell>
          <cell r="D487" t="str">
            <v>Labor Rate</v>
          </cell>
          <cell r="E487" t="str">
            <v>LA</v>
          </cell>
          <cell r="F487" t="str">
            <v>Mexico Rep.O.</v>
          </cell>
          <cell r="G487" t="str">
            <v>Jamaica</v>
          </cell>
          <cell r="H487" t="str">
            <v>6026</v>
          </cell>
          <cell r="I487" t="str">
            <v>牙买加</v>
          </cell>
          <cell r="J487" t="str">
            <v>Jamaica</v>
          </cell>
          <cell r="K487" t="str">
            <v>Chinese employees</v>
          </cell>
          <cell r="L487" t="str">
            <v>L1</v>
          </cell>
          <cell r="M487" t="str">
            <v>ALL</v>
          </cell>
          <cell r="N487" t="str">
            <v>FLPC(含奖金)</v>
          </cell>
          <cell r="O487" t="str">
            <v>USD/小时</v>
          </cell>
          <cell r="P487">
            <v>74.36</v>
          </cell>
        </row>
        <row r="488">
          <cell r="A488" t="str">
            <v>Jamaica - Chinese employees - L2</v>
          </cell>
          <cell r="B488" t="str">
            <v>Current version</v>
          </cell>
          <cell r="C488" t="str">
            <v>V2009R2</v>
          </cell>
          <cell r="D488" t="str">
            <v>Labor Rate</v>
          </cell>
          <cell r="E488" t="str">
            <v>LA</v>
          </cell>
          <cell r="F488" t="str">
            <v>Mexico Rep.O.</v>
          </cell>
          <cell r="G488" t="str">
            <v>Jamaica</v>
          </cell>
          <cell r="H488" t="str">
            <v>6026</v>
          </cell>
          <cell r="I488" t="str">
            <v>牙买加</v>
          </cell>
          <cell r="J488" t="str">
            <v>Jamaica</v>
          </cell>
          <cell r="K488" t="str">
            <v>Chinese employees</v>
          </cell>
          <cell r="L488" t="str">
            <v>L2</v>
          </cell>
          <cell r="M488" t="str">
            <v>ALL</v>
          </cell>
          <cell r="N488" t="str">
            <v>FLPC(含奖金)</v>
          </cell>
          <cell r="O488" t="str">
            <v>USD/小时</v>
          </cell>
          <cell r="P488">
            <v>81.75</v>
          </cell>
        </row>
        <row r="489">
          <cell r="A489" t="str">
            <v>Jamaica - Chinese employees - L3</v>
          </cell>
          <cell r="B489" t="str">
            <v>Current version</v>
          </cell>
          <cell r="C489" t="str">
            <v>V2009R2</v>
          </cell>
          <cell r="D489" t="str">
            <v>Labor Rate</v>
          </cell>
          <cell r="E489" t="str">
            <v>LA</v>
          </cell>
          <cell r="F489" t="str">
            <v>Mexico Rep.O.</v>
          </cell>
          <cell r="G489" t="str">
            <v>Jamaica</v>
          </cell>
          <cell r="H489" t="str">
            <v>6026</v>
          </cell>
          <cell r="I489" t="str">
            <v>牙买加</v>
          </cell>
          <cell r="J489" t="str">
            <v>Jamaica</v>
          </cell>
          <cell r="K489" t="str">
            <v>Chinese employees</v>
          </cell>
          <cell r="L489" t="str">
            <v>L3</v>
          </cell>
          <cell r="M489" t="str">
            <v>ALL</v>
          </cell>
          <cell r="N489" t="str">
            <v>FLPC(含奖金)</v>
          </cell>
          <cell r="O489" t="str">
            <v>USD/小时</v>
          </cell>
          <cell r="P489">
            <v>92.34</v>
          </cell>
        </row>
        <row r="490">
          <cell r="A490" t="str">
            <v>Jamaica - Chinese employees - L4</v>
          </cell>
          <cell r="B490" t="str">
            <v>Current version</v>
          </cell>
          <cell r="C490" t="str">
            <v>V2009R2</v>
          </cell>
          <cell r="D490" t="str">
            <v>Labor Rate</v>
          </cell>
          <cell r="E490" t="str">
            <v>LA</v>
          </cell>
          <cell r="F490" t="str">
            <v>Mexico Rep.O.</v>
          </cell>
          <cell r="G490" t="str">
            <v>Jamaica</v>
          </cell>
          <cell r="H490" t="str">
            <v>6026</v>
          </cell>
          <cell r="I490" t="str">
            <v>牙买加</v>
          </cell>
          <cell r="J490" t="str">
            <v>Jamaica</v>
          </cell>
          <cell r="K490" t="str">
            <v>Chinese employees</v>
          </cell>
          <cell r="L490" t="str">
            <v>L4</v>
          </cell>
          <cell r="M490" t="str">
            <v>ALL</v>
          </cell>
          <cell r="N490" t="str">
            <v>FLPC(含奖金)</v>
          </cell>
          <cell r="O490" t="str">
            <v>USD/小时</v>
          </cell>
          <cell r="P490">
            <v>130.47</v>
          </cell>
        </row>
        <row r="491">
          <cell r="A491" t="str">
            <v>Honduras - Chinese employees - L0</v>
          </cell>
          <cell r="B491" t="str">
            <v>Current version</v>
          </cell>
          <cell r="C491" t="str">
            <v>V2009R2</v>
          </cell>
          <cell r="D491" t="str">
            <v>Labor Rate</v>
          </cell>
          <cell r="E491" t="str">
            <v>LA</v>
          </cell>
          <cell r="F491" t="str">
            <v>Mexico Rep.O.</v>
          </cell>
          <cell r="G491" t="str">
            <v>Honduras</v>
          </cell>
          <cell r="H491" t="str">
            <v>6015</v>
          </cell>
          <cell r="I491" t="str">
            <v>洪都拉斯</v>
          </cell>
          <cell r="J491" t="str">
            <v>Honduras</v>
          </cell>
          <cell r="K491" t="str">
            <v>Chinese employees</v>
          </cell>
          <cell r="L491" t="str">
            <v>L0</v>
          </cell>
          <cell r="M491" t="str">
            <v>ALL</v>
          </cell>
          <cell r="N491" t="str">
            <v>FLPC(含奖金)</v>
          </cell>
          <cell r="O491" t="str">
            <v>USD/小时</v>
          </cell>
          <cell r="P491">
            <v>69.19</v>
          </cell>
        </row>
        <row r="492">
          <cell r="A492" t="str">
            <v>Honduras - Chinese employees - L1</v>
          </cell>
          <cell r="B492" t="str">
            <v>Current version</v>
          </cell>
          <cell r="C492" t="str">
            <v>V2009R2</v>
          </cell>
          <cell r="D492" t="str">
            <v>Labor Rate</v>
          </cell>
          <cell r="E492" t="str">
            <v>LA</v>
          </cell>
          <cell r="F492" t="str">
            <v>Mexico Rep.O.</v>
          </cell>
          <cell r="G492" t="str">
            <v>Honduras</v>
          </cell>
          <cell r="H492" t="str">
            <v>6015</v>
          </cell>
          <cell r="I492" t="str">
            <v>洪都拉斯</v>
          </cell>
          <cell r="J492" t="str">
            <v>Honduras</v>
          </cell>
          <cell r="K492" t="str">
            <v>Chinese employees</v>
          </cell>
          <cell r="L492" t="str">
            <v>L1</v>
          </cell>
          <cell r="M492" t="str">
            <v>ALL</v>
          </cell>
          <cell r="N492" t="str">
            <v>FLPC(含奖金)</v>
          </cell>
          <cell r="O492" t="str">
            <v>USD/小时</v>
          </cell>
          <cell r="P492">
            <v>74.95</v>
          </cell>
        </row>
        <row r="493">
          <cell r="A493" t="str">
            <v>Honduras - Chinese employees - L2</v>
          </cell>
          <cell r="B493" t="str">
            <v>Current version</v>
          </cell>
          <cell r="C493" t="str">
            <v>V2009R2</v>
          </cell>
          <cell r="D493" t="str">
            <v>Labor Rate</v>
          </cell>
          <cell r="E493" t="str">
            <v>LA</v>
          </cell>
          <cell r="F493" t="str">
            <v>Mexico Rep.O.</v>
          </cell>
          <cell r="G493" t="str">
            <v>Honduras</v>
          </cell>
          <cell r="H493" t="str">
            <v>6015</v>
          </cell>
          <cell r="I493" t="str">
            <v>洪都拉斯</v>
          </cell>
          <cell r="J493" t="str">
            <v>Honduras</v>
          </cell>
          <cell r="K493" t="str">
            <v>Chinese employees</v>
          </cell>
          <cell r="L493" t="str">
            <v>L2</v>
          </cell>
          <cell r="M493" t="str">
            <v>ALL</v>
          </cell>
          <cell r="N493" t="str">
            <v>FLPC(含奖金)</v>
          </cell>
          <cell r="O493" t="str">
            <v>USD/小时</v>
          </cell>
          <cell r="P493">
            <v>82.4</v>
          </cell>
        </row>
        <row r="494">
          <cell r="A494" t="str">
            <v>Honduras - Chinese employees - L3</v>
          </cell>
          <cell r="B494" t="str">
            <v>Current version</v>
          </cell>
          <cell r="C494" t="str">
            <v>V2009R2</v>
          </cell>
          <cell r="D494" t="str">
            <v>Labor Rate</v>
          </cell>
          <cell r="E494" t="str">
            <v>LA</v>
          </cell>
          <cell r="F494" t="str">
            <v>Mexico Rep.O.</v>
          </cell>
          <cell r="G494" t="str">
            <v>Honduras</v>
          </cell>
          <cell r="H494" t="str">
            <v>6015</v>
          </cell>
          <cell r="I494" t="str">
            <v>洪都拉斯</v>
          </cell>
          <cell r="J494" t="str">
            <v>Honduras</v>
          </cell>
          <cell r="K494" t="str">
            <v>Chinese employees</v>
          </cell>
          <cell r="L494" t="str">
            <v>L3</v>
          </cell>
          <cell r="M494" t="str">
            <v>ALL</v>
          </cell>
          <cell r="N494" t="str">
            <v>FLPC(含奖金)</v>
          </cell>
          <cell r="O494" t="str">
            <v>USD/小时</v>
          </cell>
          <cell r="P494">
            <v>93.07</v>
          </cell>
        </row>
        <row r="495">
          <cell r="A495" t="str">
            <v>Honduras - Chinese employees - L4</v>
          </cell>
          <cell r="B495" t="str">
            <v>Current version</v>
          </cell>
          <cell r="C495" t="str">
            <v>V2009R2</v>
          </cell>
          <cell r="D495" t="str">
            <v>Labor Rate</v>
          </cell>
          <cell r="E495" t="str">
            <v>LA</v>
          </cell>
          <cell r="F495" t="str">
            <v>Mexico Rep.O.</v>
          </cell>
          <cell r="G495" t="str">
            <v>Honduras</v>
          </cell>
          <cell r="H495" t="str">
            <v>6015</v>
          </cell>
          <cell r="I495" t="str">
            <v>洪都拉斯</v>
          </cell>
          <cell r="J495" t="str">
            <v>Honduras</v>
          </cell>
          <cell r="K495" t="str">
            <v>Chinese employees</v>
          </cell>
          <cell r="L495" t="str">
            <v>L4</v>
          </cell>
          <cell r="M495" t="str">
            <v>ALL</v>
          </cell>
          <cell r="N495" t="str">
            <v>FLPC(含奖金)</v>
          </cell>
          <cell r="O495" t="str">
            <v>USD/小时</v>
          </cell>
          <cell r="P495">
            <v>131.51</v>
          </cell>
        </row>
        <row r="496">
          <cell r="A496" t="str">
            <v>Guatemala - Chinese employees - L0</v>
          </cell>
          <cell r="B496" t="str">
            <v>Current version</v>
          </cell>
          <cell r="C496" t="str">
            <v>V2009R2</v>
          </cell>
          <cell r="D496" t="str">
            <v>Labor Rate</v>
          </cell>
          <cell r="E496" t="str">
            <v>LA</v>
          </cell>
          <cell r="F496" t="str">
            <v>Mexico Rep.O.</v>
          </cell>
          <cell r="G496" t="str">
            <v>Guatemala</v>
          </cell>
          <cell r="H496" t="str">
            <v>6031</v>
          </cell>
          <cell r="I496" t="str">
            <v>危地马拉</v>
          </cell>
          <cell r="J496" t="str">
            <v>Guatemala</v>
          </cell>
          <cell r="K496" t="str">
            <v>Chinese employees</v>
          </cell>
          <cell r="L496" t="str">
            <v>L0</v>
          </cell>
          <cell r="M496" t="str">
            <v>ALL</v>
          </cell>
          <cell r="N496" t="str">
            <v>FLPC(含奖金)</v>
          </cell>
          <cell r="O496" t="str">
            <v>USD/小时</v>
          </cell>
          <cell r="P496">
            <v>69.19</v>
          </cell>
        </row>
        <row r="497">
          <cell r="A497" t="str">
            <v>Guatemala - Chinese employees - L1</v>
          </cell>
          <cell r="B497" t="str">
            <v>Current version</v>
          </cell>
          <cell r="C497" t="str">
            <v>V2009R2</v>
          </cell>
          <cell r="D497" t="str">
            <v>Labor Rate</v>
          </cell>
          <cell r="E497" t="str">
            <v>LA</v>
          </cell>
          <cell r="F497" t="str">
            <v>Mexico Rep.O.</v>
          </cell>
          <cell r="G497" t="str">
            <v>Guatemala</v>
          </cell>
          <cell r="H497" t="str">
            <v>6031</v>
          </cell>
          <cell r="I497" t="str">
            <v>危地马拉</v>
          </cell>
          <cell r="J497" t="str">
            <v>Guatemala</v>
          </cell>
          <cell r="K497" t="str">
            <v>Chinese employees</v>
          </cell>
          <cell r="L497" t="str">
            <v>L1</v>
          </cell>
          <cell r="M497" t="str">
            <v>ALL</v>
          </cell>
          <cell r="N497" t="str">
            <v>FLPC(含奖金)</v>
          </cell>
          <cell r="O497" t="str">
            <v>USD/小时</v>
          </cell>
          <cell r="P497">
            <v>74.95</v>
          </cell>
        </row>
        <row r="498">
          <cell r="A498" t="str">
            <v>Guatemala - Chinese employees - L2</v>
          </cell>
          <cell r="B498" t="str">
            <v>Current version</v>
          </cell>
          <cell r="C498" t="str">
            <v>V2009R2</v>
          </cell>
          <cell r="D498" t="str">
            <v>Labor Rate</v>
          </cell>
          <cell r="E498" t="str">
            <v>LA</v>
          </cell>
          <cell r="F498" t="str">
            <v>Mexico Rep.O.</v>
          </cell>
          <cell r="G498" t="str">
            <v>Guatemala</v>
          </cell>
          <cell r="H498" t="str">
            <v>6031</v>
          </cell>
          <cell r="I498" t="str">
            <v>危地马拉</v>
          </cell>
          <cell r="J498" t="str">
            <v>Guatemala</v>
          </cell>
          <cell r="K498" t="str">
            <v>Chinese employees</v>
          </cell>
          <cell r="L498" t="str">
            <v>L2</v>
          </cell>
          <cell r="M498" t="str">
            <v>ALL</v>
          </cell>
          <cell r="N498" t="str">
            <v>FLPC(含奖金)</v>
          </cell>
          <cell r="O498" t="str">
            <v>USD/小时</v>
          </cell>
          <cell r="P498">
            <v>82.4</v>
          </cell>
        </row>
        <row r="499">
          <cell r="A499" t="str">
            <v>Guatemala - Chinese employees - L3</v>
          </cell>
          <cell r="B499" t="str">
            <v>Current version</v>
          </cell>
          <cell r="C499" t="str">
            <v>V2009R2</v>
          </cell>
          <cell r="D499" t="str">
            <v>Labor Rate</v>
          </cell>
          <cell r="E499" t="str">
            <v>LA</v>
          </cell>
          <cell r="F499" t="str">
            <v>Mexico Rep.O.</v>
          </cell>
          <cell r="G499" t="str">
            <v>Guatemala</v>
          </cell>
          <cell r="H499" t="str">
            <v>6031</v>
          </cell>
          <cell r="I499" t="str">
            <v>危地马拉</v>
          </cell>
          <cell r="J499" t="str">
            <v>Guatemala</v>
          </cell>
          <cell r="K499" t="str">
            <v>Chinese employees</v>
          </cell>
          <cell r="L499" t="str">
            <v>L3</v>
          </cell>
          <cell r="M499" t="str">
            <v>ALL</v>
          </cell>
          <cell r="N499" t="str">
            <v>FLPC(含奖金)</v>
          </cell>
          <cell r="O499" t="str">
            <v>USD/小时</v>
          </cell>
          <cell r="P499">
            <v>93.07</v>
          </cell>
        </row>
        <row r="500">
          <cell r="A500" t="str">
            <v>Guatemala - Chinese employees - L4</v>
          </cell>
          <cell r="B500" t="str">
            <v>Current version</v>
          </cell>
          <cell r="C500" t="str">
            <v>V2009R2</v>
          </cell>
          <cell r="D500" t="str">
            <v>Labor Rate</v>
          </cell>
          <cell r="E500" t="str">
            <v>LA</v>
          </cell>
          <cell r="F500" t="str">
            <v>Mexico Rep.O.</v>
          </cell>
          <cell r="G500" t="str">
            <v>Guatemala</v>
          </cell>
          <cell r="H500" t="str">
            <v>6031</v>
          </cell>
          <cell r="I500" t="str">
            <v>危地马拉</v>
          </cell>
          <cell r="J500" t="str">
            <v>Guatemala</v>
          </cell>
          <cell r="K500" t="str">
            <v>Chinese employees</v>
          </cell>
          <cell r="L500" t="str">
            <v>L4</v>
          </cell>
          <cell r="M500" t="str">
            <v>ALL</v>
          </cell>
          <cell r="N500" t="str">
            <v>FLPC(含奖金)</v>
          </cell>
          <cell r="O500" t="str">
            <v>USD/小时</v>
          </cell>
          <cell r="P500">
            <v>131.51</v>
          </cell>
        </row>
        <row r="501">
          <cell r="A501" t="str">
            <v>Dominica - Chinese employees - L0</v>
          </cell>
          <cell r="B501" t="str">
            <v>Current version</v>
          </cell>
          <cell r="C501" t="str">
            <v>V2009R2</v>
          </cell>
          <cell r="D501" t="str">
            <v>Labor Rate</v>
          </cell>
          <cell r="E501" t="str">
            <v>LA</v>
          </cell>
          <cell r="F501" t="str">
            <v>Mexico Rep.O.</v>
          </cell>
          <cell r="G501" t="str">
            <v>Dominica</v>
          </cell>
          <cell r="H501" t="str">
            <v>6040</v>
          </cell>
          <cell r="I501" t="str">
            <v>多米尼加</v>
          </cell>
          <cell r="J501" t="str">
            <v>Dominica</v>
          </cell>
          <cell r="K501" t="str">
            <v>Chinese employees</v>
          </cell>
          <cell r="L501" t="str">
            <v>L0</v>
          </cell>
          <cell r="M501" t="str">
            <v>ALL</v>
          </cell>
          <cell r="N501" t="str">
            <v>FLPC(含奖金)</v>
          </cell>
          <cell r="O501" t="str">
            <v>USD/小时</v>
          </cell>
          <cell r="P501">
            <v>69.02</v>
          </cell>
        </row>
        <row r="502">
          <cell r="A502" t="str">
            <v>Dominica - Chinese employees - L1</v>
          </cell>
          <cell r="B502" t="str">
            <v>Current version</v>
          </cell>
          <cell r="C502" t="str">
            <v>V2009R2</v>
          </cell>
          <cell r="D502" t="str">
            <v>Labor Rate</v>
          </cell>
          <cell r="E502" t="str">
            <v>LA</v>
          </cell>
          <cell r="F502" t="str">
            <v>Mexico Rep.O.</v>
          </cell>
          <cell r="G502" t="str">
            <v>Dominica</v>
          </cell>
          <cell r="H502" t="str">
            <v>6040</v>
          </cell>
          <cell r="I502" t="str">
            <v>多米尼加</v>
          </cell>
          <cell r="J502" t="str">
            <v>Dominica</v>
          </cell>
          <cell r="K502" t="str">
            <v>Chinese employees</v>
          </cell>
          <cell r="L502" t="str">
            <v>L1</v>
          </cell>
          <cell r="M502" t="str">
            <v>ALL</v>
          </cell>
          <cell r="N502" t="str">
            <v>FLPC(含奖金)</v>
          </cell>
          <cell r="O502" t="str">
            <v>USD/小时</v>
          </cell>
          <cell r="P502">
            <v>74.760000000000005</v>
          </cell>
        </row>
        <row r="503">
          <cell r="A503" t="str">
            <v>Dominica - Chinese employees - L2</v>
          </cell>
          <cell r="B503" t="str">
            <v>Current version</v>
          </cell>
          <cell r="C503" t="str">
            <v>V2009R2</v>
          </cell>
          <cell r="D503" t="str">
            <v>Labor Rate</v>
          </cell>
          <cell r="E503" t="str">
            <v>LA</v>
          </cell>
          <cell r="F503" t="str">
            <v>Mexico Rep.O.</v>
          </cell>
          <cell r="G503" t="str">
            <v>Dominica</v>
          </cell>
          <cell r="H503" t="str">
            <v>6040</v>
          </cell>
          <cell r="I503" t="str">
            <v>多米尼加</v>
          </cell>
          <cell r="J503" t="str">
            <v>Dominica</v>
          </cell>
          <cell r="K503" t="str">
            <v>Chinese employees</v>
          </cell>
          <cell r="L503" t="str">
            <v>L2</v>
          </cell>
          <cell r="M503" t="str">
            <v>ALL</v>
          </cell>
          <cell r="N503" t="str">
            <v>FLPC(含奖金)</v>
          </cell>
          <cell r="O503" t="str">
            <v>USD/小时</v>
          </cell>
          <cell r="P503">
            <v>82.2</v>
          </cell>
        </row>
        <row r="504">
          <cell r="A504" t="str">
            <v>Dominica - Chinese employees - L3</v>
          </cell>
          <cell r="B504" t="str">
            <v>Current version</v>
          </cell>
          <cell r="C504" t="str">
            <v>V2009R2</v>
          </cell>
          <cell r="D504" t="str">
            <v>Labor Rate</v>
          </cell>
          <cell r="E504" t="str">
            <v>LA</v>
          </cell>
          <cell r="F504" t="str">
            <v>Mexico Rep.O.</v>
          </cell>
          <cell r="G504" t="str">
            <v>Dominica</v>
          </cell>
          <cell r="H504" t="str">
            <v>6040</v>
          </cell>
          <cell r="I504" t="str">
            <v>多米尼加</v>
          </cell>
          <cell r="J504" t="str">
            <v>Dominica</v>
          </cell>
          <cell r="K504" t="str">
            <v>Chinese employees</v>
          </cell>
          <cell r="L504" t="str">
            <v>L3</v>
          </cell>
          <cell r="M504" t="str">
            <v>ALL</v>
          </cell>
          <cell r="N504" t="str">
            <v>FLPC(含奖金)</v>
          </cell>
          <cell r="O504" t="str">
            <v>USD/小时</v>
          </cell>
          <cell r="P504">
            <v>92.84</v>
          </cell>
        </row>
        <row r="505">
          <cell r="A505" t="str">
            <v>Kiribati - Chinese employees - L4</v>
          </cell>
          <cell r="B505" t="str">
            <v>Current version</v>
          </cell>
          <cell r="C505" t="str">
            <v>V2009R2</v>
          </cell>
          <cell r="D505" t="str">
            <v>Labor Rate</v>
          </cell>
          <cell r="E505" t="str">
            <v>AP</v>
          </cell>
          <cell r="F505" t="str">
            <v>Southern Pacific Sub-Regional Division</v>
          </cell>
          <cell r="G505" t="str">
            <v>Australia Rep.O.</v>
          </cell>
          <cell r="H505" t="str">
            <v>1231</v>
          </cell>
          <cell r="I505" t="str">
            <v>基里巴斯</v>
          </cell>
          <cell r="J505" t="str">
            <v>Kiribati</v>
          </cell>
          <cell r="K505" t="str">
            <v>Chinese employees</v>
          </cell>
          <cell r="L505" t="str">
            <v>L4</v>
          </cell>
          <cell r="M505" t="str">
            <v>ALL</v>
          </cell>
          <cell r="N505" t="str">
            <v>FLPC(含奖金)</v>
          </cell>
          <cell r="O505" t="str">
            <v>USD/小时</v>
          </cell>
          <cell r="P505">
            <v>137.65</v>
          </cell>
        </row>
        <row r="506">
          <cell r="A506" t="str">
            <v>Cook Islands - Chinese employees - L0</v>
          </cell>
          <cell r="B506" t="str">
            <v>Current version</v>
          </cell>
          <cell r="C506" t="str">
            <v>V2009R2</v>
          </cell>
          <cell r="D506" t="str">
            <v>Labor Rate</v>
          </cell>
          <cell r="E506" t="str">
            <v>AP</v>
          </cell>
          <cell r="F506" t="str">
            <v>Southern Pacific Sub-Regional Division</v>
          </cell>
          <cell r="G506" t="str">
            <v>Australia Rep.O.</v>
          </cell>
          <cell r="H506" t="str">
            <v>1232</v>
          </cell>
          <cell r="I506" t="str">
            <v>库克群岛</v>
          </cell>
          <cell r="J506" t="str">
            <v>Cook Islands</v>
          </cell>
          <cell r="K506" t="str">
            <v>Chinese employees</v>
          </cell>
          <cell r="L506" t="str">
            <v>L0</v>
          </cell>
          <cell r="M506" t="str">
            <v>ALL</v>
          </cell>
          <cell r="N506" t="str">
            <v>FLPC(含奖金)</v>
          </cell>
          <cell r="O506" t="str">
            <v>USD/小时</v>
          </cell>
          <cell r="P506">
            <v>55.22</v>
          </cell>
        </row>
        <row r="507">
          <cell r="A507" t="str">
            <v>Cook Islands - Chinese employees - L1</v>
          </cell>
          <cell r="B507" t="str">
            <v>Current version</v>
          </cell>
          <cell r="C507" t="str">
            <v>V2009R2</v>
          </cell>
          <cell r="D507" t="str">
            <v>Labor Rate</v>
          </cell>
          <cell r="E507" t="str">
            <v>AP</v>
          </cell>
          <cell r="F507" t="str">
            <v>Southern Pacific Sub-Regional Division</v>
          </cell>
          <cell r="G507" t="str">
            <v>Australia Rep.O.</v>
          </cell>
          <cell r="H507" t="str">
            <v>1232</v>
          </cell>
          <cell r="I507" t="str">
            <v>库克群岛</v>
          </cell>
          <cell r="J507" t="str">
            <v>Cook Islands</v>
          </cell>
          <cell r="K507" t="str">
            <v>Chinese employees</v>
          </cell>
          <cell r="L507" t="str">
            <v>L1</v>
          </cell>
          <cell r="M507" t="str">
            <v>ALL</v>
          </cell>
          <cell r="N507" t="str">
            <v>FLPC(含奖金)</v>
          </cell>
          <cell r="O507" t="str">
            <v>USD/小时</v>
          </cell>
          <cell r="P507">
            <v>72.11</v>
          </cell>
        </row>
        <row r="508">
          <cell r="A508" t="str">
            <v>Cook Islands - Chinese employees - L2</v>
          </cell>
          <cell r="B508" t="str">
            <v>Current version</v>
          </cell>
          <cell r="C508" t="str">
            <v>V2009R2</v>
          </cell>
          <cell r="D508" t="str">
            <v>Labor Rate</v>
          </cell>
          <cell r="E508" t="str">
            <v>AP</v>
          </cell>
          <cell r="F508" t="str">
            <v>Southern Pacific Sub-Regional Division</v>
          </cell>
          <cell r="G508" t="str">
            <v>Australia Rep.O.</v>
          </cell>
          <cell r="H508" t="str">
            <v>1232</v>
          </cell>
          <cell r="I508" t="str">
            <v>库克群岛</v>
          </cell>
          <cell r="J508" t="str">
            <v>Cook Islands</v>
          </cell>
          <cell r="K508" t="str">
            <v>Chinese employees</v>
          </cell>
          <cell r="L508" t="str">
            <v>L2</v>
          </cell>
          <cell r="M508" t="str">
            <v>ALL</v>
          </cell>
          <cell r="N508" t="str">
            <v>FLPC(含奖金)</v>
          </cell>
          <cell r="O508" t="str">
            <v>USD/小时</v>
          </cell>
          <cell r="P508">
            <v>79.67</v>
          </cell>
        </row>
        <row r="509">
          <cell r="A509" t="str">
            <v>Cook Islands - Chinese employees - L3</v>
          </cell>
          <cell r="B509" t="str">
            <v>Current version</v>
          </cell>
          <cell r="C509" t="str">
            <v>V2009R2</v>
          </cell>
          <cell r="D509" t="str">
            <v>Labor Rate</v>
          </cell>
          <cell r="E509" t="str">
            <v>AP</v>
          </cell>
          <cell r="F509" t="str">
            <v>Southern Pacific Sub-Regional Division</v>
          </cell>
          <cell r="G509" t="str">
            <v>Australia Rep.O.</v>
          </cell>
          <cell r="H509" t="str">
            <v>1232</v>
          </cell>
          <cell r="I509" t="str">
            <v>库克群岛</v>
          </cell>
          <cell r="J509" t="str">
            <v>Cook Islands</v>
          </cell>
          <cell r="K509" t="str">
            <v>Chinese employees</v>
          </cell>
          <cell r="L509" t="str">
            <v>L3</v>
          </cell>
          <cell r="M509" t="str">
            <v>ALL</v>
          </cell>
          <cell r="N509" t="str">
            <v>FLPC(含奖金)</v>
          </cell>
          <cell r="O509" t="str">
            <v>USD/小时</v>
          </cell>
          <cell r="P509">
            <v>92.88</v>
          </cell>
        </row>
        <row r="510">
          <cell r="A510" t="str">
            <v>Cook Islands - Chinese employees - L4</v>
          </cell>
          <cell r="B510" t="str">
            <v>Current version</v>
          </cell>
          <cell r="C510" t="str">
            <v>V2009R2</v>
          </cell>
          <cell r="D510" t="str">
            <v>Labor Rate</v>
          </cell>
          <cell r="E510" t="str">
            <v>AP</v>
          </cell>
          <cell r="F510" t="str">
            <v>Southern Pacific Sub-Regional Division</v>
          </cell>
          <cell r="G510" t="str">
            <v>Australia Rep.O.</v>
          </cell>
          <cell r="H510" t="str">
            <v>1232</v>
          </cell>
          <cell r="I510" t="str">
            <v>库克群岛</v>
          </cell>
          <cell r="J510" t="str">
            <v>Cook Islands</v>
          </cell>
          <cell r="K510" t="str">
            <v>Chinese employees</v>
          </cell>
          <cell r="L510" t="str">
            <v>L4</v>
          </cell>
          <cell r="M510" t="str">
            <v>ALL</v>
          </cell>
          <cell r="N510" t="str">
            <v>FLPC(含奖金)</v>
          </cell>
          <cell r="O510" t="str">
            <v>USD/小时</v>
          </cell>
          <cell r="P510">
            <v>137.65</v>
          </cell>
        </row>
        <row r="511">
          <cell r="A511" t="str">
            <v>Marshall Islands - Chinese employees - L0</v>
          </cell>
          <cell r="B511" t="str">
            <v>Current version</v>
          </cell>
          <cell r="C511" t="str">
            <v>V2009R2</v>
          </cell>
          <cell r="D511" t="str">
            <v>Labor Rate</v>
          </cell>
          <cell r="E511" t="str">
            <v>AP</v>
          </cell>
          <cell r="F511" t="str">
            <v>Southern Pacific Sub-Regional Division</v>
          </cell>
          <cell r="G511" t="str">
            <v>Australia Rep.O.</v>
          </cell>
          <cell r="H511" t="str">
            <v>1233</v>
          </cell>
          <cell r="I511" t="str">
            <v>马绍尔群岛</v>
          </cell>
          <cell r="J511" t="str">
            <v>Marshall Islands</v>
          </cell>
          <cell r="K511" t="str">
            <v>Chinese employees</v>
          </cell>
          <cell r="L511" t="str">
            <v>L0</v>
          </cell>
          <cell r="M511" t="str">
            <v>ALL</v>
          </cell>
          <cell r="N511" t="str">
            <v>FLPC(含奖金)</v>
          </cell>
          <cell r="O511" t="str">
            <v>USD/小时</v>
          </cell>
          <cell r="P511">
            <v>55.22</v>
          </cell>
        </row>
        <row r="512">
          <cell r="A512" t="str">
            <v>Marshall Islands - Chinese employees - L1</v>
          </cell>
          <cell r="B512" t="str">
            <v>Current version</v>
          </cell>
          <cell r="C512" t="str">
            <v>V2009R2</v>
          </cell>
          <cell r="D512" t="str">
            <v>Labor Rate</v>
          </cell>
          <cell r="E512" t="str">
            <v>AP</v>
          </cell>
          <cell r="F512" t="str">
            <v>Southern Pacific Sub-Regional Division</v>
          </cell>
          <cell r="G512" t="str">
            <v>Australia Rep.O.</v>
          </cell>
          <cell r="H512" t="str">
            <v>1233</v>
          </cell>
          <cell r="I512" t="str">
            <v>马绍尔群岛</v>
          </cell>
          <cell r="J512" t="str">
            <v>Marshall Islands</v>
          </cell>
          <cell r="K512" t="str">
            <v>Chinese employees</v>
          </cell>
          <cell r="L512" t="str">
            <v>L1</v>
          </cell>
          <cell r="M512" t="str">
            <v>ALL</v>
          </cell>
          <cell r="N512" t="str">
            <v>FLPC(含奖金)</v>
          </cell>
          <cell r="O512" t="str">
            <v>USD/小时</v>
          </cell>
          <cell r="P512">
            <v>72.11</v>
          </cell>
        </row>
        <row r="513">
          <cell r="A513" t="str">
            <v>Marshall Islands - Chinese employees - L2</v>
          </cell>
          <cell r="B513" t="str">
            <v>Current version</v>
          </cell>
          <cell r="C513" t="str">
            <v>V2009R2</v>
          </cell>
          <cell r="D513" t="str">
            <v>Labor Rate</v>
          </cell>
          <cell r="E513" t="str">
            <v>AP</v>
          </cell>
          <cell r="F513" t="str">
            <v>Southern Pacific Sub-Regional Division</v>
          </cell>
          <cell r="G513" t="str">
            <v>Australia Rep.O.</v>
          </cell>
          <cell r="H513" t="str">
            <v>1233</v>
          </cell>
          <cell r="I513" t="str">
            <v>马绍尔群岛</v>
          </cell>
          <cell r="J513" t="str">
            <v>Marshall Islands</v>
          </cell>
          <cell r="K513" t="str">
            <v>Chinese employees</v>
          </cell>
          <cell r="L513" t="str">
            <v>L2</v>
          </cell>
          <cell r="M513" t="str">
            <v>ALL</v>
          </cell>
          <cell r="N513" t="str">
            <v>FLPC(含奖金)</v>
          </cell>
          <cell r="O513" t="str">
            <v>USD/小时</v>
          </cell>
          <cell r="P513">
            <v>79.67</v>
          </cell>
        </row>
        <row r="514">
          <cell r="A514" t="str">
            <v>Marshall Islands - Chinese employees - L3</v>
          </cell>
          <cell r="B514" t="str">
            <v>Current version</v>
          </cell>
          <cell r="C514" t="str">
            <v>V2009R2</v>
          </cell>
          <cell r="D514" t="str">
            <v>Labor Rate</v>
          </cell>
          <cell r="E514" t="str">
            <v>AP</v>
          </cell>
          <cell r="F514" t="str">
            <v>Southern Pacific Sub-Regional Division</v>
          </cell>
          <cell r="G514" t="str">
            <v>Australia Rep.O.</v>
          </cell>
          <cell r="H514" t="str">
            <v>1233</v>
          </cell>
          <cell r="I514" t="str">
            <v>马绍尔群岛</v>
          </cell>
          <cell r="J514" t="str">
            <v>Marshall Islands</v>
          </cell>
          <cell r="K514" t="str">
            <v>Chinese employees</v>
          </cell>
          <cell r="L514" t="str">
            <v>L3</v>
          </cell>
          <cell r="M514" t="str">
            <v>ALL</v>
          </cell>
          <cell r="N514" t="str">
            <v>FLPC(含奖金)</v>
          </cell>
          <cell r="O514" t="str">
            <v>USD/小时</v>
          </cell>
          <cell r="P514">
            <v>92.88</v>
          </cell>
        </row>
        <row r="515">
          <cell r="A515" t="str">
            <v>Marshall Islands - Chinese employees - L4</v>
          </cell>
          <cell r="B515" t="str">
            <v>Current version</v>
          </cell>
          <cell r="C515" t="str">
            <v>V2009R2</v>
          </cell>
          <cell r="D515" t="str">
            <v>Labor Rate</v>
          </cell>
          <cell r="E515" t="str">
            <v>AP</v>
          </cell>
          <cell r="F515" t="str">
            <v>Southern Pacific Sub-Regional Division</v>
          </cell>
          <cell r="G515" t="str">
            <v>Australia Rep.O.</v>
          </cell>
          <cell r="H515" t="str">
            <v>1233</v>
          </cell>
          <cell r="I515" t="str">
            <v>马绍尔群岛</v>
          </cell>
          <cell r="J515" t="str">
            <v>Marshall Islands</v>
          </cell>
          <cell r="K515" t="str">
            <v>Chinese employees</v>
          </cell>
          <cell r="L515" t="str">
            <v>L4</v>
          </cell>
          <cell r="M515" t="str">
            <v>ALL</v>
          </cell>
          <cell r="N515" t="str">
            <v>FLPC(含奖金)</v>
          </cell>
          <cell r="O515" t="str">
            <v>USD/小时</v>
          </cell>
          <cell r="P515">
            <v>137.65</v>
          </cell>
        </row>
        <row r="516">
          <cell r="A516" t="str">
            <v>Taiwan - Chinese employees - L0</v>
          </cell>
          <cell r="B516" t="str">
            <v>Current version</v>
          </cell>
          <cell r="C516" t="str">
            <v>V2009R2</v>
          </cell>
          <cell r="D516" t="str">
            <v>Labor Rate</v>
          </cell>
          <cell r="E516" t="str">
            <v>AP</v>
          </cell>
          <cell r="F516" t="str">
            <v>Eastern Asia Sub-Regional Division</v>
          </cell>
          <cell r="G516" t="str">
            <v>Taiwan</v>
          </cell>
          <cell r="H516" t="str">
            <v>1101</v>
          </cell>
          <cell r="I516" t="str">
            <v>台湾</v>
          </cell>
          <cell r="J516" t="str">
            <v>Taiwan</v>
          </cell>
          <cell r="K516" t="str">
            <v>Chinese employees</v>
          </cell>
          <cell r="L516" t="str">
            <v>L0</v>
          </cell>
          <cell r="M516" t="str">
            <v>ALL</v>
          </cell>
          <cell r="N516" t="str">
            <v>FLPC(含奖金)</v>
          </cell>
          <cell r="O516" t="str">
            <v>USD/小时</v>
          </cell>
          <cell r="P516">
            <v>46.08</v>
          </cell>
        </row>
        <row r="517">
          <cell r="A517" t="str">
            <v>Taiwan - Chinese employees - L1</v>
          </cell>
          <cell r="B517" t="str">
            <v>Current version</v>
          </cell>
          <cell r="C517" t="str">
            <v>V2009R2</v>
          </cell>
          <cell r="D517" t="str">
            <v>Labor Rate</v>
          </cell>
          <cell r="E517" t="str">
            <v>AP</v>
          </cell>
          <cell r="F517" t="str">
            <v>Eastern Asia Sub-Regional Division</v>
          </cell>
          <cell r="G517" t="str">
            <v>Taiwan</v>
          </cell>
          <cell r="H517" t="str">
            <v>1101</v>
          </cell>
          <cell r="I517" t="str">
            <v>台湾</v>
          </cell>
          <cell r="J517" t="str">
            <v>Taiwan</v>
          </cell>
          <cell r="K517" t="str">
            <v>Chinese employees</v>
          </cell>
          <cell r="L517" t="str">
            <v>L1</v>
          </cell>
          <cell r="M517" t="str">
            <v>ALL</v>
          </cell>
          <cell r="N517" t="str">
            <v>FLPC(含奖金)</v>
          </cell>
          <cell r="O517" t="str">
            <v>USD/小时</v>
          </cell>
          <cell r="P517">
            <v>52.32</v>
          </cell>
        </row>
        <row r="518">
          <cell r="A518" t="str">
            <v>Taiwan - Chinese employees - L2</v>
          </cell>
          <cell r="B518" t="str">
            <v>Current version</v>
          </cell>
          <cell r="C518" t="str">
            <v>V2009R2</v>
          </cell>
          <cell r="D518" t="str">
            <v>Labor Rate</v>
          </cell>
          <cell r="E518" t="str">
            <v>AP</v>
          </cell>
          <cell r="F518" t="str">
            <v>Eastern Asia Sub-Regional Division</v>
          </cell>
          <cell r="G518" t="str">
            <v>Taiwan</v>
          </cell>
          <cell r="H518" t="str">
            <v>1101</v>
          </cell>
          <cell r="I518" t="str">
            <v>台湾</v>
          </cell>
          <cell r="J518" t="str">
            <v>Taiwan</v>
          </cell>
          <cell r="K518" t="str">
            <v>Chinese employees</v>
          </cell>
          <cell r="L518" t="str">
            <v>L2</v>
          </cell>
          <cell r="M518" t="str">
            <v>ALL</v>
          </cell>
          <cell r="N518" t="str">
            <v>FLPC(含奖金)</v>
          </cell>
          <cell r="O518" t="str">
            <v>USD/小时</v>
          </cell>
          <cell r="P518">
            <v>60.41</v>
          </cell>
        </row>
        <row r="519">
          <cell r="A519" t="str">
            <v>Taiwan - Chinese employees - L3</v>
          </cell>
          <cell r="B519" t="str">
            <v>Current version</v>
          </cell>
          <cell r="C519" t="str">
            <v>V2009R2</v>
          </cell>
          <cell r="D519" t="str">
            <v>Labor Rate</v>
          </cell>
          <cell r="E519" t="str">
            <v>AP</v>
          </cell>
          <cell r="F519" t="str">
            <v>Eastern Asia Sub-Regional Division</v>
          </cell>
          <cell r="G519" t="str">
            <v>Taiwan</v>
          </cell>
          <cell r="H519" t="str">
            <v>1101</v>
          </cell>
          <cell r="I519" t="str">
            <v>台湾</v>
          </cell>
          <cell r="J519" t="str">
            <v>Taiwan</v>
          </cell>
          <cell r="K519" t="str">
            <v>Chinese employees</v>
          </cell>
          <cell r="L519" t="str">
            <v>L3</v>
          </cell>
          <cell r="M519" t="str">
            <v>ALL</v>
          </cell>
          <cell r="N519" t="str">
            <v>FLPC(含奖金)</v>
          </cell>
          <cell r="O519" t="str">
            <v>USD/小时</v>
          </cell>
          <cell r="P519">
            <v>88.19</v>
          </cell>
        </row>
        <row r="520">
          <cell r="A520" t="str">
            <v>Taiwan - Chinese employees - L4</v>
          </cell>
          <cell r="B520" t="str">
            <v>Current version</v>
          </cell>
          <cell r="C520" t="str">
            <v>V2009R2</v>
          </cell>
          <cell r="D520" t="str">
            <v>Labor Rate</v>
          </cell>
          <cell r="E520" t="str">
            <v>AP</v>
          </cell>
          <cell r="F520" t="str">
            <v>Eastern Asia Sub-Regional Division</v>
          </cell>
          <cell r="G520" t="str">
            <v>Taiwan</v>
          </cell>
          <cell r="H520" t="str">
            <v>1101</v>
          </cell>
          <cell r="I520" t="str">
            <v>台湾</v>
          </cell>
          <cell r="J520" t="str">
            <v>Taiwan</v>
          </cell>
          <cell r="K520" t="str">
            <v>Chinese employees</v>
          </cell>
          <cell r="L520" t="str">
            <v>L4</v>
          </cell>
          <cell r="M520" t="str">
            <v>ALL</v>
          </cell>
          <cell r="N520" t="str">
            <v>FLPC(含奖金)</v>
          </cell>
          <cell r="O520" t="str">
            <v>USD/小时</v>
          </cell>
          <cell r="P520">
            <v>113.71</v>
          </cell>
        </row>
        <row r="521">
          <cell r="A521" t="str">
            <v>Korea - Chinese employees - L0</v>
          </cell>
          <cell r="B521" t="str">
            <v>Current version</v>
          </cell>
          <cell r="C521" t="str">
            <v>V2009R2</v>
          </cell>
          <cell r="D521" t="str">
            <v>Labor Rate</v>
          </cell>
          <cell r="E521" t="str">
            <v>AP</v>
          </cell>
          <cell r="F521" t="str">
            <v>Eastern Asia Sub-Regional Division</v>
          </cell>
          <cell r="G521" t="str">
            <v>Korea</v>
          </cell>
          <cell r="H521" t="str">
            <v>1102</v>
          </cell>
          <cell r="I521" t="str">
            <v>韩国</v>
          </cell>
          <cell r="J521" t="str">
            <v>Korea</v>
          </cell>
          <cell r="K521" t="str">
            <v>Chinese employees</v>
          </cell>
          <cell r="L521" t="str">
            <v>L0</v>
          </cell>
          <cell r="M521" t="str">
            <v>ALL</v>
          </cell>
          <cell r="N521" t="str">
            <v>FLPC(含奖金)</v>
          </cell>
          <cell r="O521" t="str">
            <v>USD/小时</v>
          </cell>
          <cell r="P521">
            <v>50.72</v>
          </cell>
        </row>
        <row r="522">
          <cell r="A522" t="str">
            <v>Korea - Chinese employees - L1</v>
          </cell>
          <cell r="B522" t="str">
            <v>Current version</v>
          </cell>
          <cell r="C522" t="str">
            <v>V2009R2</v>
          </cell>
          <cell r="D522" t="str">
            <v>Labor Rate</v>
          </cell>
          <cell r="E522" t="str">
            <v>AP</v>
          </cell>
          <cell r="F522" t="str">
            <v>Eastern Asia Sub-Regional Division</v>
          </cell>
          <cell r="G522" t="str">
            <v>Korea</v>
          </cell>
          <cell r="H522" t="str">
            <v>1102</v>
          </cell>
          <cell r="I522" t="str">
            <v>韩国</v>
          </cell>
          <cell r="J522" t="str">
            <v>Korea</v>
          </cell>
          <cell r="K522" t="str">
            <v>Chinese employees</v>
          </cell>
          <cell r="L522" t="str">
            <v>L1</v>
          </cell>
          <cell r="M522" t="str">
            <v>ALL</v>
          </cell>
          <cell r="N522" t="str">
            <v>FLPC(含奖金)</v>
          </cell>
          <cell r="O522" t="str">
            <v>USD/小时</v>
          </cell>
          <cell r="P522">
            <v>57.01</v>
          </cell>
        </row>
        <row r="523">
          <cell r="A523" t="str">
            <v>Korea - Chinese employees - L2</v>
          </cell>
          <cell r="B523" t="str">
            <v>Current version</v>
          </cell>
          <cell r="C523" t="str">
            <v>V2009R2</v>
          </cell>
          <cell r="D523" t="str">
            <v>Labor Rate</v>
          </cell>
          <cell r="E523" t="str">
            <v>AP</v>
          </cell>
          <cell r="F523" t="str">
            <v>Eastern Asia Sub-Regional Division</v>
          </cell>
          <cell r="G523" t="str">
            <v>Korea</v>
          </cell>
          <cell r="H523" t="str">
            <v>1102</v>
          </cell>
          <cell r="I523" t="str">
            <v>韩国</v>
          </cell>
          <cell r="J523" t="str">
            <v>Korea</v>
          </cell>
          <cell r="K523" t="str">
            <v>Chinese employees</v>
          </cell>
          <cell r="L523" t="str">
            <v>L2</v>
          </cell>
          <cell r="M523" t="str">
            <v>ALL</v>
          </cell>
          <cell r="N523" t="str">
            <v>FLPC(含奖金)</v>
          </cell>
          <cell r="O523" t="str">
            <v>USD/小时</v>
          </cell>
          <cell r="P523">
            <v>65.17</v>
          </cell>
        </row>
        <row r="524">
          <cell r="A524" t="str">
            <v>Korea - Chinese employees - L3</v>
          </cell>
          <cell r="B524" t="str">
            <v>Current version</v>
          </cell>
          <cell r="C524" t="str">
            <v>V2009R2</v>
          </cell>
          <cell r="D524" t="str">
            <v>Labor Rate</v>
          </cell>
          <cell r="E524" t="str">
            <v>AP</v>
          </cell>
          <cell r="F524" t="str">
            <v>Eastern Asia Sub-Regional Division</v>
          </cell>
          <cell r="G524" t="str">
            <v>Korea</v>
          </cell>
          <cell r="H524" t="str">
            <v>1102</v>
          </cell>
          <cell r="I524" t="str">
            <v>韩国</v>
          </cell>
          <cell r="J524" t="str">
            <v>Korea</v>
          </cell>
          <cell r="K524" t="str">
            <v>Chinese employees</v>
          </cell>
          <cell r="L524" t="str">
            <v>L3</v>
          </cell>
          <cell r="M524" t="str">
            <v>ALL</v>
          </cell>
          <cell r="N524" t="str">
            <v>FLPC(含奖金)</v>
          </cell>
          <cell r="O524" t="str">
            <v>USD/小时</v>
          </cell>
          <cell r="P524">
            <v>76.84</v>
          </cell>
        </row>
        <row r="525">
          <cell r="A525" t="str">
            <v>Korea - Chinese employees - L4</v>
          </cell>
          <cell r="B525" t="str">
            <v>Current version</v>
          </cell>
          <cell r="C525" t="str">
            <v>V2009R2</v>
          </cell>
          <cell r="D525" t="str">
            <v>Labor Rate</v>
          </cell>
          <cell r="E525" t="str">
            <v>AP</v>
          </cell>
          <cell r="F525" t="str">
            <v>Eastern Asia Sub-Regional Division</v>
          </cell>
          <cell r="G525" t="str">
            <v>Korea</v>
          </cell>
          <cell r="H525" t="str">
            <v>1102</v>
          </cell>
          <cell r="I525" t="str">
            <v>韩国</v>
          </cell>
          <cell r="J525" t="str">
            <v>Korea</v>
          </cell>
          <cell r="K525" t="str">
            <v>Chinese employees</v>
          </cell>
          <cell r="L525" t="str">
            <v>L4</v>
          </cell>
          <cell r="M525" t="str">
            <v>ALL</v>
          </cell>
          <cell r="N525" t="str">
            <v>FLPC(含奖金)</v>
          </cell>
          <cell r="O525" t="str">
            <v>USD/小时</v>
          </cell>
          <cell r="P525">
            <v>118.9</v>
          </cell>
        </row>
        <row r="526">
          <cell r="A526" t="str">
            <v>Japan - Chinese employees - L0</v>
          </cell>
          <cell r="B526" t="str">
            <v>Current version</v>
          </cell>
          <cell r="C526" t="str">
            <v>V2009R2</v>
          </cell>
          <cell r="D526" t="str">
            <v>Labor Rate</v>
          </cell>
          <cell r="E526" t="str">
            <v>AP</v>
          </cell>
          <cell r="F526" t="str">
            <v>Eastern Asia Sub-Regional Division</v>
          </cell>
          <cell r="G526" t="str">
            <v>Japan</v>
          </cell>
          <cell r="H526" t="str">
            <v>1103</v>
          </cell>
          <cell r="I526" t="str">
            <v>日本</v>
          </cell>
          <cell r="J526" t="str">
            <v>Japan</v>
          </cell>
          <cell r="K526" t="str">
            <v>Chinese employees</v>
          </cell>
          <cell r="L526" t="str">
            <v>L0</v>
          </cell>
          <cell r="M526" t="str">
            <v>ALL</v>
          </cell>
          <cell r="N526" t="str">
            <v>FLPC(含奖金)</v>
          </cell>
          <cell r="O526" t="str">
            <v>USD/小时</v>
          </cell>
          <cell r="P526">
            <v>65.77</v>
          </cell>
        </row>
        <row r="527">
          <cell r="A527" t="str">
            <v>Japan - Chinese employees - L1</v>
          </cell>
          <cell r="B527" t="str">
            <v>Current version</v>
          </cell>
          <cell r="C527" t="str">
            <v>V2009R2</v>
          </cell>
          <cell r="D527" t="str">
            <v>Labor Rate</v>
          </cell>
          <cell r="E527" t="str">
            <v>AP</v>
          </cell>
          <cell r="F527" t="str">
            <v>Eastern Asia Sub-Regional Division</v>
          </cell>
          <cell r="G527" t="str">
            <v>Japan</v>
          </cell>
          <cell r="H527" t="str">
            <v>1103</v>
          </cell>
          <cell r="I527" t="str">
            <v>日本</v>
          </cell>
          <cell r="J527" t="str">
            <v>Japan</v>
          </cell>
          <cell r="K527" t="str">
            <v>Chinese employees</v>
          </cell>
          <cell r="L527" t="str">
            <v>L1</v>
          </cell>
          <cell r="M527" t="str">
            <v>ALL</v>
          </cell>
          <cell r="N527" t="str">
            <v>FLPC(含奖金)</v>
          </cell>
          <cell r="O527" t="str">
            <v>USD/小时</v>
          </cell>
          <cell r="P527">
            <v>83.98</v>
          </cell>
        </row>
        <row r="528">
          <cell r="A528" t="str">
            <v>Japan - Chinese employees - L2</v>
          </cell>
          <cell r="B528" t="str">
            <v>Current version</v>
          </cell>
          <cell r="C528" t="str">
            <v>V2009R2</v>
          </cell>
          <cell r="D528" t="str">
            <v>Labor Rate</v>
          </cell>
          <cell r="E528" t="str">
            <v>AP</v>
          </cell>
          <cell r="F528" t="str">
            <v>Eastern Asia Sub-Regional Division</v>
          </cell>
          <cell r="G528" t="str">
            <v>Japan</v>
          </cell>
          <cell r="H528" t="str">
            <v>1103</v>
          </cell>
          <cell r="I528" t="str">
            <v>日本</v>
          </cell>
          <cell r="J528" t="str">
            <v>Japan</v>
          </cell>
          <cell r="K528" t="str">
            <v>Chinese employees</v>
          </cell>
          <cell r="L528" t="str">
            <v>L2</v>
          </cell>
          <cell r="M528" t="str">
            <v>ALL</v>
          </cell>
          <cell r="N528" t="str">
            <v>FLPC(含奖金)</v>
          </cell>
          <cell r="O528" t="str">
            <v>USD/小时</v>
          </cell>
          <cell r="P528">
            <v>95.93</v>
          </cell>
        </row>
        <row r="529">
          <cell r="A529" t="str">
            <v>Japan - Chinese employees - L3</v>
          </cell>
          <cell r="B529" t="str">
            <v>Current version</v>
          </cell>
          <cell r="C529" t="str">
            <v>V2009R2</v>
          </cell>
          <cell r="D529" t="str">
            <v>Labor Rate</v>
          </cell>
          <cell r="E529" t="str">
            <v>AP</v>
          </cell>
          <cell r="F529" t="str">
            <v>Eastern Asia Sub-Regional Division</v>
          </cell>
          <cell r="G529" t="str">
            <v>Japan</v>
          </cell>
          <cell r="H529" t="str">
            <v>1103</v>
          </cell>
          <cell r="I529" t="str">
            <v>日本</v>
          </cell>
          <cell r="J529" t="str">
            <v>Japan</v>
          </cell>
          <cell r="K529" t="str">
            <v>Chinese employees</v>
          </cell>
          <cell r="L529" t="str">
            <v>L3</v>
          </cell>
          <cell r="M529" t="str">
            <v>ALL</v>
          </cell>
          <cell r="N529" t="str">
            <v>FLPC(含奖金)</v>
          </cell>
          <cell r="O529" t="str">
            <v>USD/小时</v>
          </cell>
          <cell r="P529">
            <v>105.1</v>
          </cell>
        </row>
        <row r="530">
          <cell r="A530" t="str">
            <v>Japan - Chinese employees - L4</v>
          </cell>
          <cell r="B530" t="str">
            <v>Current version</v>
          </cell>
          <cell r="C530" t="str">
            <v>V2009R2</v>
          </cell>
          <cell r="D530" t="str">
            <v>Labor Rate</v>
          </cell>
          <cell r="E530" t="str">
            <v>AP</v>
          </cell>
          <cell r="F530" t="str">
            <v>Eastern Asia Sub-Regional Division</v>
          </cell>
          <cell r="G530" t="str">
            <v>Japan</v>
          </cell>
          <cell r="H530" t="str">
            <v>1103</v>
          </cell>
          <cell r="I530" t="str">
            <v>日本</v>
          </cell>
          <cell r="J530" t="str">
            <v>Japan</v>
          </cell>
          <cell r="K530" t="str">
            <v>Chinese employees</v>
          </cell>
          <cell r="L530" t="str">
            <v>L4</v>
          </cell>
          <cell r="M530" t="str">
            <v>ALL</v>
          </cell>
          <cell r="N530" t="str">
            <v>FLPC(含奖金)</v>
          </cell>
          <cell r="O530" t="str">
            <v>USD/小时</v>
          </cell>
          <cell r="P530">
            <v>175.93</v>
          </cell>
        </row>
        <row r="531">
          <cell r="A531" t="str">
            <v>Hong Kong - Chinese employees - L0</v>
          </cell>
          <cell r="B531" t="str">
            <v>Current version</v>
          </cell>
          <cell r="C531" t="str">
            <v>V2009R2</v>
          </cell>
          <cell r="D531" t="str">
            <v>Labor Rate</v>
          </cell>
          <cell r="E531" t="str">
            <v>AP</v>
          </cell>
          <cell r="F531" t="str">
            <v>Eastern Asia Sub-Regional Division</v>
          </cell>
          <cell r="G531" t="str">
            <v>Hongkong Rep.O.</v>
          </cell>
          <cell r="H531" t="str">
            <v>1100</v>
          </cell>
          <cell r="I531" t="str">
            <v>香港</v>
          </cell>
          <cell r="J531" t="str">
            <v>Hong Kong</v>
          </cell>
          <cell r="K531" t="str">
            <v>Chinese employees</v>
          </cell>
          <cell r="L531" t="str">
            <v>L0</v>
          </cell>
          <cell r="M531" t="str">
            <v>ALL</v>
          </cell>
          <cell r="N531" t="str">
            <v>FLPC(含奖金)</v>
          </cell>
          <cell r="O531" t="str">
            <v>USD/小时</v>
          </cell>
          <cell r="P531">
            <v>35.049999999999997</v>
          </cell>
        </row>
        <row r="532">
          <cell r="A532" t="str">
            <v>Hong Kong - Chinese employees - L1</v>
          </cell>
          <cell r="B532" t="str">
            <v>Current version</v>
          </cell>
          <cell r="C532" t="str">
            <v>V2009R2</v>
          </cell>
          <cell r="D532" t="str">
            <v>Labor Rate</v>
          </cell>
          <cell r="E532" t="str">
            <v>AP</v>
          </cell>
          <cell r="F532" t="str">
            <v>Eastern Asia Sub-Regional Division</v>
          </cell>
          <cell r="G532" t="str">
            <v>Hongkong Rep.O.</v>
          </cell>
          <cell r="H532" t="str">
            <v>1100</v>
          </cell>
          <cell r="I532" t="str">
            <v>香港</v>
          </cell>
          <cell r="J532" t="str">
            <v>Hong Kong</v>
          </cell>
          <cell r="K532" t="str">
            <v>Chinese employees</v>
          </cell>
          <cell r="L532" t="str">
            <v>L1</v>
          </cell>
          <cell r="M532" t="str">
            <v>ALL</v>
          </cell>
          <cell r="N532" t="str">
            <v>FLPC(含奖金)</v>
          </cell>
          <cell r="O532" t="str">
            <v>USD/小时</v>
          </cell>
          <cell r="P532">
            <v>41.47</v>
          </cell>
        </row>
        <row r="533">
          <cell r="A533" t="str">
            <v>Hong Kong - Chinese employees - L2</v>
          </cell>
          <cell r="B533" t="str">
            <v>Current version</v>
          </cell>
          <cell r="C533" t="str">
            <v>V2009R2</v>
          </cell>
          <cell r="D533" t="str">
            <v>Labor Rate</v>
          </cell>
          <cell r="E533" t="str">
            <v>AP</v>
          </cell>
          <cell r="F533" t="str">
            <v>Eastern Asia Sub-Regional Division</v>
          </cell>
          <cell r="G533" t="str">
            <v>Hongkong Rep.O.</v>
          </cell>
          <cell r="H533" t="str">
            <v>1100</v>
          </cell>
          <cell r="I533" t="str">
            <v>香港</v>
          </cell>
          <cell r="J533" t="str">
            <v>Hong Kong</v>
          </cell>
          <cell r="K533" t="str">
            <v>Chinese employees</v>
          </cell>
          <cell r="L533" t="str">
            <v>L2</v>
          </cell>
          <cell r="M533" t="str">
            <v>ALL</v>
          </cell>
          <cell r="N533" t="str">
            <v>FLPC(含奖金)</v>
          </cell>
          <cell r="O533" t="str">
            <v>USD/小时</v>
          </cell>
          <cell r="P533">
            <v>49.79</v>
          </cell>
        </row>
        <row r="534">
          <cell r="A534" t="str">
            <v>Hong Kong - Chinese employees - L3</v>
          </cell>
          <cell r="B534" t="str">
            <v>Current version</v>
          </cell>
          <cell r="C534" t="str">
            <v>V2009R2</v>
          </cell>
          <cell r="D534" t="str">
            <v>Labor Rate</v>
          </cell>
          <cell r="E534" t="str">
            <v>AP</v>
          </cell>
          <cell r="F534" t="str">
            <v>Eastern Asia Sub-Regional Division</v>
          </cell>
          <cell r="G534" t="str">
            <v>Hongkong Rep.O.</v>
          </cell>
          <cell r="H534" t="str">
            <v>1100</v>
          </cell>
          <cell r="I534" t="str">
            <v>香港</v>
          </cell>
          <cell r="J534" t="str">
            <v>Hong Kong</v>
          </cell>
          <cell r="K534" t="str">
            <v>Chinese employees</v>
          </cell>
          <cell r="L534" t="str">
            <v>L3</v>
          </cell>
          <cell r="M534" t="str">
            <v>ALL</v>
          </cell>
          <cell r="N534" t="str">
            <v>FLPC(含奖金)</v>
          </cell>
          <cell r="O534" t="str">
            <v>USD/小时</v>
          </cell>
          <cell r="P534">
            <v>60.71</v>
          </cell>
        </row>
        <row r="535">
          <cell r="A535" t="str">
            <v>Hong Kong - Chinese employees - L4</v>
          </cell>
          <cell r="B535" t="str">
            <v>Current version</v>
          </cell>
          <cell r="C535" t="str">
            <v>V2009R2</v>
          </cell>
          <cell r="D535" t="str">
            <v>Labor Rate</v>
          </cell>
          <cell r="E535" t="str">
            <v>AP</v>
          </cell>
          <cell r="F535" t="str">
            <v>Eastern Asia Sub-Regional Division</v>
          </cell>
          <cell r="G535" t="str">
            <v>Hongkong Rep.O.</v>
          </cell>
          <cell r="H535" t="str">
            <v>1100</v>
          </cell>
          <cell r="I535" t="str">
            <v>香港</v>
          </cell>
          <cell r="J535" t="str">
            <v>Hong Kong</v>
          </cell>
          <cell r="K535" t="str">
            <v>Chinese employees</v>
          </cell>
          <cell r="L535" t="str">
            <v>L4</v>
          </cell>
          <cell r="M535" t="str">
            <v>ALL</v>
          </cell>
          <cell r="N535" t="str">
            <v>FLPC(含奖金)</v>
          </cell>
          <cell r="O535" t="str">
            <v>USD/小时</v>
          </cell>
          <cell r="P535">
            <v>90.25</v>
          </cell>
        </row>
        <row r="536">
          <cell r="A536" t="str">
            <v>Macau - Chinese employees - L0</v>
          </cell>
          <cell r="B536" t="str">
            <v>Current version</v>
          </cell>
          <cell r="C536" t="str">
            <v>V2009R2</v>
          </cell>
          <cell r="D536" t="str">
            <v>Labor Rate</v>
          </cell>
          <cell r="E536" t="str">
            <v>AP</v>
          </cell>
          <cell r="F536" t="str">
            <v>Eastern Asia Sub-Regional Division</v>
          </cell>
          <cell r="G536" t="str">
            <v>Hongkong Rep.O.</v>
          </cell>
          <cell r="H536" t="str">
            <v>1104</v>
          </cell>
          <cell r="I536" t="str">
            <v>澳门</v>
          </cell>
          <cell r="J536" t="str">
            <v>Macau</v>
          </cell>
          <cell r="K536" t="str">
            <v>Chinese employees</v>
          </cell>
          <cell r="L536" t="str">
            <v>L0</v>
          </cell>
          <cell r="M536" t="str">
            <v>ALL</v>
          </cell>
          <cell r="N536" t="str">
            <v>FLPC(含奖金)</v>
          </cell>
          <cell r="O536" t="str">
            <v>USD/小时</v>
          </cell>
          <cell r="P536">
            <v>35.049999999999997</v>
          </cell>
        </row>
        <row r="537">
          <cell r="A537" t="str">
            <v>Macau - Chinese employees - L1</v>
          </cell>
          <cell r="B537" t="str">
            <v>Current version</v>
          </cell>
          <cell r="C537" t="str">
            <v>V2009R2</v>
          </cell>
          <cell r="D537" t="str">
            <v>Labor Rate</v>
          </cell>
          <cell r="E537" t="str">
            <v>AP</v>
          </cell>
          <cell r="F537" t="str">
            <v>Eastern Asia Sub-Regional Division</v>
          </cell>
          <cell r="G537" t="str">
            <v>Hongkong Rep.O.</v>
          </cell>
          <cell r="H537" t="str">
            <v>1104</v>
          </cell>
          <cell r="I537" t="str">
            <v>澳门</v>
          </cell>
          <cell r="J537" t="str">
            <v>Macau</v>
          </cell>
          <cell r="K537" t="str">
            <v>Chinese employees</v>
          </cell>
          <cell r="L537" t="str">
            <v>L1</v>
          </cell>
          <cell r="M537" t="str">
            <v>ALL</v>
          </cell>
          <cell r="N537" t="str">
            <v>FLPC(含奖金)</v>
          </cell>
          <cell r="O537" t="str">
            <v>USD/小时</v>
          </cell>
          <cell r="P537">
            <v>41.47</v>
          </cell>
        </row>
        <row r="538">
          <cell r="A538" t="str">
            <v>Macau - Chinese employees - L2</v>
          </cell>
          <cell r="B538" t="str">
            <v>Current version</v>
          </cell>
          <cell r="C538" t="str">
            <v>V2009R2</v>
          </cell>
          <cell r="D538" t="str">
            <v>Labor Rate</v>
          </cell>
          <cell r="E538" t="str">
            <v>AP</v>
          </cell>
          <cell r="F538" t="str">
            <v>Eastern Asia Sub-Regional Division</v>
          </cell>
          <cell r="G538" t="str">
            <v>Hongkong Rep.O.</v>
          </cell>
          <cell r="H538" t="str">
            <v>1104</v>
          </cell>
          <cell r="I538" t="str">
            <v>澳门</v>
          </cell>
          <cell r="J538" t="str">
            <v>Macau</v>
          </cell>
          <cell r="K538" t="str">
            <v>Chinese employees</v>
          </cell>
          <cell r="L538" t="str">
            <v>L2</v>
          </cell>
          <cell r="M538" t="str">
            <v>ALL</v>
          </cell>
          <cell r="N538" t="str">
            <v>FLPC(含奖金)</v>
          </cell>
          <cell r="O538" t="str">
            <v>USD/小时</v>
          </cell>
          <cell r="P538">
            <v>49.79</v>
          </cell>
        </row>
        <row r="539">
          <cell r="A539" t="str">
            <v>Macau - Chinese employees - L3</v>
          </cell>
          <cell r="B539" t="str">
            <v>Current version</v>
          </cell>
          <cell r="C539" t="str">
            <v>V2009R2</v>
          </cell>
          <cell r="D539" t="str">
            <v>Labor Rate</v>
          </cell>
          <cell r="E539" t="str">
            <v>AP</v>
          </cell>
          <cell r="F539" t="str">
            <v>Eastern Asia Sub-Regional Division</v>
          </cell>
          <cell r="G539" t="str">
            <v>Hongkong Rep.O.</v>
          </cell>
          <cell r="H539" t="str">
            <v>1104</v>
          </cell>
          <cell r="I539" t="str">
            <v>澳门</v>
          </cell>
          <cell r="J539" t="str">
            <v>Macau</v>
          </cell>
          <cell r="K539" t="str">
            <v>Chinese employees</v>
          </cell>
          <cell r="L539" t="str">
            <v>L3</v>
          </cell>
          <cell r="M539" t="str">
            <v>ALL</v>
          </cell>
          <cell r="N539" t="str">
            <v>FLPC(含奖金)</v>
          </cell>
          <cell r="O539" t="str">
            <v>USD/小时</v>
          </cell>
          <cell r="P539">
            <v>60.71</v>
          </cell>
        </row>
        <row r="540">
          <cell r="A540" t="str">
            <v>Macau - Chinese employees - L4</v>
          </cell>
          <cell r="B540" t="str">
            <v>Current version</v>
          </cell>
          <cell r="C540" t="str">
            <v>V2009R2</v>
          </cell>
          <cell r="D540" t="str">
            <v>Labor Rate</v>
          </cell>
          <cell r="E540" t="str">
            <v>AP</v>
          </cell>
          <cell r="F540" t="str">
            <v>Eastern Asia Sub-Regional Division</v>
          </cell>
          <cell r="G540" t="str">
            <v>Hongkong Rep.O.</v>
          </cell>
          <cell r="H540" t="str">
            <v>1104</v>
          </cell>
          <cell r="I540" t="str">
            <v>澳门</v>
          </cell>
          <cell r="J540" t="str">
            <v>Macau</v>
          </cell>
          <cell r="K540" t="str">
            <v>Chinese employees</v>
          </cell>
          <cell r="L540" t="str">
            <v>L4</v>
          </cell>
          <cell r="M540" t="str">
            <v>ALL</v>
          </cell>
          <cell r="N540" t="str">
            <v>FLPC(含奖金)</v>
          </cell>
          <cell r="O540" t="str">
            <v>USD/小时</v>
          </cell>
          <cell r="P540">
            <v>90.25</v>
          </cell>
        </row>
        <row r="541">
          <cell r="A541" t="str">
            <v>Vietnam - Chinese employees - L0</v>
          </cell>
          <cell r="B541" t="str">
            <v>Current version</v>
          </cell>
          <cell r="C541" t="str">
            <v>V2009R2</v>
          </cell>
          <cell r="D541" t="str">
            <v>Labor Rate</v>
          </cell>
          <cell r="E541" t="str">
            <v>AP</v>
          </cell>
          <cell r="F541" t="str">
            <v>Southern-East Asia Sub-Regional Division</v>
          </cell>
          <cell r="G541" t="str">
            <v>Vietnam Rep.O.</v>
          </cell>
          <cell r="H541" t="str">
            <v>1211</v>
          </cell>
          <cell r="I541" t="str">
            <v>越南</v>
          </cell>
          <cell r="J541" t="str">
            <v>Vietnam</v>
          </cell>
          <cell r="K541" t="str">
            <v>Chinese employees</v>
          </cell>
          <cell r="L541" t="str">
            <v>L0</v>
          </cell>
          <cell r="M541" t="str">
            <v>ALL</v>
          </cell>
          <cell r="N541" t="str">
            <v>FLPC(含奖金)</v>
          </cell>
          <cell r="O541" t="str">
            <v>USD/小时</v>
          </cell>
          <cell r="P541">
            <v>31.81</v>
          </cell>
        </row>
        <row r="542">
          <cell r="A542" t="str">
            <v>Vietnam - Chinese employees - L1</v>
          </cell>
          <cell r="B542" t="str">
            <v>Current version</v>
          </cell>
          <cell r="C542" t="str">
            <v>V2009R2</v>
          </cell>
          <cell r="D542" t="str">
            <v>Labor Rate</v>
          </cell>
          <cell r="E542" t="str">
            <v>AP</v>
          </cell>
          <cell r="F542" t="str">
            <v>Southern-East Asia Sub-Regional Division</v>
          </cell>
          <cell r="G542" t="str">
            <v>Vietnam Rep.O.</v>
          </cell>
          <cell r="H542" t="str">
            <v>1211</v>
          </cell>
          <cell r="I542" t="str">
            <v>越南</v>
          </cell>
          <cell r="J542" t="str">
            <v>Vietnam</v>
          </cell>
          <cell r="K542" t="str">
            <v>Chinese employees</v>
          </cell>
          <cell r="L542" t="str">
            <v>L1</v>
          </cell>
          <cell r="M542" t="str">
            <v>ALL</v>
          </cell>
          <cell r="N542" t="str">
            <v>FLPC(含奖金)</v>
          </cell>
          <cell r="O542" t="str">
            <v>USD/小时</v>
          </cell>
          <cell r="P542">
            <v>37.229999999999997</v>
          </cell>
        </row>
        <row r="543">
          <cell r="A543" t="str">
            <v>Vietnam - Chinese employees - L2</v>
          </cell>
          <cell r="B543" t="str">
            <v>Current version</v>
          </cell>
          <cell r="C543" t="str">
            <v>V2009R2</v>
          </cell>
          <cell r="D543" t="str">
            <v>Labor Rate</v>
          </cell>
          <cell r="E543" t="str">
            <v>AP</v>
          </cell>
          <cell r="F543" t="str">
            <v>Southern-East Asia Sub-Regional Division</v>
          </cell>
          <cell r="G543" t="str">
            <v>Vietnam Rep.O.</v>
          </cell>
          <cell r="H543" t="str">
            <v>1211</v>
          </cell>
          <cell r="I543" t="str">
            <v>越南</v>
          </cell>
          <cell r="J543" t="str">
            <v>Vietnam</v>
          </cell>
          <cell r="K543" t="str">
            <v>Chinese employees</v>
          </cell>
          <cell r="L543" t="str">
            <v>L2</v>
          </cell>
          <cell r="M543" t="str">
            <v>ALL</v>
          </cell>
          <cell r="N543" t="str">
            <v>FLPC(含奖金)</v>
          </cell>
          <cell r="O543" t="str">
            <v>USD/小时</v>
          </cell>
          <cell r="P543">
            <v>44.26</v>
          </cell>
        </row>
        <row r="544">
          <cell r="A544" t="str">
            <v>Vietnam - Chinese employees - L3</v>
          </cell>
          <cell r="B544" t="str">
            <v>Current version</v>
          </cell>
          <cell r="C544" t="str">
            <v>V2009R2</v>
          </cell>
          <cell r="D544" t="str">
            <v>Labor Rate</v>
          </cell>
          <cell r="E544" t="str">
            <v>AP</v>
          </cell>
          <cell r="F544" t="str">
            <v>Southern-East Asia Sub-Regional Division</v>
          </cell>
          <cell r="G544" t="str">
            <v>Vietnam Rep.O.</v>
          </cell>
          <cell r="H544" t="str">
            <v>1211</v>
          </cell>
          <cell r="I544" t="str">
            <v>越南</v>
          </cell>
          <cell r="J544" t="str">
            <v>Vietnam</v>
          </cell>
          <cell r="K544" t="str">
            <v>Chinese employees</v>
          </cell>
          <cell r="L544" t="str">
            <v>L3</v>
          </cell>
          <cell r="M544" t="str">
            <v>ALL</v>
          </cell>
          <cell r="N544" t="str">
            <v>FLPC(含奖金)</v>
          </cell>
          <cell r="O544" t="str">
            <v>USD/小时</v>
          </cell>
          <cell r="P544">
            <v>54.31</v>
          </cell>
        </row>
        <row r="545">
          <cell r="A545" t="str">
            <v>Vietnam - Chinese employees - L4</v>
          </cell>
          <cell r="B545" t="str">
            <v>Current version</v>
          </cell>
          <cell r="C545" t="str">
            <v>V2009R2</v>
          </cell>
          <cell r="D545" t="str">
            <v>Labor Rate</v>
          </cell>
          <cell r="E545" t="str">
            <v>AP</v>
          </cell>
          <cell r="F545" t="str">
            <v>Southern-East Asia Sub-Regional Division</v>
          </cell>
          <cell r="G545" t="str">
            <v>Vietnam Rep.O.</v>
          </cell>
          <cell r="H545" t="str">
            <v>1211</v>
          </cell>
          <cell r="I545" t="str">
            <v>越南</v>
          </cell>
          <cell r="J545" t="str">
            <v>Vietnam</v>
          </cell>
          <cell r="K545" t="str">
            <v>Chinese employees</v>
          </cell>
          <cell r="L545" t="str">
            <v>L4</v>
          </cell>
          <cell r="M545" t="str">
            <v>ALL</v>
          </cell>
          <cell r="N545" t="str">
            <v>FLPC(含奖金)</v>
          </cell>
          <cell r="O545" t="str">
            <v>USD/小时</v>
          </cell>
          <cell r="P545">
            <v>90.54</v>
          </cell>
        </row>
        <row r="546">
          <cell r="A546" t="str">
            <v>VIETNAM(HOCHIHMING) - Chinese employees - L0</v>
          </cell>
          <cell r="B546" t="str">
            <v>Current version</v>
          </cell>
          <cell r="C546" t="str">
            <v>V2009R2</v>
          </cell>
          <cell r="D546" t="str">
            <v>Labor Rate</v>
          </cell>
          <cell r="E546" t="str">
            <v>AP</v>
          </cell>
          <cell r="F546" t="str">
            <v>Southern-East Asia Sub-Regional Division</v>
          </cell>
          <cell r="G546" t="str">
            <v>Vietnam Rep.O.</v>
          </cell>
          <cell r="H546" t="str">
            <v>1225</v>
          </cell>
          <cell r="I546" t="str">
            <v>越南（胡志明市）</v>
          </cell>
          <cell r="J546" t="str">
            <v>VIETNAM(HOCHIHMING)</v>
          </cell>
          <cell r="K546" t="str">
            <v>Chinese employees</v>
          </cell>
          <cell r="L546" t="str">
            <v>L0</v>
          </cell>
          <cell r="M546" t="str">
            <v>ALL</v>
          </cell>
          <cell r="N546" t="str">
            <v>FLPC(含奖金)</v>
          </cell>
          <cell r="O546" t="str">
            <v>USD/小时</v>
          </cell>
          <cell r="P546">
            <v>31.81</v>
          </cell>
        </row>
        <row r="547">
          <cell r="A547" t="str">
            <v>Turkmenistan - Chinese employees - L0</v>
          </cell>
          <cell r="B547" t="str">
            <v>Current version</v>
          </cell>
          <cell r="C547" t="str">
            <v>V2009R2</v>
          </cell>
          <cell r="D547" t="str">
            <v>Labor Rate</v>
          </cell>
          <cell r="E547" t="str">
            <v>CIS</v>
          </cell>
          <cell r="F547" t="str">
            <v>Central Asia Sub-Regional Division</v>
          </cell>
          <cell r="G547" t="str">
            <v>Uzbek Rep.O.</v>
          </cell>
          <cell r="H547" t="str">
            <v>3008</v>
          </cell>
          <cell r="I547" t="str">
            <v>土库曼斯坦</v>
          </cell>
          <cell r="J547" t="str">
            <v>Turkmenistan</v>
          </cell>
          <cell r="K547" t="str">
            <v>Chinese employees</v>
          </cell>
          <cell r="L547" t="str">
            <v>L0</v>
          </cell>
          <cell r="M547" t="str">
            <v>ALL</v>
          </cell>
          <cell r="N547" t="str">
            <v>FLPC(含奖金)</v>
          </cell>
          <cell r="O547" t="str">
            <v>USD/小时</v>
          </cell>
          <cell r="P547">
            <v>34.72</v>
          </cell>
        </row>
        <row r="548">
          <cell r="A548" t="str">
            <v>Turkmenistan - Chinese employees - L1</v>
          </cell>
          <cell r="B548" t="str">
            <v>Current version</v>
          </cell>
          <cell r="C548" t="str">
            <v>V2009R2</v>
          </cell>
          <cell r="D548" t="str">
            <v>Labor Rate</v>
          </cell>
          <cell r="E548" t="str">
            <v>CIS</v>
          </cell>
          <cell r="F548" t="str">
            <v>Central Asia Sub-Regional Division</v>
          </cell>
          <cell r="G548" t="str">
            <v>Uzbek Rep.O.</v>
          </cell>
          <cell r="H548" t="str">
            <v>3008</v>
          </cell>
          <cell r="I548" t="str">
            <v>土库曼斯坦</v>
          </cell>
          <cell r="J548" t="str">
            <v>Turkmenistan</v>
          </cell>
          <cell r="K548" t="str">
            <v>Chinese employees</v>
          </cell>
          <cell r="L548" t="str">
            <v>L1</v>
          </cell>
          <cell r="M548" t="str">
            <v>ALL</v>
          </cell>
          <cell r="N548" t="str">
            <v>FLPC(含奖金)</v>
          </cell>
          <cell r="O548" t="str">
            <v>USD/小时</v>
          </cell>
          <cell r="P548">
            <v>40.1</v>
          </cell>
        </row>
        <row r="549">
          <cell r="A549" t="str">
            <v>Turkmenistan - Chinese employees - L2</v>
          </cell>
          <cell r="B549" t="str">
            <v>Current version</v>
          </cell>
          <cell r="C549" t="str">
            <v>V2009R2</v>
          </cell>
          <cell r="D549" t="str">
            <v>Labor Rate</v>
          </cell>
          <cell r="E549" t="str">
            <v>CIS</v>
          </cell>
          <cell r="F549" t="str">
            <v>Central Asia Sub-Regional Division</v>
          </cell>
          <cell r="G549" t="str">
            <v>Uzbek Rep.O.</v>
          </cell>
          <cell r="H549" t="str">
            <v>3008</v>
          </cell>
          <cell r="I549" t="str">
            <v>土库曼斯坦</v>
          </cell>
          <cell r="J549" t="str">
            <v>Turkmenistan</v>
          </cell>
          <cell r="K549" t="str">
            <v>Chinese employees</v>
          </cell>
          <cell r="L549" t="str">
            <v>L2</v>
          </cell>
          <cell r="M549" t="str">
            <v>ALL</v>
          </cell>
          <cell r="N549" t="str">
            <v>FLPC(含奖金)</v>
          </cell>
          <cell r="O549" t="str">
            <v>USD/小时</v>
          </cell>
          <cell r="P549">
            <v>47.3</v>
          </cell>
        </row>
        <row r="550">
          <cell r="A550" t="str">
            <v>Turkmenistan - Chinese employees - L3</v>
          </cell>
          <cell r="B550" t="str">
            <v>Current version</v>
          </cell>
          <cell r="C550" t="str">
            <v>V2009R2</v>
          </cell>
          <cell r="D550" t="str">
            <v>Labor Rate</v>
          </cell>
          <cell r="E550" t="str">
            <v>CIS</v>
          </cell>
          <cell r="F550" t="str">
            <v>Central Asia Sub-Regional Division</v>
          </cell>
          <cell r="G550" t="str">
            <v>Uzbek Rep.O.</v>
          </cell>
          <cell r="H550" t="str">
            <v>3008</v>
          </cell>
          <cell r="I550" t="str">
            <v>土库曼斯坦</v>
          </cell>
          <cell r="J550" t="str">
            <v>Turkmenistan</v>
          </cell>
          <cell r="K550" t="str">
            <v>Chinese employees</v>
          </cell>
          <cell r="L550" t="str">
            <v>L3</v>
          </cell>
          <cell r="M550" t="str">
            <v>ALL</v>
          </cell>
          <cell r="N550" t="str">
            <v>FLPC(含奖金)</v>
          </cell>
          <cell r="O550" t="str">
            <v>USD/小时</v>
          </cell>
          <cell r="P550">
            <v>57.34</v>
          </cell>
        </row>
        <row r="551">
          <cell r="A551" t="str">
            <v>Turkmenistan - Chinese employees - L4</v>
          </cell>
          <cell r="B551" t="str">
            <v>Current version</v>
          </cell>
          <cell r="C551" t="str">
            <v>V2009R2</v>
          </cell>
          <cell r="D551" t="str">
            <v>Labor Rate</v>
          </cell>
          <cell r="E551" t="str">
            <v>CIS</v>
          </cell>
          <cell r="F551" t="str">
            <v>Central Asia Sub-Regional Division</v>
          </cell>
          <cell r="G551" t="str">
            <v>Uzbek Rep.O.</v>
          </cell>
          <cell r="H551" t="str">
            <v>3008</v>
          </cell>
          <cell r="I551" t="str">
            <v>土库曼斯坦</v>
          </cell>
          <cell r="J551" t="str">
            <v>Turkmenistan</v>
          </cell>
          <cell r="K551" t="str">
            <v>Chinese employees</v>
          </cell>
          <cell r="L551" t="str">
            <v>L4</v>
          </cell>
          <cell r="M551" t="str">
            <v>ALL</v>
          </cell>
          <cell r="N551" t="str">
            <v>FLPC(含奖金)</v>
          </cell>
          <cell r="O551" t="str">
            <v>USD/小时</v>
          </cell>
          <cell r="P551">
            <v>92.99</v>
          </cell>
        </row>
        <row r="552">
          <cell r="A552" t="str">
            <v>Turkey - Chinese employees - L0</v>
          </cell>
          <cell r="B552" t="str">
            <v>Current version</v>
          </cell>
          <cell r="C552" t="str">
            <v>V2009R2</v>
          </cell>
          <cell r="D552" t="str">
            <v>Labor Rate</v>
          </cell>
          <cell r="E552" t="str">
            <v>CIS</v>
          </cell>
          <cell r="F552" t="str">
            <v>Central Asia Sub-Regional Division</v>
          </cell>
          <cell r="G552" t="str">
            <v>Turkey Rep.O</v>
          </cell>
          <cell r="H552" t="str">
            <v>5008</v>
          </cell>
          <cell r="I552" t="str">
            <v>土耳其</v>
          </cell>
          <cell r="J552" t="str">
            <v>Turkey</v>
          </cell>
          <cell r="K552" t="str">
            <v>Chinese employees</v>
          </cell>
          <cell r="L552" t="str">
            <v>L0</v>
          </cell>
          <cell r="M552" t="str">
            <v>ALL</v>
          </cell>
          <cell r="N552" t="str">
            <v>FLPC(含奖金)</v>
          </cell>
          <cell r="O552" t="str">
            <v>USD/小时</v>
          </cell>
          <cell r="P552">
            <v>36.590000000000003</v>
          </cell>
        </row>
        <row r="553">
          <cell r="A553" t="str">
            <v>Turkey - Chinese employees - L1</v>
          </cell>
          <cell r="B553" t="str">
            <v>Current version</v>
          </cell>
          <cell r="C553" t="str">
            <v>V2009R2</v>
          </cell>
          <cell r="D553" t="str">
            <v>Labor Rate</v>
          </cell>
          <cell r="E553" t="str">
            <v>CIS</v>
          </cell>
          <cell r="F553" t="str">
            <v>Central Asia Sub-Regional Division</v>
          </cell>
          <cell r="G553" t="str">
            <v>Turkey Rep.O</v>
          </cell>
          <cell r="H553" t="str">
            <v>5008</v>
          </cell>
          <cell r="I553" t="str">
            <v>土耳其</v>
          </cell>
          <cell r="J553" t="str">
            <v>Turkey</v>
          </cell>
          <cell r="K553" t="str">
            <v>Chinese employees</v>
          </cell>
          <cell r="L553" t="str">
            <v>L1</v>
          </cell>
          <cell r="M553" t="str">
            <v>ALL</v>
          </cell>
          <cell r="N553" t="str">
            <v>FLPC(含奖金)</v>
          </cell>
          <cell r="O553" t="str">
            <v>USD/小时</v>
          </cell>
          <cell r="P553">
            <v>42.34</v>
          </cell>
        </row>
        <row r="554">
          <cell r="A554" t="str">
            <v>Turkey - Chinese employees - L2</v>
          </cell>
          <cell r="B554" t="str">
            <v>Current version</v>
          </cell>
          <cell r="C554" t="str">
            <v>V2009R2</v>
          </cell>
          <cell r="D554" t="str">
            <v>Labor Rate</v>
          </cell>
          <cell r="E554" t="str">
            <v>CIS</v>
          </cell>
          <cell r="F554" t="str">
            <v>Central Asia Sub-Regional Division</v>
          </cell>
          <cell r="G554" t="str">
            <v>Turkey Rep.O</v>
          </cell>
          <cell r="H554" t="str">
            <v>5008</v>
          </cell>
          <cell r="I554" t="str">
            <v>土耳其</v>
          </cell>
          <cell r="J554" t="str">
            <v>Turkey</v>
          </cell>
          <cell r="K554" t="str">
            <v>Chinese employees</v>
          </cell>
          <cell r="L554" t="str">
            <v>L2</v>
          </cell>
          <cell r="M554" t="str">
            <v>ALL</v>
          </cell>
          <cell r="N554" t="str">
            <v>FLPC(含奖金)</v>
          </cell>
          <cell r="O554" t="str">
            <v>USD/小时</v>
          </cell>
          <cell r="P554">
            <v>49.79</v>
          </cell>
        </row>
        <row r="555">
          <cell r="A555" t="str">
            <v>Turkey - Chinese employees - L3</v>
          </cell>
          <cell r="B555" t="str">
            <v>Current version</v>
          </cell>
          <cell r="C555" t="str">
            <v>V2009R2</v>
          </cell>
          <cell r="D555" t="str">
            <v>Labor Rate</v>
          </cell>
          <cell r="E555" t="str">
            <v>CIS</v>
          </cell>
          <cell r="F555" t="str">
            <v>Central Asia Sub-Regional Division</v>
          </cell>
          <cell r="G555" t="str">
            <v>Turkey Rep.O</v>
          </cell>
          <cell r="H555" t="str">
            <v>5008</v>
          </cell>
          <cell r="I555" t="str">
            <v>土耳其</v>
          </cell>
          <cell r="J555" t="str">
            <v>Turkey</v>
          </cell>
          <cell r="K555" t="str">
            <v>Chinese employees</v>
          </cell>
          <cell r="L555" t="str">
            <v>L3</v>
          </cell>
          <cell r="M555" t="str">
            <v>ALL</v>
          </cell>
          <cell r="N555" t="str">
            <v>FLPC(含奖金)</v>
          </cell>
          <cell r="O555" t="str">
            <v>USD/小时</v>
          </cell>
          <cell r="P555">
            <v>60.46</v>
          </cell>
        </row>
        <row r="556">
          <cell r="A556" t="str">
            <v>Turkey - Chinese employees - L4</v>
          </cell>
          <cell r="B556" t="str">
            <v>Current version</v>
          </cell>
          <cell r="C556" t="str">
            <v>V2009R2</v>
          </cell>
          <cell r="D556" t="str">
            <v>Labor Rate</v>
          </cell>
          <cell r="E556" t="str">
            <v>CIS</v>
          </cell>
          <cell r="F556" t="str">
            <v>Central Asia Sub-Regional Division</v>
          </cell>
          <cell r="G556" t="str">
            <v>Turkey Rep.O</v>
          </cell>
          <cell r="H556" t="str">
            <v>5008</v>
          </cell>
          <cell r="I556" t="str">
            <v>土耳其</v>
          </cell>
          <cell r="J556" t="str">
            <v>Turkey</v>
          </cell>
          <cell r="K556" t="str">
            <v>Chinese employees</v>
          </cell>
          <cell r="L556" t="str">
            <v>L4</v>
          </cell>
          <cell r="M556" t="str">
            <v>ALL</v>
          </cell>
          <cell r="N556" t="str">
            <v>FLPC(含奖金)</v>
          </cell>
          <cell r="O556" t="str">
            <v>USD/小时</v>
          </cell>
          <cell r="P556">
            <v>98.9</v>
          </cell>
        </row>
        <row r="557">
          <cell r="A557" t="str">
            <v>Ankara - Chinese employees - L0</v>
          </cell>
          <cell r="B557" t="str">
            <v>Current version</v>
          </cell>
          <cell r="C557" t="str">
            <v>V2009R2</v>
          </cell>
          <cell r="D557" t="str">
            <v>Labor Rate</v>
          </cell>
          <cell r="E557" t="str">
            <v>CIS</v>
          </cell>
          <cell r="F557" t="str">
            <v>Central Asia Sub-Regional Division</v>
          </cell>
          <cell r="G557" t="str">
            <v>Turkey Rep.O</v>
          </cell>
          <cell r="H557" t="str">
            <v>5026</v>
          </cell>
          <cell r="I557" t="str">
            <v>安卡拉</v>
          </cell>
          <cell r="J557" t="str">
            <v>Ankara</v>
          </cell>
          <cell r="K557" t="str">
            <v>Chinese employees</v>
          </cell>
          <cell r="L557" t="str">
            <v>L0</v>
          </cell>
          <cell r="M557" t="str">
            <v>ALL</v>
          </cell>
          <cell r="N557" t="str">
            <v>FLPC(含奖金)</v>
          </cell>
          <cell r="O557" t="str">
            <v>USD/小时</v>
          </cell>
          <cell r="P557">
            <v>40.450000000000003</v>
          </cell>
        </row>
        <row r="558">
          <cell r="A558" t="str">
            <v>Ankara - Chinese employees - L1</v>
          </cell>
          <cell r="B558" t="str">
            <v>Current version</v>
          </cell>
          <cell r="C558" t="str">
            <v>V2009R2</v>
          </cell>
          <cell r="D558" t="str">
            <v>Labor Rate</v>
          </cell>
          <cell r="E558" t="str">
            <v>CIS</v>
          </cell>
          <cell r="F558" t="str">
            <v>Central Asia Sub-Regional Division</v>
          </cell>
          <cell r="G558" t="str">
            <v>Turkey Rep.O</v>
          </cell>
          <cell r="H558" t="str">
            <v>5026</v>
          </cell>
          <cell r="I558" t="str">
            <v>安卡拉</v>
          </cell>
          <cell r="J558" t="str">
            <v>Ankara</v>
          </cell>
          <cell r="K558" t="str">
            <v>Chinese employees</v>
          </cell>
          <cell r="L558" t="str">
            <v>L1</v>
          </cell>
          <cell r="M558" t="str">
            <v>ALL</v>
          </cell>
          <cell r="N558" t="str">
            <v>FLPC(含奖金)</v>
          </cell>
          <cell r="O558" t="str">
            <v>USD/小时</v>
          </cell>
          <cell r="P558">
            <v>46.2</v>
          </cell>
        </row>
        <row r="559">
          <cell r="A559" t="str">
            <v>Ankara - Chinese employees - L2</v>
          </cell>
          <cell r="B559" t="str">
            <v>Current version</v>
          </cell>
          <cell r="C559" t="str">
            <v>V2009R2</v>
          </cell>
          <cell r="D559" t="str">
            <v>Labor Rate</v>
          </cell>
          <cell r="E559" t="str">
            <v>CIS</v>
          </cell>
          <cell r="F559" t="str">
            <v>Central Asia Sub-Regional Division</v>
          </cell>
          <cell r="G559" t="str">
            <v>Turkey Rep.O</v>
          </cell>
          <cell r="H559" t="str">
            <v>5026</v>
          </cell>
          <cell r="I559" t="str">
            <v>安卡拉</v>
          </cell>
          <cell r="J559" t="str">
            <v>Ankara</v>
          </cell>
          <cell r="K559" t="str">
            <v>Chinese employees</v>
          </cell>
          <cell r="L559" t="str">
            <v>L2</v>
          </cell>
          <cell r="M559" t="str">
            <v>ALL</v>
          </cell>
          <cell r="N559" t="str">
            <v>FLPC(含奖金)</v>
          </cell>
          <cell r="O559" t="str">
            <v>USD/小时</v>
          </cell>
          <cell r="P559">
            <v>53.65</v>
          </cell>
        </row>
        <row r="560">
          <cell r="A560" t="str">
            <v>Ankara - Chinese employees - L3</v>
          </cell>
          <cell r="B560" t="str">
            <v>Current version</v>
          </cell>
          <cell r="C560" t="str">
            <v>V2009R2</v>
          </cell>
          <cell r="D560" t="str">
            <v>Labor Rate</v>
          </cell>
          <cell r="E560" t="str">
            <v>CIS</v>
          </cell>
          <cell r="F560" t="str">
            <v>Central Asia Sub-Regional Division</v>
          </cell>
          <cell r="G560" t="str">
            <v>Turkey Rep.O</v>
          </cell>
          <cell r="H560" t="str">
            <v>5026</v>
          </cell>
          <cell r="I560" t="str">
            <v>安卡拉</v>
          </cell>
          <cell r="J560" t="str">
            <v>Ankara</v>
          </cell>
          <cell r="K560" t="str">
            <v>Chinese employees</v>
          </cell>
          <cell r="L560" t="str">
            <v>L3</v>
          </cell>
          <cell r="M560" t="str">
            <v>ALL</v>
          </cell>
          <cell r="N560" t="str">
            <v>FLPC(含奖金)</v>
          </cell>
          <cell r="O560" t="str">
            <v>USD/小时</v>
          </cell>
          <cell r="P560">
            <v>64.319999999999993</v>
          </cell>
        </row>
        <row r="561">
          <cell r="A561" t="str">
            <v>Ankara - Chinese employees - L4</v>
          </cell>
          <cell r="B561" t="str">
            <v>Current version</v>
          </cell>
          <cell r="C561" t="str">
            <v>V2009R2</v>
          </cell>
          <cell r="D561" t="str">
            <v>Labor Rate</v>
          </cell>
          <cell r="E561" t="str">
            <v>CIS</v>
          </cell>
          <cell r="F561" t="str">
            <v>Central Asia Sub-Regional Division</v>
          </cell>
          <cell r="G561" t="str">
            <v>Turkey Rep.O</v>
          </cell>
          <cell r="H561" t="str">
            <v>5026</v>
          </cell>
          <cell r="I561" t="str">
            <v>安卡拉</v>
          </cell>
          <cell r="J561" t="str">
            <v>Ankara</v>
          </cell>
          <cell r="K561" t="str">
            <v>Chinese employees</v>
          </cell>
          <cell r="L561" t="str">
            <v>L4</v>
          </cell>
          <cell r="M561" t="str">
            <v>ALL</v>
          </cell>
          <cell r="N561" t="str">
            <v>FLPC(含奖金)</v>
          </cell>
          <cell r="O561" t="str">
            <v>USD/小时</v>
          </cell>
          <cell r="P561">
            <v>102.76</v>
          </cell>
        </row>
        <row r="562">
          <cell r="A562" t="str">
            <v>Kazakhstan - Chinese employees - L0</v>
          </cell>
          <cell r="B562" t="str">
            <v>Current version</v>
          </cell>
          <cell r="C562" t="str">
            <v>V2009R2</v>
          </cell>
          <cell r="D562" t="str">
            <v>Labor Rate</v>
          </cell>
          <cell r="E562" t="str">
            <v>CIS</v>
          </cell>
          <cell r="F562" t="str">
            <v>Central Asia Sub-Regional Division</v>
          </cell>
          <cell r="G562" t="str">
            <v>Kazakhstan Rep.O.</v>
          </cell>
          <cell r="H562" t="str">
            <v>3004</v>
          </cell>
          <cell r="I562" t="str">
            <v>哈萨克斯坦</v>
          </cell>
          <cell r="J562" t="str">
            <v>Kazakhstan</v>
          </cell>
          <cell r="K562" t="str">
            <v>Chinese employees</v>
          </cell>
          <cell r="L562" t="str">
            <v>L0</v>
          </cell>
          <cell r="M562" t="str">
            <v>ALL</v>
          </cell>
          <cell r="N562" t="str">
            <v>FLPC(含奖金)</v>
          </cell>
          <cell r="O562" t="str">
            <v>USD/小时</v>
          </cell>
          <cell r="P562">
            <v>48.57</v>
          </cell>
        </row>
        <row r="563">
          <cell r="A563" t="str">
            <v>Kazakhstan - Chinese employees - L1</v>
          </cell>
          <cell r="B563" t="str">
            <v>Current version</v>
          </cell>
          <cell r="C563" t="str">
            <v>V2009R2</v>
          </cell>
          <cell r="D563" t="str">
            <v>Labor Rate</v>
          </cell>
          <cell r="E563" t="str">
            <v>CIS</v>
          </cell>
          <cell r="F563" t="str">
            <v>Central Asia Sub-Regional Division</v>
          </cell>
          <cell r="G563" t="str">
            <v>Kazakhstan Rep.O.</v>
          </cell>
          <cell r="H563" t="str">
            <v>3004</v>
          </cell>
          <cell r="I563" t="str">
            <v>哈萨克斯坦</v>
          </cell>
          <cell r="J563" t="str">
            <v>Kazakhstan</v>
          </cell>
          <cell r="K563" t="str">
            <v>Chinese employees</v>
          </cell>
          <cell r="L563" t="str">
            <v>L1</v>
          </cell>
          <cell r="M563" t="str">
            <v>ALL</v>
          </cell>
          <cell r="N563" t="str">
            <v>FLPC(含奖金)</v>
          </cell>
          <cell r="O563" t="str">
            <v>USD/小时</v>
          </cell>
          <cell r="P563">
            <v>55.63</v>
          </cell>
        </row>
        <row r="564">
          <cell r="A564" t="str">
            <v>Kazakhstan - Chinese employees - L2</v>
          </cell>
          <cell r="B564" t="str">
            <v>Current version</v>
          </cell>
          <cell r="C564" t="str">
            <v>V2009R2</v>
          </cell>
          <cell r="D564" t="str">
            <v>Labor Rate</v>
          </cell>
          <cell r="E564" t="str">
            <v>CIS</v>
          </cell>
          <cell r="F564" t="str">
            <v>Central Asia Sub-Regional Division</v>
          </cell>
          <cell r="G564" t="str">
            <v>Kazakhstan Rep.O.</v>
          </cell>
          <cell r="H564" t="str">
            <v>3004</v>
          </cell>
          <cell r="I564" t="str">
            <v>哈萨克斯坦</v>
          </cell>
          <cell r="J564" t="str">
            <v>Kazakhstan</v>
          </cell>
          <cell r="K564" t="str">
            <v>Chinese employees</v>
          </cell>
          <cell r="L564" t="str">
            <v>L2</v>
          </cell>
          <cell r="M564" t="str">
            <v>ALL</v>
          </cell>
          <cell r="N564" t="str">
            <v>FLPC(含奖金)</v>
          </cell>
          <cell r="O564" t="str">
            <v>USD/小时</v>
          </cell>
          <cell r="P564">
            <v>64.8</v>
          </cell>
        </row>
        <row r="565">
          <cell r="A565" t="str">
            <v>Kazakhstan - Chinese employees - L3</v>
          </cell>
          <cell r="B565" t="str">
            <v>Current version</v>
          </cell>
          <cell r="C565" t="str">
            <v>V2009R2</v>
          </cell>
          <cell r="D565" t="str">
            <v>Labor Rate</v>
          </cell>
          <cell r="E565" t="str">
            <v>CIS</v>
          </cell>
          <cell r="F565" t="str">
            <v>Central Asia Sub-Regional Division</v>
          </cell>
          <cell r="G565" t="str">
            <v>Kazakhstan Rep.O.</v>
          </cell>
          <cell r="H565" t="str">
            <v>3004</v>
          </cell>
          <cell r="I565" t="str">
            <v>哈萨克斯坦</v>
          </cell>
          <cell r="J565" t="str">
            <v>Kazakhstan</v>
          </cell>
          <cell r="K565" t="str">
            <v>Chinese employees</v>
          </cell>
          <cell r="L565" t="str">
            <v>L3</v>
          </cell>
          <cell r="M565" t="str">
            <v>ALL</v>
          </cell>
          <cell r="N565" t="str">
            <v>FLPC(含奖金)</v>
          </cell>
          <cell r="O565" t="str">
            <v>USD/小时</v>
          </cell>
          <cell r="P565">
            <v>77.680000000000007</v>
          </cell>
        </row>
        <row r="566">
          <cell r="A566" t="str">
            <v>Kazakhstan - Chinese employees - L4</v>
          </cell>
          <cell r="B566" t="str">
            <v>Current version</v>
          </cell>
          <cell r="C566" t="str">
            <v>V2009R2</v>
          </cell>
          <cell r="D566" t="str">
            <v>Labor Rate</v>
          </cell>
          <cell r="E566" t="str">
            <v>CIS</v>
          </cell>
          <cell r="F566" t="str">
            <v>Central Asia Sub-Regional Division</v>
          </cell>
          <cell r="G566" t="str">
            <v>Kazakhstan Rep.O.</v>
          </cell>
          <cell r="H566" t="str">
            <v>3004</v>
          </cell>
          <cell r="I566" t="str">
            <v>哈萨克斯坦</v>
          </cell>
          <cell r="J566" t="str">
            <v>Kazakhstan</v>
          </cell>
          <cell r="K566" t="str">
            <v>Chinese employees</v>
          </cell>
          <cell r="L566" t="str">
            <v>L4</v>
          </cell>
          <cell r="M566" t="str">
            <v>ALL</v>
          </cell>
          <cell r="N566" t="str">
            <v>FLPC(含奖金)</v>
          </cell>
          <cell r="O566" t="str">
            <v>USD/小时</v>
          </cell>
          <cell r="P566">
            <v>124.46</v>
          </cell>
        </row>
        <row r="567">
          <cell r="A567" t="str">
            <v>Kyrgyzstan - Chinese employees - L0</v>
          </cell>
          <cell r="B567" t="str">
            <v>Current version</v>
          </cell>
          <cell r="C567" t="str">
            <v>V2009R2</v>
          </cell>
          <cell r="D567" t="str">
            <v>Labor Rate</v>
          </cell>
          <cell r="E567" t="str">
            <v>CIS</v>
          </cell>
          <cell r="F567" t="str">
            <v>Central Asia Sub-Regional Division</v>
          </cell>
          <cell r="G567" t="str">
            <v>Kazakhstan Rep.O.</v>
          </cell>
          <cell r="H567" t="str">
            <v>3005</v>
          </cell>
          <cell r="I567" t="str">
            <v>吉尔吉斯</v>
          </cell>
          <cell r="J567" t="str">
            <v>Kyrgyzstan</v>
          </cell>
          <cell r="K567" t="str">
            <v>Chinese employees</v>
          </cell>
          <cell r="L567" t="str">
            <v>L0</v>
          </cell>
          <cell r="M567" t="str">
            <v>ALL</v>
          </cell>
          <cell r="N567" t="str">
            <v>FLPC(含奖金)</v>
          </cell>
          <cell r="O567" t="str">
            <v>USD/小时</v>
          </cell>
          <cell r="P567">
            <v>49.79</v>
          </cell>
        </row>
        <row r="568">
          <cell r="A568" t="str">
            <v>Kyrgyzstan - Chinese employees - L1</v>
          </cell>
          <cell r="B568" t="str">
            <v>Current version</v>
          </cell>
          <cell r="C568" t="str">
            <v>V2009R2</v>
          </cell>
          <cell r="D568" t="str">
            <v>Labor Rate</v>
          </cell>
          <cell r="E568" t="str">
            <v>CIS</v>
          </cell>
          <cell r="F568" t="str">
            <v>Central Asia Sub-Regional Division</v>
          </cell>
          <cell r="G568" t="str">
            <v>Kazakhstan Rep.O.</v>
          </cell>
          <cell r="H568" t="str">
            <v>3005</v>
          </cell>
          <cell r="I568" t="str">
            <v>吉尔吉斯</v>
          </cell>
          <cell r="J568" t="str">
            <v>Kyrgyzstan</v>
          </cell>
          <cell r="K568" t="str">
            <v>Chinese employees</v>
          </cell>
          <cell r="L568" t="str">
            <v>L1</v>
          </cell>
          <cell r="M568" t="str">
            <v>ALL</v>
          </cell>
          <cell r="N568" t="str">
            <v>FLPC(含奖金)</v>
          </cell>
          <cell r="O568" t="str">
            <v>USD/小时</v>
          </cell>
          <cell r="P568">
            <v>56.68</v>
          </cell>
        </row>
        <row r="569">
          <cell r="A569" t="str">
            <v>Kyrgyzstan - Chinese employees - L2</v>
          </cell>
          <cell r="B569" t="str">
            <v>Current version</v>
          </cell>
          <cell r="C569" t="str">
            <v>V2009R2</v>
          </cell>
          <cell r="D569" t="str">
            <v>Labor Rate</v>
          </cell>
          <cell r="E569" t="str">
            <v>CIS</v>
          </cell>
          <cell r="F569" t="str">
            <v>Central Asia Sub-Regional Division</v>
          </cell>
          <cell r="G569" t="str">
            <v>Kazakhstan Rep.O.</v>
          </cell>
          <cell r="H569" t="str">
            <v>3005</v>
          </cell>
          <cell r="I569" t="str">
            <v>吉尔吉斯</v>
          </cell>
          <cell r="J569" t="str">
            <v>Kyrgyzstan</v>
          </cell>
          <cell r="K569" t="str">
            <v>Chinese employees</v>
          </cell>
          <cell r="L569" t="str">
            <v>L2</v>
          </cell>
          <cell r="M569" t="str">
            <v>ALL</v>
          </cell>
          <cell r="N569" t="str">
            <v>FLPC(含奖金)</v>
          </cell>
          <cell r="O569" t="str">
            <v>USD/小时</v>
          </cell>
          <cell r="P569">
            <v>65.62</v>
          </cell>
        </row>
        <row r="570">
          <cell r="A570" t="str">
            <v>Kyrgyzstan - Chinese employees - L3</v>
          </cell>
          <cell r="B570" t="str">
            <v>Current version</v>
          </cell>
          <cell r="C570" t="str">
            <v>V2009R2</v>
          </cell>
          <cell r="D570" t="str">
            <v>Labor Rate</v>
          </cell>
          <cell r="E570" t="str">
            <v>CIS</v>
          </cell>
          <cell r="F570" t="str">
            <v>Central Asia Sub-Regional Division</v>
          </cell>
          <cell r="G570" t="str">
            <v>Kazakhstan Rep.O.</v>
          </cell>
          <cell r="H570" t="str">
            <v>3005</v>
          </cell>
          <cell r="I570" t="str">
            <v>吉尔吉斯</v>
          </cell>
          <cell r="J570" t="str">
            <v>Kyrgyzstan</v>
          </cell>
          <cell r="K570" t="str">
            <v>Chinese employees</v>
          </cell>
          <cell r="L570" t="str">
            <v>L3</v>
          </cell>
          <cell r="M570" t="str">
            <v>ALL</v>
          </cell>
          <cell r="N570" t="str">
            <v>FLPC(含奖金)</v>
          </cell>
          <cell r="O570" t="str">
            <v>USD/小时</v>
          </cell>
          <cell r="P570">
            <v>78.41</v>
          </cell>
        </row>
        <row r="571">
          <cell r="A571" t="str">
            <v>Kyrgyzstan - Chinese employees - L4</v>
          </cell>
          <cell r="B571" t="str">
            <v>Current version</v>
          </cell>
          <cell r="C571" t="str">
            <v>V2009R2</v>
          </cell>
          <cell r="D571" t="str">
            <v>Labor Rate</v>
          </cell>
          <cell r="E571" t="str">
            <v>CIS</v>
          </cell>
          <cell r="F571" t="str">
            <v>Central Asia Sub-Regional Division</v>
          </cell>
          <cell r="G571" t="str">
            <v>Kazakhstan Rep.O.</v>
          </cell>
          <cell r="H571" t="str">
            <v>3005</v>
          </cell>
          <cell r="I571" t="str">
            <v>吉尔吉斯</v>
          </cell>
          <cell r="J571" t="str">
            <v>Kyrgyzstan</v>
          </cell>
          <cell r="K571" t="str">
            <v>Chinese employees</v>
          </cell>
          <cell r="L571" t="str">
            <v>L4</v>
          </cell>
          <cell r="M571" t="str">
            <v>ALL</v>
          </cell>
          <cell r="N571" t="str">
            <v>FLPC(含奖金)</v>
          </cell>
          <cell r="O571" t="str">
            <v>USD/小时</v>
          </cell>
          <cell r="P571">
            <v>124.49</v>
          </cell>
        </row>
        <row r="572">
          <cell r="A572" t="str">
            <v>Azerbaijan - Chinese employees - L0</v>
          </cell>
          <cell r="B572" t="str">
            <v>Current version</v>
          </cell>
          <cell r="C572" t="str">
            <v>V2009R2</v>
          </cell>
          <cell r="D572" t="str">
            <v>Labor Rate</v>
          </cell>
          <cell r="E572" t="str">
            <v>CIS</v>
          </cell>
          <cell r="F572" t="str">
            <v>Central Asia Sub-Regional Division</v>
          </cell>
          <cell r="G572" t="str">
            <v>Azerbaijan Rep.O.</v>
          </cell>
          <cell r="H572" t="str">
            <v>3007</v>
          </cell>
          <cell r="I572" t="str">
            <v>阿塞拜疆</v>
          </cell>
          <cell r="J572" t="str">
            <v>Azerbaijan</v>
          </cell>
          <cell r="K572" t="str">
            <v>Chinese employees</v>
          </cell>
          <cell r="L572" t="str">
            <v>L0</v>
          </cell>
          <cell r="M572" t="str">
            <v>ALL</v>
          </cell>
          <cell r="N572" t="str">
            <v>FLPC(含奖金)</v>
          </cell>
          <cell r="O572" t="str">
            <v>USD/小时</v>
          </cell>
          <cell r="P572">
            <v>47.21</v>
          </cell>
        </row>
        <row r="573">
          <cell r="A573" t="str">
            <v>Azerbaijan - Chinese employees - L1</v>
          </cell>
          <cell r="B573" t="str">
            <v>Current version</v>
          </cell>
          <cell r="C573" t="str">
            <v>V2009R2</v>
          </cell>
          <cell r="D573" t="str">
            <v>Labor Rate</v>
          </cell>
          <cell r="E573" t="str">
            <v>CIS</v>
          </cell>
          <cell r="F573" t="str">
            <v>Central Asia Sub-Regional Division</v>
          </cell>
          <cell r="G573" t="str">
            <v>Azerbaijan Rep.O.</v>
          </cell>
          <cell r="H573" t="str">
            <v>3007</v>
          </cell>
          <cell r="I573" t="str">
            <v>阿塞拜疆</v>
          </cell>
          <cell r="J573" t="str">
            <v>Azerbaijan</v>
          </cell>
          <cell r="K573" t="str">
            <v>Chinese employees</v>
          </cell>
          <cell r="L573" t="str">
            <v>L1</v>
          </cell>
          <cell r="M573" t="str">
            <v>ALL</v>
          </cell>
          <cell r="N573" t="str">
            <v>FLPC(含奖金)</v>
          </cell>
          <cell r="O573" t="str">
            <v>USD/小时</v>
          </cell>
          <cell r="P573">
            <v>55.28</v>
          </cell>
        </row>
        <row r="574">
          <cell r="A574" t="str">
            <v>Azerbaijan - Chinese employees - L2</v>
          </cell>
          <cell r="B574" t="str">
            <v>Current version</v>
          </cell>
          <cell r="C574" t="str">
            <v>V2009R2</v>
          </cell>
          <cell r="D574" t="str">
            <v>Labor Rate</v>
          </cell>
          <cell r="E574" t="str">
            <v>CIS</v>
          </cell>
          <cell r="F574" t="str">
            <v>Central Asia Sub-Regional Division</v>
          </cell>
          <cell r="G574" t="str">
            <v>Azerbaijan Rep.O.</v>
          </cell>
          <cell r="H574" t="str">
            <v>3007</v>
          </cell>
          <cell r="I574" t="str">
            <v>阿塞拜疆</v>
          </cell>
          <cell r="J574" t="str">
            <v>Azerbaijan</v>
          </cell>
          <cell r="K574" t="str">
            <v>Chinese employees</v>
          </cell>
          <cell r="L574" t="str">
            <v>L2</v>
          </cell>
          <cell r="M574" t="str">
            <v>ALL</v>
          </cell>
          <cell r="N574" t="str">
            <v>FLPC(含奖金)</v>
          </cell>
          <cell r="O574" t="str">
            <v>USD/小时</v>
          </cell>
          <cell r="P574">
            <v>63.74</v>
          </cell>
        </row>
        <row r="575">
          <cell r="A575" t="str">
            <v>Azerbaijan - Chinese employees - L3</v>
          </cell>
          <cell r="B575" t="str">
            <v>Current version</v>
          </cell>
          <cell r="C575" t="str">
            <v>V2009R2</v>
          </cell>
          <cell r="D575" t="str">
            <v>Labor Rate</v>
          </cell>
          <cell r="E575" t="str">
            <v>CIS</v>
          </cell>
          <cell r="F575" t="str">
            <v>Central Asia Sub-Regional Division</v>
          </cell>
          <cell r="G575" t="str">
            <v>Azerbaijan Rep.O.</v>
          </cell>
          <cell r="H575" t="str">
            <v>3007</v>
          </cell>
          <cell r="I575" t="str">
            <v>阿塞拜疆</v>
          </cell>
          <cell r="J575" t="str">
            <v>Azerbaijan</v>
          </cell>
          <cell r="K575" t="str">
            <v>Chinese employees</v>
          </cell>
          <cell r="L575" t="str">
            <v>L3</v>
          </cell>
          <cell r="M575" t="str">
            <v>ALL</v>
          </cell>
          <cell r="N575" t="str">
            <v>FLPC(含奖金)</v>
          </cell>
          <cell r="O575" t="str">
            <v>USD/小时</v>
          </cell>
          <cell r="P575">
            <v>75.98</v>
          </cell>
        </row>
        <row r="576">
          <cell r="A576" t="str">
            <v>Azerbaijan - Chinese employees - L4</v>
          </cell>
          <cell r="B576" t="str">
            <v>Current version</v>
          </cell>
          <cell r="C576" t="str">
            <v>V2009R2</v>
          </cell>
          <cell r="D576" t="str">
            <v>Labor Rate</v>
          </cell>
          <cell r="E576" t="str">
            <v>CIS</v>
          </cell>
          <cell r="F576" t="str">
            <v>Central Asia Sub-Regional Division</v>
          </cell>
          <cell r="G576" t="str">
            <v>Azerbaijan Rep.O.</v>
          </cell>
          <cell r="H576" t="str">
            <v>3007</v>
          </cell>
          <cell r="I576" t="str">
            <v>阿塞拜疆</v>
          </cell>
          <cell r="J576" t="str">
            <v>Azerbaijan</v>
          </cell>
          <cell r="K576" t="str">
            <v>Chinese employees</v>
          </cell>
          <cell r="L576" t="str">
            <v>L4</v>
          </cell>
          <cell r="M576" t="str">
            <v>ALL</v>
          </cell>
          <cell r="N576" t="str">
            <v>FLPC(含奖金)</v>
          </cell>
          <cell r="O576" t="str">
            <v>USD/小时</v>
          </cell>
          <cell r="P576">
            <v>115.92</v>
          </cell>
        </row>
        <row r="577">
          <cell r="A577" t="str">
            <v>Baku - Chinese employees - L0</v>
          </cell>
          <cell r="B577" t="str">
            <v>Current version</v>
          </cell>
          <cell r="C577" t="str">
            <v>V2009R2</v>
          </cell>
          <cell r="D577" t="str">
            <v>Labor Rate</v>
          </cell>
          <cell r="E577" t="str">
            <v>CIS</v>
          </cell>
          <cell r="F577" t="str">
            <v>Central Asia Sub-Regional Division</v>
          </cell>
          <cell r="G577" t="str">
            <v>Azerbaijan Rep.O.</v>
          </cell>
          <cell r="H577" t="str">
            <v>3021</v>
          </cell>
          <cell r="I577" t="str">
            <v>巴库</v>
          </cell>
          <cell r="J577" t="str">
            <v>Baku</v>
          </cell>
          <cell r="K577" t="str">
            <v>Chinese employees</v>
          </cell>
          <cell r="L577" t="str">
            <v>L0</v>
          </cell>
          <cell r="M577" t="str">
            <v>ALL</v>
          </cell>
          <cell r="N577" t="str">
            <v>FLPC(含奖金)</v>
          </cell>
          <cell r="O577" t="str">
            <v>USD/小时</v>
          </cell>
          <cell r="P577">
            <v>47.21</v>
          </cell>
        </row>
        <row r="578">
          <cell r="A578" t="str">
            <v>Baku - Chinese employees - L1</v>
          </cell>
          <cell r="B578" t="str">
            <v>Current version</v>
          </cell>
          <cell r="C578" t="str">
            <v>V2009R2</v>
          </cell>
          <cell r="D578" t="str">
            <v>Labor Rate</v>
          </cell>
          <cell r="E578" t="str">
            <v>CIS</v>
          </cell>
          <cell r="F578" t="str">
            <v>Central Asia Sub-Regional Division</v>
          </cell>
          <cell r="G578" t="str">
            <v>Azerbaijan Rep.O.</v>
          </cell>
          <cell r="H578" t="str">
            <v>3021</v>
          </cell>
          <cell r="I578" t="str">
            <v>巴库</v>
          </cell>
          <cell r="J578" t="str">
            <v>Baku</v>
          </cell>
          <cell r="K578" t="str">
            <v>Chinese employees</v>
          </cell>
          <cell r="L578" t="str">
            <v>L1</v>
          </cell>
          <cell r="M578" t="str">
            <v>ALL</v>
          </cell>
          <cell r="N578" t="str">
            <v>FLPC(含奖金)</v>
          </cell>
          <cell r="O578" t="str">
            <v>USD/小时</v>
          </cell>
          <cell r="P578">
            <v>55.28</v>
          </cell>
        </row>
        <row r="579">
          <cell r="A579" t="str">
            <v>Baku - Chinese employees - L2</v>
          </cell>
          <cell r="B579" t="str">
            <v>Current version</v>
          </cell>
          <cell r="C579" t="str">
            <v>V2009R2</v>
          </cell>
          <cell r="D579" t="str">
            <v>Labor Rate</v>
          </cell>
          <cell r="E579" t="str">
            <v>CIS</v>
          </cell>
          <cell r="F579" t="str">
            <v>Central Asia Sub-Regional Division</v>
          </cell>
          <cell r="G579" t="str">
            <v>Azerbaijan Rep.O.</v>
          </cell>
          <cell r="H579" t="str">
            <v>3021</v>
          </cell>
          <cell r="I579" t="str">
            <v>巴库</v>
          </cell>
          <cell r="J579" t="str">
            <v>Baku</v>
          </cell>
          <cell r="K579" t="str">
            <v>Chinese employees</v>
          </cell>
          <cell r="L579" t="str">
            <v>L2</v>
          </cell>
          <cell r="M579" t="str">
            <v>ALL</v>
          </cell>
          <cell r="N579" t="str">
            <v>FLPC(含奖金)</v>
          </cell>
          <cell r="O579" t="str">
            <v>USD/小时</v>
          </cell>
          <cell r="P579">
            <v>63.74</v>
          </cell>
        </row>
        <row r="580">
          <cell r="A580" t="str">
            <v>Baku - Chinese employees - L3</v>
          </cell>
          <cell r="B580" t="str">
            <v>Current version</v>
          </cell>
          <cell r="C580" t="str">
            <v>V2009R2</v>
          </cell>
          <cell r="D580" t="str">
            <v>Labor Rate</v>
          </cell>
          <cell r="E580" t="str">
            <v>CIS</v>
          </cell>
          <cell r="F580" t="str">
            <v>Central Asia Sub-Regional Division</v>
          </cell>
          <cell r="G580" t="str">
            <v>Azerbaijan Rep.O.</v>
          </cell>
          <cell r="H580" t="str">
            <v>3021</v>
          </cell>
          <cell r="I580" t="str">
            <v>巴库</v>
          </cell>
          <cell r="J580" t="str">
            <v>Baku</v>
          </cell>
          <cell r="K580" t="str">
            <v>Chinese employees</v>
          </cell>
          <cell r="L580" t="str">
            <v>L3</v>
          </cell>
          <cell r="M580" t="str">
            <v>ALL</v>
          </cell>
          <cell r="N580" t="str">
            <v>FLPC(含奖金)</v>
          </cell>
          <cell r="O580" t="str">
            <v>USD/小时</v>
          </cell>
          <cell r="P580">
            <v>75.98</v>
          </cell>
        </row>
        <row r="581">
          <cell r="A581" t="str">
            <v>Baku - Chinese employees - L4</v>
          </cell>
          <cell r="B581" t="str">
            <v>Current version</v>
          </cell>
          <cell r="C581" t="str">
            <v>V2009R2</v>
          </cell>
          <cell r="D581" t="str">
            <v>Labor Rate</v>
          </cell>
          <cell r="E581" t="str">
            <v>CIS</v>
          </cell>
          <cell r="F581" t="str">
            <v>Central Asia Sub-Regional Division</v>
          </cell>
          <cell r="G581" t="str">
            <v>Azerbaijan Rep.O.</v>
          </cell>
          <cell r="H581" t="str">
            <v>3021</v>
          </cell>
          <cell r="I581" t="str">
            <v>巴库</v>
          </cell>
          <cell r="J581" t="str">
            <v>Baku</v>
          </cell>
          <cell r="K581" t="str">
            <v>Chinese employees</v>
          </cell>
          <cell r="L581" t="str">
            <v>L4</v>
          </cell>
          <cell r="M581" t="str">
            <v>ALL</v>
          </cell>
          <cell r="N581" t="str">
            <v>FLPC(含奖金)</v>
          </cell>
          <cell r="O581" t="str">
            <v>USD/小时</v>
          </cell>
          <cell r="P581">
            <v>115.92</v>
          </cell>
        </row>
        <row r="582">
          <cell r="A582" t="str">
            <v>WaiGao - Chinese employees - L0</v>
          </cell>
          <cell r="B582" t="str">
            <v>Current version</v>
          </cell>
          <cell r="C582" t="str">
            <v>V2009R2</v>
          </cell>
          <cell r="D582" t="str">
            <v>Labor Rate</v>
          </cell>
          <cell r="E582" t="str">
            <v>CIS</v>
          </cell>
          <cell r="F582" t="str">
            <v>Central Asia Sub-Regional Division</v>
          </cell>
          <cell r="G582" t="str">
            <v>Azerbaijan Rep.O.</v>
          </cell>
          <cell r="H582" t="str">
            <v>3025</v>
          </cell>
          <cell r="I582" t="str">
            <v>外高三国</v>
          </cell>
          <cell r="J582" t="str">
            <v>WaiGao</v>
          </cell>
          <cell r="K582" t="str">
            <v>Chinese employees</v>
          </cell>
          <cell r="L582" t="str">
            <v>L0</v>
          </cell>
          <cell r="M582" t="str">
            <v>ALL</v>
          </cell>
          <cell r="N582" t="str">
            <v>FLPC(含奖金)</v>
          </cell>
          <cell r="O582" t="str">
            <v>USD/小时</v>
          </cell>
          <cell r="P582">
            <v>45.32</v>
          </cell>
        </row>
        <row r="583">
          <cell r="A583" t="str">
            <v>WaiGao - Chinese employees - L1</v>
          </cell>
          <cell r="B583" t="str">
            <v>Current version</v>
          </cell>
          <cell r="C583" t="str">
            <v>V2009R2</v>
          </cell>
          <cell r="D583" t="str">
            <v>Labor Rate</v>
          </cell>
          <cell r="E583" t="str">
            <v>CIS</v>
          </cell>
          <cell r="F583" t="str">
            <v>Central Asia Sub-Regional Division</v>
          </cell>
          <cell r="G583" t="str">
            <v>Azerbaijan Rep.O.</v>
          </cell>
          <cell r="H583" t="str">
            <v>3025</v>
          </cell>
          <cell r="I583" t="str">
            <v>外高三国</v>
          </cell>
          <cell r="J583" t="str">
            <v>WaiGao</v>
          </cell>
          <cell r="K583" t="str">
            <v>Chinese employees</v>
          </cell>
          <cell r="L583" t="str">
            <v>L1</v>
          </cell>
          <cell r="M583" t="str">
            <v>ALL</v>
          </cell>
          <cell r="N583" t="str">
            <v>FLPC(含奖金)</v>
          </cell>
          <cell r="O583" t="str">
            <v>USD/小时</v>
          </cell>
          <cell r="P583">
            <v>51.48</v>
          </cell>
        </row>
        <row r="584">
          <cell r="A584" t="str">
            <v>WaiGao - Chinese employees - L2</v>
          </cell>
          <cell r="B584" t="str">
            <v>Current version</v>
          </cell>
          <cell r="C584" t="str">
            <v>V2009R2</v>
          </cell>
          <cell r="D584" t="str">
            <v>Labor Rate</v>
          </cell>
          <cell r="E584" t="str">
            <v>CIS</v>
          </cell>
          <cell r="F584" t="str">
            <v>Central Asia Sub-Regional Division</v>
          </cell>
          <cell r="G584" t="str">
            <v>Azerbaijan Rep.O.</v>
          </cell>
          <cell r="H584" t="str">
            <v>3025</v>
          </cell>
          <cell r="I584" t="str">
            <v>外高三国</v>
          </cell>
          <cell r="J584" t="str">
            <v>WaiGao</v>
          </cell>
          <cell r="K584" t="str">
            <v>Chinese employees</v>
          </cell>
          <cell r="L584" t="str">
            <v>L2</v>
          </cell>
          <cell r="M584" t="str">
            <v>ALL</v>
          </cell>
          <cell r="N584" t="str">
            <v>FLPC(含奖金)</v>
          </cell>
          <cell r="O584" t="str">
            <v>USD/小时</v>
          </cell>
          <cell r="P584">
            <v>61.38</v>
          </cell>
        </row>
        <row r="585">
          <cell r="A585" t="str">
            <v>WaiGao - Chinese employees - L3</v>
          </cell>
          <cell r="B585" t="str">
            <v>Current version</v>
          </cell>
          <cell r="C585" t="str">
            <v>V2009R2</v>
          </cell>
          <cell r="D585" t="str">
            <v>Labor Rate</v>
          </cell>
          <cell r="E585" t="str">
            <v>CIS</v>
          </cell>
          <cell r="F585" t="str">
            <v>Central Asia Sub-Regional Division</v>
          </cell>
          <cell r="G585" t="str">
            <v>Azerbaijan Rep.O.</v>
          </cell>
          <cell r="H585" t="str">
            <v>3025</v>
          </cell>
          <cell r="I585" t="str">
            <v>外高三国</v>
          </cell>
          <cell r="J585" t="str">
            <v>WaiGao</v>
          </cell>
          <cell r="K585" t="str">
            <v>Chinese employees</v>
          </cell>
          <cell r="L585" t="str">
            <v>L3</v>
          </cell>
          <cell r="M585" t="str">
            <v>ALL</v>
          </cell>
          <cell r="N585" t="str">
            <v>FLPC(含奖金)</v>
          </cell>
          <cell r="O585" t="str">
            <v>USD/小时</v>
          </cell>
          <cell r="P585">
            <v>73.28</v>
          </cell>
        </row>
        <row r="586">
          <cell r="A586" t="str">
            <v>WaiGao - Chinese employees - L4</v>
          </cell>
          <cell r="B586" t="str">
            <v>Current version</v>
          </cell>
          <cell r="C586" t="str">
            <v>V2009R2</v>
          </cell>
          <cell r="D586" t="str">
            <v>Labor Rate</v>
          </cell>
          <cell r="E586" t="str">
            <v>CIS</v>
          </cell>
          <cell r="F586" t="str">
            <v>Central Asia Sub-Regional Division</v>
          </cell>
          <cell r="G586" t="str">
            <v>Azerbaijan Rep.O.</v>
          </cell>
          <cell r="H586" t="str">
            <v>3025</v>
          </cell>
          <cell r="I586" t="str">
            <v>外高三国</v>
          </cell>
          <cell r="J586" t="str">
            <v>WaiGao</v>
          </cell>
          <cell r="K586" t="str">
            <v>Chinese employees</v>
          </cell>
          <cell r="L586" t="str">
            <v>L4</v>
          </cell>
          <cell r="M586" t="str">
            <v>ALL</v>
          </cell>
          <cell r="N586" t="str">
            <v>FLPC(含奖金)</v>
          </cell>
          <cell r="O586" t="str">
            <v>USD/小时</v>
          </cell>
          <cell r="P586">
            <v>112.09</v>
          </cell>
        </row>
        <row r="587">
          <cell r="A587" t="str">
            <v>Georgia - Chinese employees - L0</v>
          </cell>
          <cell r="B587" t="str">
            <v>Current version</v>
          </cell>
          <cell r="C587" t="str">
            <v>V2009R2</v>
          </cell>
          <cell r="D587" t="str">
            <v>Labor Rate</v>
          </cell>
          <cell r="E587" t="str">
            <v>CIS</v>
          </cell>
          <cell r="F587" t="str">
            <v>Central Asia Sub-Regional Division</v>
          </cell>
          <cell r="G587" t="str">
            <v>Azerbaijan Rep.O.</v>
          </cell>
          <cell r="H587" t="str">
            <v>3019</v>
          </cell>
          <cell r="I587" t="str">
            <v>格鲁吉亚</v>
          </cell>
          <cell r="J587" t="str">
            <v>Georgia</v>
          </cell>
          <cell r="K587" t="str">
            <v>Chinese employees</v>
          </cell>
          <cell r="L587" t="str">
            <v>L0</v>
          </cell>
          <cell r="M587" t="str">
            <v>ALL</v>
          </cell>
          <cell r="N587" t="str">
            <v>FLPC(含奖金)</v>
          </cell>
          <cell r="O587" t="str">
            <v>USD/小时</v>
          </cell>
          <cell r="P587">
            <v>44.89</v>
          </cell>
        </row>
        <row r="588">
          <cell r="A588" t="str">
            <v>Georgia - Chinese employees - L1</v>
          </cell>
          <cell r="B588" t="str">
            <v>Current version</v>
          </cell>
          <cell r="C588" t="str">
            <v>V2009R2</v>
          </cell>
          <cell r="D588" t="str">
            <v>Labor Rate</v>
          </cell>
          <cell r="E588" t="str">
            <v>CIS</v>
          </cell>
          <cell r="F588" t="str">
            <v>Central Asia Sub-Regional Division</v>
          </cell>
          <cell r="G588" t="str">
            <v>Azerbaijan Rep.O.</v>
          </cell>
          <cell r="H588" t="str">
            <v>3019</v>
          </cell>
          <cell r="I588" t="str">
            <v>格鲁吉亚</v>
          </cell>
          <cell r="J588" t="str">
            <v>Georgia</v>
          </cell>
          <cell r="K588" t="str">
            <v>Chinese employees</v>
          </cell>
          <cell r="L588" t="str">
            <v>L1</v>
          </cell>
          <cell r="M588" t="str">
            <v>ALL</v>
          </cell>
          <cell r="N588" t="str">
            <v>FLPC(含奖金)</v>
          </cell>
          <cell r="O588" t="str">
            <v>USD/小时</v>
          </cell>
          <cell r="P588">
            <v>51.43</v>
          </cell>
        </row>
        <row r="589">
          <cell r="A589" t="str">
            <v>VIETNAM(HOCHIHMING) - Chinese employees - L1</v>
          </cell>
          <cell r="B589" t="str">
            <v>Current version</v>
          </cell>
          <cell r="C589" t="str">
            <v>V2009R2</v>
          </cell>
          <cell r="D589" t="str">
            <v>Labor Rate</v>
          </cell>
          <cell r="E589" t="str">
            <v>AP</v>
          </cell>
          <cell r="F589" t="str">
            <v>Southern-East Asia Sub-Regional Division</v>
          </cell>
          <cell r="G589" t="str">
            <v>Vietnam Rep.O.</v>
          </cell>
          <cell r="H589" t="str">
            <v>1225</v>
          </cell>
          <cell r="I589" t="str">
            <v>越南（胡志明市）</v>
          </cell>
          <cell r="J589" t="str">
            <v>VIETNAM(HOCHIHMING)</v>
          </cell>
          <cell r="K589" t="str">
            <v>Chinese employees</v>
          </cell>
          <cell r="L589" t="str">
            <v>L1</v>
          </cell>
          <cell r="M589" t="str">
            <v>ALL</v>
          </cell>
          <cell r="N589" t="str">
            <v>FLPC(含奖金)</v>
          </cell>
          <cell r="O589" t="str">
            <v>USD/小时</v>
          </cell>
          <cell r="P589">
            <v>37.229999999999997</v>
          </cell>
        </row>
        <row r="590">
          <cell r="A590" t="str">
            <v>VIETNAM(HOCHIHMING) - Chinese employees - L2</v>
          </cell>
          <cell r="B590" t="str">
            <v>Current version</v>
          </cell>
          <cell r="C590" t="str">
            <v>V2009R2</v>
          </cell>
          <cell r="D590" t="str">
            <v>Labor Rate</v>
          </cell>
          <cell r="E590" t="str">
            <v>AP</v>
          </cell>
          <cell r="F590" t="str">
            <v>Southern-East Asia Sub-Regional Division</v>
          </cell>
          <cell r="G590" t="str">
            <v>Vietnam Rep.O.</v>
          </cell>
          <cell r="H590" t="str">
            <v>1225</v>
          </cell>
          <cell r="I590" t="str">
            <v>越南（胡志明市）</v>
          </cell>
          <cell r="J590" t="str">
            <v>VIETNAM(HOCHIHMING)</v>
          </cell>
          <cell r="K590" t="str">
            <v>Chinese employees</v>
          </cell>
          <cell r="L590" t="str">
            <v>L2</v>
          </cell>
          <cell r="M590" t="str">
            <v>ALL</v>
          </cell>
          <cell r="N590" t="str">
            <v>FLPC(含奖金)</v>
          </cell>
          <cell r="O590" t="str">
            <v>USD/小时</v>
          </cell>
          <cell r="P590">
            <v>44.26</v>
          </cell>
        </row>
        <row r="591">
          <cell r="A591" t="str">
            <v>VIETNAM(HOCHIHMING) - Chinese employees - L3</v>
          </cell>
          <cell r="B591" t="str">
            <v>Current version</v>
          </cell>
          <cell r="C591" t="str">
            <v>V2009R2</v>
          </cell>
          <cell r="D591" t="str">
            <v>Labor Rate</v>
          </cell>
          <cell r="E591" t="str">
            <v>AP</v>
          </cell>
          <cell r="F591" t="str">
            <v>Southern-East Asia Sub-Regional Division</v>
          </cell>
          <cell r="G591" t="str">
            <v>Vietnam Rep.O.</v>
          </cell>
          <cell r="H591" t="str">
            <v>1225</v>
          </cell>
          <cell r="I591" t="str">
            <v>越南（胡志明市）</v>
          </cell>
          <cell r="J591" t="str">
            <v>VIETNAM(HOCHIHMING)</v>
          </cell>
          <cell r="K591" t="str">
            <v>Chinese employees</v>
          </cell>
          <cell r="L591" t="str">
            <v>L3</v>
          </cell>
          <cell r="M591" t="str">
            <v>ALL</v>
          </cell>
          <cell r="N591" t="str">
            <v>FLPC(含奖金)</v>
          </cell>
          <cell r="O591" t="str">
            <v>USD/小时</v>
          </cell>
          <cell r="P591">
            <v>54.31</v>
          </cell>
        </row>
        <row r="592">
          <cell r="A592" t="str">
            <v>VIETNAM(HOCHIHMING) - Chinese employees - L4</v>
          </cell>
          <cell r="B592" t="str">
            <v>Current version</v>
          </cell>
          <cell r="C592" t="str">
            <v>V2009R2</v>
          </cell>
          <cell r="D592" t="str">
            <v>Labor Rate</v>
          </cell>
          <cell r="E592" t="str">
            <v>AP</v>
          </cell>
          <cell r="F592" t="str">
            <v>Southern-East Asia Sub-Regional Division</v>
          </cell>
          <cell r="G592" t="str">
            <v>Vietnam Rep.O.</v>
          </cell>
          <cell r="H592" t="str">
            <v>1225</v>
          </cell>
          <cell r="I592" t="str">
            <v>越南（胡志明市）</v>
          </cell>
          <cell r="J592" t="str">
            <v>VIETNAM(HOCHIHMING)</v>
          </cell>
          <cell r="K592" t="str">
            <v>Chinese employees</v>
          </cell>
          <cell r="L592" t="str">
            <v>L4</v>
          </cell>
          <cell r="M592" t="str">
            <v>ALL</v>
          </cell>
          <cell r="N592" t="str">
            <v>FLPC(含奖金)</v>
          </cell>
          <cell r="O592" t="str">
            <v>USD/小时</v>
          </cell>
          <cell r="P592">
            <v>90.54</v>
          </cell>
        </row>
        <row r="593">
          <cell r="A593" t="str">
            <v>Thailand - Chinese employees - L0</v>
          </cell>
          <cell r="B593" t="str">
            <v>Current version</v>
          </cell>
          <cell r="C593" t="str">
            <v>V2009R2</v>
          </cell>
          <cell r="D593" t="str">
            <v>Labor Rate</v>
          </cell>
          <cell r="E593" t="str">
            <v>AP</v>
          </cell>
          <cell r="F593" t="str">
            <v>Southern-East Asia Sub-Regional Division</v>
          </cell>
          <cell r="G593" t="str">
            <v>Thailand Rep.O.</v>
          </cell>
          <cell r="H593" t="str">
            <v>1202</v>
          </cell>
          <cell r="I593" t="str">
            <v>泰国</v>
          </cell>
          <cell r="J593" t="str">
            <v>Thailand</v>
          </cell>
          <cell r="K593" t="str">
            <v>Chinese employees</v>
          </cell>
          <cell r="L593" t="str">
            <v>L0</v>
          </cell>
          <cell r="M593" t="str">
            <v>ALL</v>
          </cell>
          <cell r="N593" t="str">
            <v>FLPC(含奖金)</v>
          </cell>
          <cell r="O593" t="str">
            <v>USD/小时</v>
          </cell>
          <cell r="P593">
            <v>29.78</v>
          </cell>
        </row>
        <row r="594">
          <cell r="A594" t="str">
            <v>Thailand - Chinese employees - L1</v>
          </cell>
          <cell r="B594" t="str">
            <v>Current version</v>
          </cell>
          <cell r="C594" t="str">
            <v>V2009R2</v>
          </cell>
          <cell r="D594" t="str">
            <v>Labor Rate</v>
          </cell>
          <cell r="E594" t="str">
            <v>AP</v>
          </cell>
          <cell r="F594" t="str">
            <v>Southern-East Asia Sub-Regional Division</v>
          </cell>
          <cell r="G594" t="str">
            <v>Thailand Rep.O.</v>
          </cell>
          <cell r="H594" t="str">
            <v>1202</v>
          </cell>
          <cell r="I594" t="str">
            <v>泰国</v>
          </cell>
          <cell r="J594" t="str">
            <v>Thailand</v>
          </cell>
          <cell r="K594" t="str">
            <v>Chinese employees</v>
          </cell>
          <cell r="L594" t="str">
            <v>L1</v>
          </cell>
          <cell r="M594" t="str">
            <v>ALL</v>
          </cell>
          <cell r="N594" t="str">
            <v>FLPC(含奖金)</v>
          </cell>
          <cell r="O594" t="str">
            <v>USD/小时</v>
          </cell>
          <cell r="P594">
            <v>35.479999999999997</v>
          </cell>
        </row>
        <row r="595">
          <cell r="A595" t="str">
            <v>Thailand - Chinese employees - L2</v>
          </cell>
          <cell r="B595" t="str">
            <v>Current version</v>
          </cell>
          <cell r="C595" t="str">
            <v>V2009R2</v>
          </cell>
          <cell r="D595" t="str">
            <v>Labor Rate</v>
          </cell>
          <cell r="E595" t="str">
            <v>AP</v>
          </cell>
          <cell r="F595" t="str">
            <v>Southern-East Asia Sub-Regional Division</v>
          </cell>
          <cell r="G595" t="str">
            <v>Thailand Rep.O.</v>
          </cell>
          <cell r="H595" t="str">
            <v>1202</v>
          </cell>
          <cell r="I595" t="str">
            <v>泰国</v>
          </cell>
          <cell r="J595" t="str">
            <v>Thailand</v>
          </cell>
          <cell r="K595" t="str">
            <v>Chinese employees</v>
          </cell>
          <cell r="L595" t="str">
            <v>L2</v>
          </cell>
          <cell r="M595" t="str">
            <v>ALL</v>
          </cell>
          <cell r="N595" t="str">
            <v>FLPC(含奖金)</v>
          </cell>
          <cell r="O595" t="str">
            <v>USD/小时</v>
          </cell>
          <cell r="P595">
            <v>42.87</v>
          </cell>
        </row>
        <row r="596">
          <cell r="A596" t="str">
            <v>Thailand - Chinese employees - L3</v>
          </cell>
          <cell r="B596" t="str">
            <v>Current version</v>
          </cell>
          <cell r="C596" t="str">
            <v>V2009R2</v>
          </cell>
          <cell r="D596" t="str">
            <v>Labor Rate</v>
          </cell>
          <cell r="E596" t="str">
            <v>AP</v>
          </cell>
          <cell r="F596" t="str">
            <v>Southern-East Asia Sub-Regional Division</v>
          </cell>
          <cell r="G596" t="str">
            <v>Thailand Rep.O.</v>
          </cell>
          <cell r="H596" t="str">
            <v>1202</v>
          </cell>
          <cell r="I596" t="str">
            <v>泰国</v>
          </cell>
          <cell r="J596" t="str">
            <v>Thailand</v>
          </cell>
          <cell r="K596" t="str">
            <v>Chinese employees</v>
          </cell>
          <cell r="L596" t="str">
            <v>L3</v>
          </cell>
          <cell r="M596" t="str">
            <v>ALL</v>
          </cell>
          <cell r="N596" t="str">
            <v>FLPC(含奖金)</v>
          </cell>
          <cell r="O596" t="str">
            <v>USD/小时</v>
          </cell>
          <cell r="P596">
            <v>53.45</v>
          </cell>
        </row>
        <row r="597">
          <cell r="A597" t="str">
            <v>Thailand - Chinese employees - L4</v>
          </cell>
          <cell r="B597" t="str">
            <v>Current version</v>
          </cell>
          <cell r="C597" t="str">
            <v>V2009R2</v>
          </cell>
          <cell r="D597" t="str">
            <v>Labor Rate</v>
          </cell>
          <cell r="E597" t="str">
            <v>AP</v>
          </cell>
          <cell r="F597" t="str">
            <v>Southern-East Asia Sub-Regional Division</v>
          </cell>
          <cell r="G597" t="str">
            <v>Thailand Rep.O.</v>
          </cell>
          <cell r="H597" t="str">
            <v>1202</v>
          </cell>
          <cell r="I597" t="str">
            <v>泰国</v>
          </cell>
          <cell r="J597" t="str">
            <v>Thailand</v>
          </cell>
          <cell r="K597" t="str">
            <v>Chinese employees</v>
          </cell>
          <cell r="L597" t="str">
            <v>L4</v>
          </cell>
          <cell r="M597" t="str">
            <v>ALL</v>
          </cell>
          <cell r="N597" t="str">
            <v>FLPC(含奖金)</v>
          </cell>
          <cell r="O597" t="str">
            <v>USD/小时</v>
          </cell>
          <cell r="P597">
            <v>91.55</v>
          </cell>
        </row>
        <row r="598">
          <cell r="A598" t="str">
            <v>Myanmar - Chinese employees - L0</v>
          </cell>
          <cell r="B598" t="str">
            <v>Current version</v>
          </cell>
          <cell r="C598" t="str">
            <v>V2009R2</v>
          </cell>
          <cell r="D598" t="str">
            <v>Labor Rate</v>
          </cell>
          <cell r="E598" t="str">
            <v>AP</v>
          </cell>
          <cell r="F598" t="str">
            <v>Southern-East Asia Sub-Regional Division</v>
          </cell>
          <cell r="G598" t="str">
            <v>Thailand Rep.O.</v>
          </cell>
          <cell r="H598" t="str">
            <v>1217</v>
          </cell>
          <cell r="I598" t="str">
            <v>缅甸</v>
          </cell>
          <cell r="J598" t="str">
            <v>Myanmar</v>
          </cell>
          <cell r="K598" t="str">
            <v>Chinese employees</v>
          </cell>
          <cell r="L598" t="str">
            <v>L0</v>
          </cell>
          <cell r="M598" t="str">
            <v>ALL</v>
          </cell>
          <cell r="N598" t="str">
            <v>FLPC(含奖金)</v>
          </cell>
          <cell r="O598" t="str">
            <v>USD/小时</v>
          </cell>
          <cell r="P598">
            <v>34.479999999999997</v>
          </cell>
        </row>
        <row r="599">
          <cell r="A599" t="str">
            <v>Myanmar - Chinese employees - L1</v>
          </cell>
          <cell r="B599" t="str">
            <v>Current version</v>
          </cell>
          <cell r="C599" t="str">
            <v>V2009R2</v>
          </cell>
          <cell r="D599" t="str">
            <v>Labor Rate</v>
          </cell>
          <cell r="E599" t="str">
            <v>AP</v>
          </cell>
          <cell r="F599" t="str">
            <v>Southern-East Asia Sub-Regional Division</v>
          </cell>
          <cell r="G599" t="str">
            <v>Thailand Rep.O.</v>
          </cell>
          <cell r="H599" t="str">
            <v>1217</v>
          </cell>
          <cell r="I599" t="str">
            <v>缅甸</v>
          </cell>
          <cell r="J599" t="str">
            <v>Myanmar</v>
          </cell>
          <cell r="K599" t="str">
            <v>Chinese employees</v>
          </cell>
          <cell r="L599" t="str">
            <v>L1</v>
          </cell>
          <cell r="M599" t="str">
            <v>ALL</v>
          </cell>
          <cell r="N599" t="str">
            <v>FLPC(含奖金)</v>
          </cell>
          <cell r="O599" t="str">
            <v>USD/小时</v>
          </cell>
          <cell r="P599">
            <v>40.18</v>
          </cell>
        </row>
        <row r="600">
          <cell r="A600" t="str">
            <v>Myanmar - Chinese employees - L2</v>
          </cell>
          <cell r="B600" t="str">
            <v>Current version</v>
          </cell>
          <cell r="C600" t="str">
            <v>V2009R2</v>
          </cell>
          <cell r="D600" t="str">
            <v>Labor Rate</v>
          </cell>
          <cell r="E600" t="str">
            <v>AP</v>
          </cell>
          <cell r="F600" t="str">
            <v>Southern-East Asia Sub-Regional Division</v>
          </cell>
          <cell r="G600" t="str">
            <v>Thailand Rep.O.</v>
          </cell>
          <cell r="H600" t="str">
            <v>1217</v>
          </cell>
          <cell r="I600" t="str">
            <v>缅甸</v>
          </cell>
          <cell r="J600" t="str">
            <v>Myanmar</v>
          </cell>
          <cell r="K600" t="str">
            <v>Chinese employees</v>
          </cell>
          <cell r="L600" t="str">
            <v>L2</v>
          </cell>
          <cell r="M600" t="str">
            <v>ALL</v>
          </cell>
          <cell r="N600" t="str">
            <v>FLPC(含奖金)</v>
          </cell>
          <cell r="O600" t="str">
            <v>USD/小时</v>
          </cell>
          <cell r="P600">
            <v>47.57</v>
          </cell>
        </row>
        <row r="601">
          <cell r="A601" t="str">
            <v>Myanmar - Chinese employees - L3</v>
          </cell>
          <cell r="B601" t="str">
            <v>Current version</v>
          </cell>
          <cell r="C601" t="str">
            <v>V2009R2</v>
          </cell>
          <cell r="D601" t="str">
            <v>Labor Rate</v>
          </cell>
          <cell r="E601" t="str">
            <v>AP</v>
          </cell>
          <cell r="F601" t="str">
            <v>Southern-East Asia Sub-Regional Division</v>
          </cell>
          <cell r="G601" t="str">
            <v>Thailand Rep.O.</v>
          </cell>
          <cell r="H601" t="str">
            <v>1217</v>
          </cell>
          <cell r="I601" t="str">
            <v>缅甸</v>
          </cell>
          <cell r="J601" t="str">
            <v>Myanmar</v>
          </cell>
          <cell r="K601" t="str">
            <v>Chinese employees</v>
          </cell>
          <cell r="L601" t="str">
            <v>L3</v>
          </cell>
          <cell r="M601" t="str">
            <v>ALL</v>
          </cell>
          <cell r="N601" t="str">
            <v>FLPC(含奖金)</v>
          </cell>
          <cell r="O601" t="str">
            <v>USD/小时</v>
          </cell>
          <cell r="P601">
            <v>58.15</v>
          </cell>
        </row>
        <row r="602">
          <cell r="A602" t="str">
            <v>Myanmar - Chinese employees - L4</v>
          </cell>
          <cell r="B602" t="str">
            <v>Current version</v>
          </cell>
          <cell r="C602" t="str">
            <v>V2009R2</v>
          </cell>
          <cell r="D602" t="str">
            <v>Labor Rate</v>
          </cell>
          <cell r="E602" t="str">
            <v>AP</v>
          </cell>
          <cell r="F602" t="str">
            <v>Southern-East Asia Sub-Regional Division</v>
          </cell>
          <cell r="G602" t="str">
            <v>Thailand Rep.O.</v>
          </cell>
          <cell r="H602" t="str">
            <v>1217</v>
          </cell>
          <cell r="I602" t="str">
            <v>缅甸</v>
          </cell>
          <cell r="J602" t="str">
            <v>Myanmar</v>
          </cell>
          <cell r="K602" t="str">
            <v>Chinese employees</v>
          </cell>
          <cell r="L602" t="str">
            <v>L4</v>
          </cell>
          <cell r="M602" t="str">
            <v>ALL</v>
          </cell>
          <cell r="N602" t="str">
            <v>FLPC(含奖金)</v>
          </cell>
          <cell r="O602" t="str">
            <v>USD/小时</v>
          </cell>
          <cell r="P602">
            <v>96.25</v>
          </cell>
        </row>
        <row r="603">
          <cell r="A603" t="str">
            <v>Sri Lanka - Chinese employees - L0</v>
          </cell>
          <cell r="B603" t="str">
            <v>Current version</v>
          </cell>
          <cell r="C603" t="str">
            <v>V2009R2</v>
          </cell>
          <cell r="D603" t="str">
            <v>Labor Rate</v>
          </cell>
          <cell r="E603" t="str">
            <v>AP</v>
          </cell>
          <cell r="F603" t="str">
            <v>Southern-East Asia Sub-Regional Division</v>
          </cell>
          <cell r="G603" t="str">
            <v>Sri Lanka</v>
          </cell>
          <cell r="H603" t="str">
            <v>1208</v>
          </cell>
          <cell r="I603" t="str">
            <v>斯里兰卡</v>
          </cell>
          <cell r="J603" t="str">
            <v>Sri Lanka</v>
          </cell>
          <cell r="K603" t="str">
            <v>Chinese employees</v>
          </cell>
          <cell r="L603" t="str">
            <v>L0</v>
          </cell>
          <cell r="M603" t="str">
            <v>ALL</v>
          </cell>
          <cell r="N603" t="str">
            <v>FLPC(含奖金)</v>
          </cell>
          <cell r="O603" t="str">
            <v>USD/小时</v>
          </cell>
          <cell r="P603">
            <v>35.69</v>
          </cell>
        </row>
        <row r="604">
          <cell r="A604" t="str">
            <v>Sri Lanka - Chinese employees - L1</v>
          </cell>
          <cell r="B604" t="str">
            <v>Current version</v>
          </cell>
          <cell r="C604" t="str">
            <v>V2009R2</v>
          </cell>
          <cell r="D604" t="str">
            <v>Labor Rate</v>
          </cell>
          <cell r="E604" t="str">
            <v>AP</v>
          </cell>
          <cell r="F604" t="str">
            <v>Southern-East Asia Sub-Regional Division</v>
          </cell>
          <cell r="G604" t="str">
            <v>Sri Lanka</v>
          </cell>
          <cell r="H604" t="str">
            <v>1208</v>
          </cell>
          <cell r="I604" t="str">
            <v>斯里兰卡</v>
          </cell>
          <cell r="J604" t="str">
            <v>Sri Lanka</v>
          </cell>
          <cell r="K604" t="str">
            <v>Chinese employees</v>
          </cell>
          <cell r="L604" t="str">
            <v>L1</v>
          </cell>
          <cell r="M604" t="str">
            <v>ALL</v>
          </cell>
          <cell r="N604" t="str">
            <v>FLPC(含奖金)</v>
          </cell>
          <cell r="O604" t="str">
            <v>USD/小时</v>
          </cell>
          <cell r="P604">
            <v>43.87</v>
          </cell>
        </row>
        <row r="605">
          <cell r="A605" t="str">
            <v>Sri Lanka - Chinese employees - L2</v>
          </cell>
          <cell r="B605" t="str">
            <v>Current version</v>
          </cell>
          <cell r="C605" t="str">
            <v>V2009R2</v>
          </cell>
          <cell r="D605" t="str">
            <v>Labor Rate</v>
          </cell>
          <cell r="E605" t="str">
            <v>AP</v>
          </cell>
          <cell r="F605" t="str">
            <v>Southern-East Asia Sub-Regional Division</v>
          </cell>
          <cell r="G605" t="str">
            <v>Sri Lanka</v>
          </cell>
          <cell r="H605" t="str">
            <v>1208</v>
          </cell>
          <cell r="I605" t="str">
            <v>斯里兰卡</v>
          </cell>
          <cell r="J605" t="str">
            <v>Sri Lanka</v>
          </cell>
          <cell r="K605" t="str">
            <v>Chinese employees</v>
          </cell>
          <cell r="L605" t="str">
            <v>L2</v>
          </cell>
          <cell r="M605" t="str">
            <v>ALL</v>
          </cell>
          <cell r="N605" t="str">
            <v>FLPC(含奖金)</v>
          </cell>
          <cell r="O605" t="str">
            <v>USD/小时</v>
          </cell>
          <cell r="P605">
            <v>51.44</v>
          </cell>
        </row>
        <row r="606">
          <cell r="A606" t="str">
            <v>Sri Lanka - Chinese employees - L3</v>
          </cell>
          <cell r="B606" t="str">
            <v>Current version</v>
          </cell>
          <cell r="C606" t="str">
            <v>V2009R2</v>
          </cell>
          <cell r="D606" t="str">
            <v>Labor Rate</v>
          </cell>
          <cell r="E606" t="str">
            <v>AP</v>
          </cell>
          <cell r="F606" t="str">
            <v>Southern-East Asia Sub-Regional Division</v>
          </cell>
          <cell r="G606" t="str">
            <v>Sri Lanka</v>
          </cell>
          <cell r="H606" t="str">
            <v>1208</v>
          </cell>
          <cell r="I606" t="str">
            <v>斯里兰卡</v>
          </cell>
          <cell r="J606" t="str">
            <v>Sri Lanka</v>
          </cell>
          <cell r="K606" t="str">
            <v>Chinese employees</v>
          </cell>
          <cell r="L606" t="str">
            <v>L3</v>
          </cell>
          <cell r="M606" t="str">
            <v>ALL</v>
          </cell>
          <cell r="N606" t="str">
            <v>FLPC(含奖金)</v>
          </cell>
          <cell r="O606" t="str">
            <v>USD/小时</v>
          </cell>
          <cell r="P606">
            <v>62.28</v>
          </cell>
        </row>
        <row r="607">
          <cell r="A607" t="str">
            <v>Sri Lanka - Chinese employees - L4</v>
          </cell>
          <cell r="B607" t="str">
            <v>Current version</v>
          </cell>
          <cell r="C607" t="str">
            <v>V2009R2</v>
          </cell>
          <cell r="D607" t="str">
            <v>Labor Rate</v>
          </cell>
          <cell r="E607" t="str">
            <v>AP</v>
          </cell>
          <cell r="F607" t="str">
            <v>Southern-East Asia Sub-Regional Division</v>
          </cell>
          <cell r="G607" t="str">
            <v>Sri Lanka</v>
          </cell>
          <cell r="H607" t="str">
            <v>1208</v>
          </cell>
          <cell r="I607" t="str">
            <v>斯里兰卡</v>
          </cell>
          <cell r="J607" t="str">
            <v>Sri Lanka</v>
          </cell>
          <cell r="K607" t="str">
            <v>Chinese employees</v>
          </cell>
          <cell r="L607" t="str">
            <v>L4</v>
          </cell>
          <cell r="M607" t="str">
            <v>ALL</v>
          </cell>
          <cell r="N607" t="str">
            <v>FLPC(含奖金)</v>
          </cell>
          <cell r="O607" t="str">
            <v>USD/小时</v>
          </cell>
          <cell r="P607">
            <v>101.33</v>
          </cell>
        </row>
        <row r="608">
          <cell r="A608" t="str">
            <v>Philippines - Chinese employees - L0</v>
          </cell>
          <cell r="B608" t="str">
            <v>Current version</v>
          </cell>
          <cell r="C608" t="str">
            <v>V2009R2</v>
          </cell>
          <cell r="D608" t="str">
            <v>Labor Rate</v>
          </cell>
          <cell r="E608" t="str">
            <v>AP</v>
          </cell>
          <cell r="F608" t="str">
            <v>Southern-East Asia Sub-Regional Division</v>
          </cell>
          <cell r="G608" t="str">
            <v>Philippines</v>
          </cell>
          <cell r="H608" t="str">
            <v>1212</v>
          </cell>
          <cell r="I608" t="str">
            <v>菲律宾</v>
          </cell>
          <cell r="J608" t="str">
            <v>Philippines</v>
          </cell>
          <cell r="K608" t="str">
            <v>Chinese employees</v>
          </cell>
          <cell r="L608" t="str">
            <v>L0</v>
          </cell>
          <cell r="M608" t="str">
            <v>ALL</v>
          </cell>
          <cell r="N608" t="str">
            <v>FLPC(含奖金)</v>
          </cell>
          <cell r="O608" t="str">
            <v>USD/小时</v>
          </cell>
          <cell r="P608">
            <v>31.29</v>
          </cell>
        </row>
        <row r="609">
          <cell r="A609" t="str">
            <v>Philippines - Chinese employees - L1</v>
          </cell>
          <cell r="B609" t="str">
            <v>Current version</v>
          </cell>
          <cell r="C609" t="str">
            <v>V2009R2</v>
          </cell>
          <cell r="D609" t="str">
            <v>Labor Rate</v>
          </cell>
          <cell r="E609" t="str">
            <v>AP</v>
          </cell>
          <cell r="F609" t="str">
            <v>Southern-East Asia Sub-Regional Division</v>
          </cell>
          <cell r="G609" t="str">
            <v>Philippines</v>
          </cell>
          <cell r="H609" t="str">
            <v>1212</v>
          </cell>
          <cell r="I609" t="str">
            <v>菲律宾</v>
          </cell>
          <cell r="J609" t="str">
            <v>Philippines</v>
          </cell>
          <cell r="K609" t="str">
            <v>Chinese employees</v>
          </cell>
          <cell r="L609" t="str">
            <v>L1</v>
          </cell>
          <cell r="M609" t="str">
            <v>ALL</v>
          </cell>
          <cell r="N609" t="str">
            <v>FLPC(含奖金)</v>
          </cell>
          <cell r="O609" t="str">
            <v>USD/小时</v>
          </cell>
          <cell r="P609">
            <v>40.83</v>
          </cell>
        </row>
        <row r="610">
          <cell r="A610" t="str">
            <v>Philippines - Chinese employees - L2</v>
          </cell>
          <cell r="B610" t="str">
            <v>Current version</v>
          </cell>
          <cell r="C610" t="str">
            <v>V2009R2</v>
          </cell>
          <cell r="D610" t="str">
            <v>Labor Rate</v>
          </cell>
          <cell r="E610" t="str">
            <v>AP</v>
          </cell>
          <cell r="F610" t="str">
            <v>Southern-East Asia Sub-Regional Division</v>
          </cell>
          <cell r="G610" t="str">
            <v>Philippines</v>
          </cell>
          <cell r="H610" t="str">
            <v>1212</v>
          </cell>
          <cell r="I610" t="str">
            <v>菲律宾</v>
          </cell>
          <cell r="J610" t="str">
            <v>Philippines</v>
          </cell>
          <cell r="K610" t="str">
            <v>Chinese employees</v>
          </cell>
          <cell r="L610" t="str">
            <v>L2</v>
          </cell>
          <cell r="M610" t="str">
            <v>ALL</v>
          </cell>
          <cell r="N610" t="str">
            <v>FLPC(含奖金)</v>
          </cell>
          <cell r="O610" t="str">
            <v>USD/小时</v>
          </cell>
          <cell r="P610">
            <v>48.18</v>
          </cell>
        </row>
        <row r="611">
          <cell r="A611" t="str">
            <v>Philippines - Chinese employees - L3</v>
          </cell>
          <cell r="B611" t="str">
            <v>Current version</v>
          </cell>
          <cell r="C611" t="str">
            <v>V2009R2</v>
          </cell>
          <cell r="D611" t="str">
            <v>Labor Rate</v>
          </cell>
          <cell r="E611" t="str">
            <v>AP</v>
          </cell>
          <cell r="F611" t="str">
            <v>Southern-East Asia Sub-Regional Division</v>
          </cell>
          <cell r="G611" t="str">
            <v>Philippines</v>
          </cell>
          <cell r="H611" t="str">
            <v>1212</v>
          </cell>
          <cell r="I611" t="str">
            <v>菲律宾</v>
          </cell>
          <cell r="J611" t="str">
            <v>Philippines</v>
          </cell>
          <cell r="K611" t="str">
            <v>Chinese employees</v>
          </cell>
          <cell r="L611" t="str">
            <v>L3</v>
          </cell>
          <cell r="M611" t="str">
            <v>ALL</v>
          </cell>
          <cell r="N611" t="str">
            <v>FLPC(含奖金)</v>
          </cell>
          <cell r="O611" t="str">
            <v>USD/小时</v>
          </cell>
          <cell r="P611">
            <v>58.69</v>
          </cell>
        </row>
        <row r="612">
          <cell r="A612" t="str">
            <v>Philippines - Chinese employees - L4</v>
          </cell>
          <cell r="B612" t="str">
            <v>Current version</v>
          </cell>
          <cell r="C612" t="str">
            <v>V2009R2</v>
          </cell>
          <cell r="D612" t="str">
            <v>Labor Rate</v>
          </cell>
          <cell r="E612" t="str">
            <v>AP</v>
          </cell>
          <cell r="F612" t="str">
            <v>Southern-East Asia Sub-Regional Division</v>
          </cell>
          <cell r="G612" t="str">
            <v>Philippines</v>
          </cell>
          <cell r="H612" t="str">
            <v>1212</v>
          </cell>
          <cell r="I612" t="str">
            <v>菲律宾</v>
          </cell>
          <cell r="J612" t="str">
            <v>Philippines</v>
          </cell>
          <cell r="K612" t="str">
            <v>Chinese employees</v>
          </cell>
          <cell r="L612" t="str">
            <v>L4</v>
          </cell>
          <cell r="M612" t="str">
            <v>ALL</v>
          </cell>
          <cell r="N612" t="str">
            <v>FLPC(含奖金)</v>
          </cell>
          <cell r="O612" t="str">
            <v>USD/小时</v>
          </cell>
          <cell r="P612">
            <v>92.67</v>
          </cell>
        </row>
        <row r="613">
          <cell r="A613" t="str">
            <v>Cambodia - Chinese employees - L0</v>
          </cell>
          <cell r="B613" t="str">
            <v>Current version</v>
          </cell>
          <cell r="C613" t="str">
            <v>V2009R2</v>
          </cell>
          <cell r="D613" t="str">
            <v>Labor Rate</v>
          </cell>
          <cell r="E613" t="str">
            <v>AP</v>
          </cell>
          <cell r="F613" t="str">
            <v>Southern-East Asia Sub-Regional Division</v>
          </cell>
          <cell r="G613" t="str">
            <v>Cambodia Rep.O.</v>
          </cell>
          <cell r="H613" t="str">
            <v>1215</v>
          </cell>
          <cell r="I613" t="str">
            <v>柬埔寨</v>
          </cell>
          <cell r="J613" t="str">
            <v>Cambodia</v>
          </cell>
          <cell r="K613" t="str">
            <v>Chinese employees</v>
          </cell>
          <cell r="L613" t="str">
            <v>L0</v>
          </cell>
          <cell r="M613" t="str">
            <v>ALL</v>
          </cell>
          <cell r="N613" t="str">
            <v>FLPC(含奖金)</v>
          </cell>
          <cell r="O613" t="str">
            <v>USD/小时</v>
          </cell>
          <cell r="P613">
            <v>34.799999999999997</v>
          </cell>
        </row>
        <row r="614">
          <cell r="A614" t="str">
            <v>Cambodia - Chinese employees - L1</v>
          </cell>
          <cell r="B614" t="str">
            <v>Current version</v>
          </cell>
          <cell r="C614" t="str">
            <v>V2009R2</v>
          </cell>
          <cell r="D614" t="str">
            <v>Labor Rate</v>
          </cell>
          <cell r="E614" t="str">
            <v>AP</v>
          </cell>
          <cell r="F614" t="str">
            <v>Southern-East Asia Sub-Regional Division</v>
          </cell>
          <cell r="G614" t="str">
            <v>Cambodia Rep.O.</v>
          </cell>
          <cell r="H614" t="str">
            <v>1215</v>
          </cell>
          <cell r="I614" t="str">
            <v>柬埔寨</v>
          </cell>
          <cell r="J614" t="str">
            <v>Cambodia</v>
          </cell>
          <cell r="K614" t="str">
            <v>Chinese employees</v>
          </cell>
          <cell r="L614" t="str">
            <v>L1</v>
          </cell>
          <cell r="M614" t="str">
            <v>ALL</v>
          </cell>
          <cell r="N614" t="str">
            <v>FLPC(含奖金)</v>
          </cell>
          <cell r="O614" t="str">
            <v>USD/小时</v>
          </cell>
          <cell r="P614">
            <v>40.76</v>
          </cell>
        </row>
        <row r="615">
          <cell r="A615" t="str">
            <v>Cambodia - Chinese employees - L2</v>
          </cell>
          <cell r="B615" t="str">
            <v>Current version</v>
          </cell>
          <cell r="C615" t="str">
            <v>V2009R2</v>
          </cell>
          <cell r="D615" t="str">
            <v>Labor Rate</v>
          </cell>
          <cell r="E615" t="str">
            <v>AP</v>
          </cell>
          <cell r="F615" t="str">
            <v>Southern-East Asia Sub-Regional Division</v>
          </cell>
          <cell r="G615" t="str">
            <v>Cambodia Rep.O.</v>
          </cell>
          <cell r="H615" t="str">
            <v>1215</v>
          </cell>
          <cell r="I615" t="str">
            <v>柬埔寨</v>
          </cell>
          <cell r="J615" t="str">
            <v>Cambodia</v>
          </cell>
          <cell r="K615" t="str">
            <v>Chinese employees</v>
          </cell>
          <cell r="L615" t="str">
            <v>L2</v>
          </cell>
          <cell r="M615" t="str">
            <v>ALL</v>
          </cell>
          <cell r="N615" t="str">
            <v>FLPC(含奖金)</v>
          </cell>
          <cell r="O615" t="str">
            <v>USD/小时</v>
          </cell>
          <cell r="P615">
            <v>48.5</v>
          </cell>
        </row>
        <row r="616">
          <cell r="A616" t="str">
            <v>Cambodia - Chinese employees - L3</v>
          </cell>
          <cell r="B616" t="str">
            <v>Current version</v>
          </cell>
          <cell r="C616" t="str">
            <v>V2009R2</v>
          </cell>
          <cell r="D616" t="str">
            <v>Labor Rate</v>
          </cell>
          <cell r="E616" t="str">
            <v>AP</v>
          </cell>
          <cell r="F616" t="str">
            <v>Southern-East Asia Sub-Regional Division</v>
          </cell>
          <cell r="G616" t="str">
            <v>Cambodia Rep.O.</v>
          </cell>
          <cell r="H616" t="str">
            <v>1215</v>
          </cell>
          <cell r="I616" t="str">
            <v>柬埔寨</v>
          </cell>
          <cell r="J616" t="str">
            <v>Cambodia</v>
          </cell>
          <cell r="K616" t="str">
            <v>Chinese employees</v>
          </cell>
          <cell r="L616" t="str">
            <v>L3</v>
          </cell>
          <cell r="M616" t="str">
            <v>ALL</v>
          </cell>
          <cell r="N616" t="str">
            <v>FLPC(含奖金)</v>
          </cell>
          <cell r="O616" t="str">
            <v>USD/小时</v>
          </cell>
          <cell r="P616">
            <v>59.57</v>
          </cell>
        </row>
        <row r="617">
          <cell r="A617" t="str">
            <v>Cambodia - Chinese employees - L4</v>
          </cell>
          <cell r="B617" t="str">
            <v>Current version</v>
          </cell>
          <cell r="C617" t="str">
            <v>V2009R2</v>
          </cell>
          <cell r="D617" t="str">
            <v>Labor Rate</v>
          </cell>
          <cell r="E617" t="str">
            <v>AP</v>
          </cell>
          <cell r="F617" t="str">
            <v>Southern-East Asia Sub-Regional Division</v>
          </cell>
          <cell r="G617" t="str">
            <v>Cambodia Rep.O.</v>
          </cell>
          <cell r="H617" t="str">
            <v>1215</v>
          </cell>
          <cell r="I617" t="str">
            <v>柬埔寨</v>
          </cell>
          <cell r="J617" t="str">
            <v>Cambodia</v>
          </cell>
          <cell r="K617" t="str">
            <v>Chinese employees</v>
          </cell>
          <cell r="L617" t="str">
            <v>L4</v>
          </cell>
          <cell r="M617" t="str">
            <v>ALL</v>
          </cell>
          <cell r="N617" t="str">
            <v>FLPC(含奖金)</v>
          </cell>
          <cell r="O617" t="str">
            <v>USD/小时</v>
          </cell>
          <cell r="P617">
            <v>99.45</v>
          </cell>
        </row>
        <row r="618">
          <cell r="A618" t="str">
            <v>Laos - Chinese employees - L0</v>
          </cell>
          <cell r="B618" t="str">
            <v>Current version</v>
          </cell>
          <cell r="C618" t="str">
            <v>V2009R2</v>
          </cell>
          <cell r="D618" t="str">
            <v>Labor Rate</v>
          </cell>
          <cell r="E618" t="str">
            <v>AP</v>
          </cell>
          <cell r="F618" t="str">
            <v>Southern-East Asia Sub-Regional Division</v>
          </cell>
          <cell r="G618" t="str">
            <v>Cambodia Rep.O.</v>
          </cell>
          <cell r="H618" t="str">
            <v>1216</v>
          </cell>
          <cell r="I618" t="str">
            <v>老挝</v>
          </cell>
          <cell r="J618" t="str">
            <v>Laos</v>
          </cell>
          <cell r="K618" t="str">
            <v>Chinese employees</v>
          </cell>
          <cell r="L618" t="str">
            <v>L0</v>
          </cell>
          <cell r="M618" t="str">
            <v>ALL</v>
          </cell>
          <cell r="N618" t="str">
            <v>FLPC(含奖金)</v>
          </cell>
          <cell r="O618" t="str">
            <v>USD/小时</v>
          </cell>
          <cell r="P618">
            <v>37.75</v>
          </cell>
        </row>
        <row r="619">
          <cell r="A619" t="str">
            <v>Laos - Chinese employees - L1</v>
          </cell>
          <cell r="B619" t="str">
            <v>Current version</v>
          </cell>
          <cell r="C619" t="str">
            <v>V2009R2</v>
          </cell>
          <cell r="D619" t="str">
            <v>Labor Rate</v>
          </cell>
          <cell r="E619" t="str">
            <v>AP</v>
          </cell>
          <cell r="F619" t="str">
            <v>Southern-East Asia Sub-Regional Division</v>
          </cell>
          <cell r="G619" t="str">
            <v>Cambodia Rep.O.</v>
          </cell>
          <cell r="H619" t="str">
            <v>1216</v>
          </cell>
          <cell r="I619" t="str">
            <v>老挝</v>
          </cell>
          <cell r="J619" t="str">
            <v>Laos</v>
          </cell>
          <cell r="K619" t="str">
            <v>Chinese employees</v>
          </cell>
          <cell r="L619" t="str">
            <v>L1</v>
          </cell>
          <cell r="M619" t="str">
            <v>ALL</v>
          </cell>
          <cell r="N619" t="str">
            <v>FLPC(含奖金)</v>
          </cell>
          <cell r="O619" t="str">
            <v>USD/小时</v>
          </cell>
          <cell r="P619">
            <v>43.72</v>
          </cell>
        </row>
        <row r="620">
          <cell r="A620" t="str">
            <v>Laos - Chinese employees - L2</v>
          </cell>
          <cell r="B620" t="str">
            <v>Current version</v>
          </cell>
          <cell r="C620" t="str">
            <v>V2009R2</v>
          </cell>
          <cell r="D620" t="str">
            <v>Labor Rate</v>
          </cell>
          <cell r="E620" t="str">
            <v>AP</v>
          </cell>
          <cell r="F620" t="str">
            <v>Southern-East Asia Sub-Regional Division</v>
          </cell>
          <cell r="G620" t="str">
            <v>Cambodia Rep.O.</v>
          </cell>
          <cell r="H620" t="str">
            <v>1216</v>
          </cell>
          <cell r="I620" t="str">
            <v>老挝</v>
          </cell>
          <cell r="J620" t="str">
            <v>Laos</v>
          </cell>
          <cell r="K620" t="str">
            <v>Chinese employees</v>
          </cell>
          <cell r="L620" t="str">
            <v>L2</v>
          </cell>
          <cell r="M620" t="str">
            <v>ALL</v>
          </cell>
          <cell r="N620" t="str">
            <v>FLPC(含奖金)</v>
          </cell>
          <cell r="O620" t="str">
            <v>USD/小时</v>
          </cell>
          <cell r="P620">
            <v>51.45</v>
          </cell>
        </row>
        <row r="621">
          <cell r="A621" t="str">
            <v>Laos - Chinese employees - L3</v>
          </cell>
          <cell r="B621" t="str">
            <v>Current version</v>
          </cell>
          <cell r="C621" t="str">
            <v>V2009R2</v>
          </cell>
          <cell r="D621" t="str">
            <v>Labor Rate</v>
          </cell>
          <cell r="E621" t="str">
            <v>AP</v>
          </cell>
          <cell r="F621" t="str">
            <v>Southern-East Asia Sub-Regional Division</v>
          </cell>
          <cell r="G621" t="str">
            <v>Cambodia Rep.O.</v>
          </cell>
          <cell r="H621" t="str">
            <v>1216</v>
          </cell>
          <cell r="I621" t="str">
            <v>老挝</v>
          </cell>
          <cell r="J621" t="str">
            <v>Laos</v>
          </cell>
          <cell r="K621" t="str">
            <v>Chinese employees</v>
          </cell>
          <cell r="L621" t="str">
            <v>L3</v>
          </cell>
          <cell r="M621" t="str">
            <v>ALL</v>
          </cell>
          <cell r="N621" t="str">
            <v>FLPC(含奖金)</v>
          </cell>
          <cell r="O621" t="str">
            <v>USD/小时</v>
          </cell>
          <cell r="P621">
            <v>62.52</v>
          </cell>
        </row>
        <row r="622">
          <cell r="A622" t="str">
            <v>Laos - Chinese employees - L4</v>
          </cell>
          <cell r="B622" t="str">
            <v>Current version</v>
          </cell>
          <cell r="C622" t="str">
            <v>V2009R2</v>
          </cell>
          <cell r="D622" t="str">
            <v>Labor Rate</v>
          </cell>
          <cell r="E622" t="str">
            <v>AP</v>
          </cell>
          <cell r="F622" t="str">
            <v>Southern-East Asia Sub-Regional Division</v>
          </cell>
          <cell r="G622" t="str">
            <v>Cambodia Rep.O.</v>
          </cell>
          <cell r="H622" t="str">
            <v>1216</v>
          </cell>
          <cell r="I622" t="str">
            <v>老挝</v>
          </cell>
          <cell r="J622" t="str">
            <v>Laos</v>
          </cell>
          <cell r="K622" t="str">
            <v>Chinese employees</v>
          </cell>
          <cell r="L622" t="str">
            <v>L4</v>
          </cell>
          <cell r="M622" t="str">
            <v>ALL</v>
          </cell>
          <cell r="N622" t="str">
            <v>FLPC(含奖金)</v>
          </cell>
          <cell r="O622" t="str">
            <v>USD/小时</v>
          </cell>
          <cell r="P622">
            <v>102.4</v>
          </cell>
        </row>
        <row r="623">
          <cell r="A623" t="str">
            <v>India - Chinese employees - L4</v>
          </cell>
          <cell r="B623" t="str">
            <v>Current version</v>
          </cell>
          <cell r="C623" t="str">
            <v>V2009R2</v>
          </cell>
          <cell r="D623" t="str">
            <v>Labor Rate</v>
          </cell>
          <cell r="E623" t="str">
            <v>AP</v>
          </cell>
          <cell r="F623" t="str">
            <v>India Rep.O.</v>
          </cell>
          <cell r="G623" t="str">
            <v>India</v>
          </cell>
          <cell r="H623" t="str">
            <v>1209</v>
          </cell>
          <cell r="I623" t="str">
            <v>印度</v>
          </cell>
          <cell r="J623" t="str">
            <v>India</v>
          </cell>
          <cell r="K623" t="str">
            <v>Chinese employees</v>
          </cell>
          <cell r="L623" t="str">
            <v>L4</v>
          </cell>
          <cell r="M623" t="str">
            <v>ALL</v>
          </cell>
          <cell r="N623" t="str">
            <v>FLPC(含奖金)</v>
          </cell>
          <cell r="O623" t="str">
            <v>USD/小时</v>
          </cell>
          <cell r="P623">
            <v>107.01</v>
          </cell>
        </row>
        <row r="624">
          <cell r="A624" t="str">
            <v>India - Chinese employees - L3</v>
          </cell>
          <cell r="B624" t="str">
            <v>Current version</v>
          </cell>
          <cell r="C624" t="str">
            <v>V2009R2</v>
          </cell>
          <cell r="D624" t="str">
            <v>Labor Rate</v>
          </cell>
          <cell r="E624" t="str">
            <v>AP</v>
          </cell>
          <cell r="F624" t="str">
            <v>India Rep.O.</v>
          </cell>
          <cell r="G624" t="str">
            <v>India</v>
          </cell>
          <cell r="H624" t="str">
            <v>1209</v>
          </cell>
          <cell r="I624" t="str">
            <v>印度</v>
          </cell>
          <cell r="J624" t="str">
            <v>India</v>
          </cell>
          <cell r="K624" t="str">
            <v>Chinese employees</v>
          </cell>
          <cell r="L624" t="str">
            <v>L3</v>
          </cell>
          <cell r="M624" t="str">
            <v>ALL</v>
          </cell>
          <cell r="N624" t="str">
            <v>FLPC(含奖金)</v>
          </cell>
          <cell r="O624" t="str">
            <v>USD/小时</v>
          </cell>
          <cell r="P624">
            <v>66.58</v>
          </cell>
        </row>
        <row r="625">
          <cell r="A625" t="str">
            <v>India - Chinese employees - L2</v>
          </cell>
          <cell r="B625" t="str">
            <v>Current version</v>
          </cell>
          <cell r="C625" t="str">
            <v>V2009R2</v>
          </cell>
          <cell r="D625" t="str">
            <v>Labor Rate</v>
          </cell>
          <cell r="E625" t="str">
            <v>AP</v>
          </cell>
          <cell r="F625" t="str">
            <v>India Rep.O.</v>
          </cell>
          <cell r="G625" t="str">
            <v>India</v>
          </cell>
          <cell r="H625" t="str">
            <v>1209</v>
          </cell>
          <cell r="I625" t="str">
            <v>印度</v>
          </cell>
          <cell r="J625" t="str">
            <v>India</v>
          </cell>
          <cell r="K625" t="str">
            <v>Chinese employees</v>
          </cell>
          <cell r="L625" t="str">
            <v>L2</v>
          </cell>
          <cell r="M625" t="str">
            <v>ALL</v>
          </cell>
          <cell r="N625" t="str">
            <v>FLPC(含奖金)</v>
          </cell>
          <cell r="O625" t="str">
            <v>USD/小时</v>
          </cell>
          <cell r="P625">
            <v>56.42</v>
          </cell>
        </row>
        <row r="626">
          <cell r="A626" t="str">
            <v>India - Chinese employees - L1</v>
          </cell>
          <cell r="B626" t="str">
            <v>Current version</v>
          </cell>
          <cell r="C626" t="str">
            <v>V2009R2</v>
          </cell>
          <cell r="D626" t="str">
            <v>Labor Rate</v>
          </cell>
          <cell r="E626" t="str">
            <v>AP</v>
          </cell>
          <cell r="F626" t="str">
            <v>India Rep.O.</v>
          </cell>
          <cell r="G626" t="str">
            <v>India</v>
          </cell>
          <cell r="H626" t="str">
            <v>1209</v>
          </cell>
          <cell r="I626" t="str">
            <v>印度</v>
          </cell>
          <cell r="J626" t="str">
            <v>India</v>
          </cell>
          <cell r="K626" t="str">
            <v>Chinese employees</v>
          </cell>
          <cell r="L626" t="str">
            <v>L1</v>
          </cell>
          <cell r="M626" t="str">
            <v>ALL</v>
          </cell>
          <cell r="N626" t="str">
            <v>FLPC(含奖金)</v>
          </cell>
          <cell r="O626" t="str">
            <v>USD/小时</v>
          </cell>
          <cell r="P626">
            <v>47.47</v>
          </cell>
        </row>
        <row r="627">
          <cell r="A627" t="str">
            <v>India - Chinese employees - L0</v>
          </cell>
          <cell r="B627" t="str">
            <v>Current version</v>
          </cell>
          <cell r="C627" t="str">
            <v>V2009R2</v>
          </cell>
          <cell r="D627" t="str">
            <v>Labor Rate</v>
          </cell>
          <cell r="E627" t="str">
            <v>AP</v>
          </cell>
          <cell r="F627" t="str">
            <v>India Rep.O.</v>
          </cell>
          <cell r="G627" t="str">
            <v>India</v>
          </cell>
          <cell r="H627" t="str">
            <v>1209</v>
          </cell>
          <cell r="I627" t="str">
            <v>印度</v>
          </cell>
          <cell r="J627" t="str">
            <v>India</v>
          </cell>
          <cell r="K627" t="str">
            <v>Chinese employees</v>
          </cell>
          <cell r="L627" t="str">
            <v>L0</v>
          </cell>
          <cell r="M627" t="str">
            <v>ALL</v>
          </cell>
          <cell r="N627" t="str">
            <v>FLPC(含奖金)</v>
          </cell>
          <cell r="O627" t="str">
            <v>USD/小时</v>
          </cell>
          <cell r="P627">
            <v>40.06</v>
          </cell>
        </row>
        <row r="628">
          <cell r="A628" t="str">
            <v>India Bangalore Office - Chinese employees - L4</v>
          </cell>
          <cell r="B628" t="str">
            <v>Current version</v>
          </cell>
          <cell r="C628" t="str">
            <v>V2009R2</v>
          </cell>
          <cell r="D628" t="str">
            <v>Labor Rate</v>
          </cell>
          <cell r="E628" t="str">
            <v>AP</v>
          </cell>
          <cell r="F628" t="str">
            <v>India Rep.O.</v>
          </cell>
          <cell r="G628" t="str">
            <v>India Bangalore</v>
          </cell>
          <cell r="H628" t="str">
            <v>1237</v>
          </cell>
          <cell r="I628" t="str">
            <v>印度Bangalore办事处</v>
          </cell>
          <cell r="J628" t="str">
            <v>India Bangalore Office</v>
          </cell>
          <cell r="K628" t="str">
            <v>Chinese employees</v>
          </cell>
          <cell r="L628" t="str">
            <v>L4</v>
          </cell>
          <cell r="M628" t="str">
            <v>ALL</v>
          </cell>
          <cell r="N628" t="str">
            <v>FLPC(含奖金)</v>
          </cell>
          <cell r="O628" t="str">
            <v>USD/小时</v>
          </cell>
          <cell r="P628">
            <v>107.01</v>
          </cell>
        </row>
        <row r="629">
          <cell r="A629" t="str">
            <v>India Bangalore Office - Chinese employees - L3</v>
          </cell>
          <cell r="B629" t="str">
            <v>Current version</v>
          </cell>
          <cell r="C629" t="str">
            <v>V2009R2</v>
          </cell>
          <cell r="D629" t="str">
            <v>Labor Rate</v>
          </cell>
          <cell r="E629" t="str">
            <v>AP</v>
          </cell>
          <cell r="F629" t="str">
            <v>India Rep.O.</v>
          </cell>
          <cell r="G629" t="str">
            <v>India Bangalore</v>
          </cell>
          <cell r="H629" t="str">
            <v>1237</v>
          </cell>
          <cell r="I629" t="str">
            <v>印度Bangalore办事处</v>
          </cell>
          <cell r="J629" t="str">
            <v>India Bangalore Office</v>
          </cell>
          <cell r="K629" t="str">
            <v>Chinese employees</v>
          </cell>
          <cell r="L629" t="str">
            <v>L3</v>
          </cell>
          <cell r="M629" t="str">
            <v>ALL</v>
          </cell>
          <cell r="N629" t="str">
            <v>FLPC(含奖金)</v>
          </cell>
          <cell r="O629" t="str">
            <v>USD/小时</v>
          </cell>
          <cell r="P629">
            <v>66.58</v>
          </cell>
        </row>
        <row r="630">
          <cell r="A630" t="str">
            <v>India Bangalore Office - Chinese employees - L2</v>
          </cell>
          <cell r="B630" t="str">
            <v>Current version</v>
          </cell>
          <cell r="C630" t="str">
            <v>V2009R2</v>
          </cell>
          <cell r="D630" t="str">
            <v>Labor Rate</v>
          </cell>
          <cell r="E630" t="str">
            <v>AP</v>
          </cell>
          <cell r="F630" t="str">
            <v>India Rep.O.</v>
          </cell>
          <cell r="G630" t="str">
            <v>India Bangalore</v>
          </cell>
          <cell r="H630" t="str">
            <v>1237</v>
          </cell>
          <cell r="I630" t="str">
            <v>印度Bangalore办事处</v>
          </cell>
          <cell r="J630" t="str">
            <v>India Bangalore Office</v>
          </cell>
          <cell r="K630" t="str">
            <v>Chinese employees</v>
          </cell>
          <cell r="L630" t="str">
            <v>L2</v>
          </cell>
          <cell r="M630" t="str">
            <v>ALL</v>
          </cell>
          <cell r="N630" t="str">
            <v>FLPC(含奖金)</v>
          </cell>
          <cell r="O630" t="str">
            <v>USD/小时</v>
          </cell>
          <cell r="P630">
            <v>56.42</v>
          </cell>
        </row>
        <row r="631">
          <cell r="A631" t="str">
            <v>Rostov - Chinese employees - L4</v>
          </cell>
          <cell r="B631" t="str">
            <v>Current version</v>
          </cell>
          <cell r="C631" t="str">
            <v>V2009R2</v>
          </cell>
          <cell r="D631" t="str">
            <v>Labor Rate</v>
          </cell>
          <cell r="E631" t="str">
            <v>CIS</v>
          </cell>
          <cell r="F631" t="str">
            <v>Russia</v>
          </cell>
          <cell r="G631" t="str">
            <v>Russia Rep.O.</v>
          </cell>
          <cell r="H631" t="str">
            <v>3013</v>
          </cell>
          <cell r="I631" t="str">
            <v>罗斯托夫</v>
          </cell>
          <cell r="J631" t="str">
            <v>Rostov</v>
          </cell>
          <cell r="K631" t="str">
            <v>Chinese employees</v>
          </cell>
          <cell r="L631" t="str">
            <v>L4</v>
          </cell>
          <cell r="M631" t="str">
            <v>ALL</v>
          </cell>
          <cell r="N631" t="str">
            <v>FLPC(含奖金)</v>
          </cell>
          <cell r="O631" t="str">
            <v>USD/小时</v>
          </cell>
          <cell r="P631">
            <v>126.27</v>
          </cell>
        </row>
        <row r="632">
          <cell r="A632" t="str">
            <v>Novosibirsk - Chinese employees - L0</v>
          </cell>
          <cell r="B632" t="str">
            <v>Current version</v>
          </cell>
          <cell r="C632" t="str">
            <v>V2009R2</v>
          </cell>
          <cell r="D632" t="str">
            <v>Labor Rate</v>
          </cell>
          <cell r="E632" t="str">
            <v>CIS</v>
          </cell>
          <cell r="F632" t="str">
            <v>Russia</v>
          </cell>
          <cell r="G632" t="str">
            <v>Russia Rep.O.</v>
          </cell>
          <cell r="H632" t="str">
            <v>3014</v>
          </cell>
          <cell r="I632" t="str">
            <v>新西伯利亚</v>
          </cell>
          <cell r="J632" t="str">
            <v>Novosibirsk</v>
          </cell>
          <cell r="K632" t="str">
            <v>Chinese employees</v>
          </cell>
          <cell r="L632" t="str">
            <v>L0</v>
          </cell>
          <cell r="M632" t="str">
            <v>ALL</v>
          </cell>
          <cell r="N632" t="str">
            <v>FLPC(含奖金)</v>
          </cell>
          <cell r="O632" t="str">
            <v>USD/小时</v>
          </cell>
          <cell r="P632">
            <v>57.12</v>
          </cell>
        </row>
        <row r="633">
          <cell r="A633" t="str">
            <v>Novosibirsk - Chinese employees - L1</v>
          </cell>
          <cell r="B633" t="str">
            <v>Current version</v>
          </cell>
          <cell r="C633" t="str">
            <v>V2009R2</v>
          </cell>
          <cell r="D633" t="str">
            <v>Labor Rate</v>
          </cell>
          <cell r="E633" t="str">
            <v>CIS</v>
          </cell>
          <cell r="F633" t="str">
            <v>Russia</v>
          </cell>
          <cell r="G633" t="str">
            <v>Russia Rep.O.</v>
          </cell>
          <cell r="H633" t="str">
            <v>3014</v>
          </cell>
          <cell r="I633" t="str">
            <v>新西伯利亚</v>
          </cell>
          <cell r="J633" t="str">
            <v>Novosibirsk</v>
          </cell>
          <cell r="K633" t="str">
            <v>Chinese employees</v>
          </cell>
          <cell r="L633" t="str">
            <v>L1</v>
          </cell>
          <cell r="M633" t="str">
            <v>ALL</v>
          </cell>
          <cell r="N633" t="str">
            <v>FLPC(含奖金)</v>
          </cell>
          <cell r="O633" t="str">
            <v>USD/小时</v>
          </cell>
          <cell r="P633">
            <v>63.68</v>
          </cell>
        </row>
        <row r="634">
          <cell r="A634" t="str">
            <v>Novosibirsk - Chinese employees - L2</v>
          </cell>
          <cell r="B634" t="str">
            <v>Current version</v>
          </cell>
          <cell r="C634" t="str">
            <v>V2009R2</v>
          </cell>
          <cell r="D634" t="str">
            <v>Labor Rate</v>
          </cell>
          <cell r="E634" t="str">
            <v>CIS</v>
          </cell>
          <cell r="F634" t="str">
            <v>Russia</v>
          </cell>
          <cell r="G634" t="str">
            <v>Russia Rep.O.</v>
          </cell>
          <cell r="H634" t="str">
            <v>3014</v>
          </cell>
          <cell r="I634" t="str">
            <v>新西伯利亚</v>
          </cell>
          <cell r="J634" t="str">
            <v>Novosibirsk</v>
          </cell>
          <cell r="K634" t="str">
            <v>Chinese employees</v>
          </cell>
          <cell r="L634" t="str">
            <v>L2</v>
          </cell>
          <cell r="M634" t="str">
            <v>ALL</v>
          </cell>
          <cell r="N634" t="str">
            <v>FLPC(含奖金)</v>
          </cell>
          <cell r="O634" t="str">
            <v>USD/小时</v>
          </cell>
          <cell r="P634">
            <v>71.930000000000007</v>
          </cell>
        </row>
        <row r="635">
          <cell r="A635" t="str">
            <v>Novosibirsk - Chinese employees - L3</v>
          </cell>
          <cell r="B635" t="str">
            <v>Current version</v>
          </cell>
          <cell r="C635" t="str">
            <v>V2009R2</v>
          </cell>
          <cell r="D635" t="str">
            <v>Labor Rate</v>
          </cell>
          <cell r="E635" t="str">
            <v>CIS</v>
          </cell>
          <cell r="F635" t="str">
            <v>Russia</v>
          </cell>
          <cell r="G635" t="str">
            <v>Russia Rep.O.</v>
          </cell>
          <cell r="H635" t="str">
            <v>3014</v>
          </cell>
          <cell r="I635" t="str">
            <v>新西伯利亚</v>
          </cell>
          <cell r="J635" t="str">
            <v>Novosibirsk</v>
          </cell>
          <cell r="K635" t="str">
            <v>Chinese employees</v>
          </cell>
          <cell r="L635" t="str">
            <v>L3</v>
          </cell>
          <cell r="M635" t="str">
            <v>ALL</v>
          </cell>
          <cell r="N635" t="str">
            <v>FLPC(含奖金)</v>
          </cell>
          <cell r="O635" t="str">
            <v>USD/小时</v>
          </cell>
          <cell r="P635">
            <v>83.76</v>
          </cell>
        </row>
        <row r="636">
          <cell r="A636" t="str">
            <v>Novosibirsk - Chinese employees - L4</v>
          </cell>
          <cell r="B636" t="str">
            <v>Current version</v>
          </cell>
          <cell r="C636" t="str">
            <v>V2009R2</v>
          </cell>
          <cell r="D636" t="str">
            <v>Labor Rate</v>
          </cell>
          <cell r="E636" t="str">
            <v>CIS</v>
          </cell>
          <cell r="F636" t="str">
            <v>Russia</v>
          </cell>
          <cell r="G636" t="str">
            <v>Russia Rep.O.</v>
          </cell>
          <cell r="H636" t="str">
            <v>3014</v>
          </cell>
          <cell r="I636" t="str">
            <v>新西伯利亚</v>
          </cell>
          <cell r="J636" t="str">
            <v>Novosibirsk</v>
          </cell>
          <cell r="K636" t="str">
            <v>Chinese employees</v>
          </cell>
          <cell r="L636" t="str">
            <v>L4</v>
          </cell>
          <cell r="M636" t="str">
            <v>ALL</v>
          </cell>
          <cell r="N636" t="str">
            <v>FLPC(含奖金)</v>
          </cell>
          <cell r="O636" t="str">
            <v>USD/小时</v>
          </cell>
          <cell r="P636">
            <v>126.27</v>
          </cell>
        </row>
        <row r="637">
          <cell r="A637" t="str">
            <v>N/Novgorod - Chinese employees - L0</v>
          </cell>
          <cell r="B637" t="str">
            <v>Current version</v>
          </cell>
          <cell r="C637" t="str">
            <v>V2009R2</v>
          </cell>
          <cell r="D637" t="str">
            <v>Labor Rate</v>
          </cell>
          <cell r="E637" t="str">
            <v>CIS</v>
          </cell>
          <cell r="F637" t="str">
            <v>Russia</v>
          </cell>
          <cell r="G637" t="str">
            <v>Russia Rep.O.</v>
          </cell>
          <cell r="H637" t="str">
            <v>3015</v>
          </cell>
          <cell r="I637" t="str">
            <v>下新城</v>
          </cell>
          <cell r="J637" t="str">
            <v>N/Novgorod</v>
          </cell>
          <cell r="K637" t="str">
            <v>Chinese employees</v>
          </cell>
          <cell r="L637" t="str">
            <v>L0</v>
          </cell>
          <cell r="M637" t="str">
            <v>ALL</v>
          </cell>
          <cell r="N637" t="str">
            <v>FLPC(含奖金)</v>
          </cell>
          <cell r="O637" t="str">
            <v>USD/小时</v>
          </cell>
          <cell r="P637">
            <v>57.12</v>
          </cell>
        </row>
        <row r="638">
          <cell r="A638" t="str">
            <v>N/Novgorod - Chinese employees - L1</v>
          </cell>
          <cell r="B638" t="str">
            <v>Current version</v>
          </cell>
          <cell r="C638" t="str">
            <v>V2009R2</v>
          </cell>
          <cell r="D638" t="str">
            <v>Labor Rate</v>
          </cell>
          <cell r="E638" t="str">
            <v>CIS</v>
          </cell>
          <cell r="F638" t="str">
            <v>Russia</v>
          </cell>
          <cell r="G638" t="str">
            <v>Russia Rep.O.</v>
          </cell>
          <cell r="H638" t="str">
            <v>3015</v>
          </cell>
          <cell r="I638" t="str">
            <v>下新城</v>
          </cell>
          <cell r="J638" t="str">
            <v>N/Novgorod</v>
          </cell>
          <cell r="K638" t="str">
            <v>Chinese employees</v>
          </cell>
          <cell r="L638" t="str">
            <v>L1</v>
          </cell>
          <cell r="M638" t="str">
            <v>ALL</v>
          </cell>
          <cell r="N638" t="str">
            <v>FLPC(含奖金)</v>
          </cell>
          <cell r="O638" t="str">
            <v>USD/小时</v>
          </cell>
          <cell r="P638">
            <v>63.68</v>
          </cell>
        </row>
        <row r="639">
          <cell r="A639" t="str">
            <v>N/Novgorod - Chinese employees - L2</v>
          </cell>
          <cell r="B639" t="str">
            <v>Current version</v>
          </cell>
          <cell r="C639" t="str">
            <v>V2009R2</v>
          </cell>
          <cell r="D639" t="str">
            <v>Labor Rate</v>
          </cell>
          <cell r="E639" t="str">
            <v>CIS</v>
          </cell>
          <cell r="F639" t="str">
            <v>Russia</v>
          </cell>
          <cell r="G639" t="str">
            <v>Russia Rep.O.</v>
          </cell>
          <cell r="H639" t="str">
            <v>3015</v>
          </cell>
          <cell r="I639" t="str">
            <v>下新城</v>
          </cell>
          <cell r="J639" t="str">
            <v>N/Novgorod</v>
          </cell>
          <cell r="K639" t="str">
            <v>Chinese employees</v>
          </cell>
          <cell r="L639" t="str">
            <v>L2</v>
          </cell>
          <cell r="M639" t="str">
            <v>ALL</v>
          </cell>
          <cell r="N639" t="str">
            <v>FLPC(含奖金)</v>
          </cell>
          <cell r="O639" t="str">
            <v>USD/小时</v>
          </cell>
          <cell r="P639">
            <v>71.930000000000007</v>
          </cell>
        </row>
        <row r="640">
          <cell r="A640" t="str">
            <v>N/Novgorod - Chinese employees - L3</v>
          </cell>
          <cell r="B640" t="str">
            <v>Current version</v>
          </cell>
          <cell r="C640" t="str">
            <v>V2009R2</v>
          </cell>
          <cell r="D640" t="str">
            <v>Labor Rate</v>
          </cell>
          <cell r="E640" t="str">
            <v>CIS</v>
          </cell>
          <cell r="F640" t="str">
            <v>Russia</v>
          </cell>
          <cell r="G640" t="str">
            <v>Russia Rep.O.</v>
          </cell>
          <cell r="H640" t="str">
            <v>3015</v>
          </cell>
          <cell r="I640" t="str">
            <v>下新城</v>
          </cell>
          <cell r="J640" t="str">
            <v>N/Novgorod</v>
          </cell>
          <cell r="K640" t="str">
            <v>Chinese employees</v>
          </cell>
          <cell r="L640" t="str">
            <v>L3</v>
          </cell>
          <cell r="M640" t="str">
            <v>ALL</v>
          </cell>
          <cell r="N640" t="str">
            <v>FLPC(含奖金)</v>
          </cell>
          <cell r="O640" t="str">
            <v>USD/小时</v>
          </cell>
          <cell r="P640">
            <v>83.76</v>
          </cell>
        </row>
        <row r="641">
          <cell r="A641" t="str">
            <v>N/Novgorod - Chinese employees - L4</v>
          </cell>
          <cell r="B641" t="str">
            <v>Current version</v>
          </cell>
          <cell r="C641" t="str">
            <v>V2009R2</v>
          </cell>
          <cell r="D641" t="str">
            <v>Labor Rate</v>
          </cell>
          <cell r="E641" t="str">
            <v>CIS</v>
          </cell>
          <cell r="F641" t="str">
            <v>Russia</v>
          </cell>
          <cell r="G641" t="str">
            <v>Russia Rep.O.</v>
          </cell>
          <cell r="H641" t="str">
            <v>3015</v>
          </cell>
          <cell r="I641" t="str">
            <v>下新城</v>
          </cell>
          <cell r="J641" t="str">
            <v>N/Novgorod</v>
          </cell>
          <cell r="K641" t="str">
            <v>Chinese employees</v>
          </cell>
          <cell r="L641" t="str">
            <v>L4</v>
          </cell>
          <cell r="M641" t="str">
            <v>ALL</v>
          </cell>
          <cell r="N641" t="str">
            <v>FLPC(含奖金)</v>
          </cell>
          <cell r="O641" t="str">
            <v>USD/小时</v>
          </cell>
          <cell r="P641">
            <v>126.27</v>
          </cell>
        </row>
        <row r="642">
          <cell r="A642" t="str">
            <v>Vladivostok - Chinese employees - L0</v>
          </cell>
          <cell r="B642" t="str">
            <v>Current version</v>
          </cell>
          <cell r="C642" t="str">
            <v>V2009R2</v>
          </cell>
          <cell r="D642" t="str">
            <v>Labor Rate</v>
          </cell>
          <cell r="E642" t="str">
            <v>CIS</v>
          </cell>
          <cell r="F642" t="str">
            <v>Russia</v>
          </cell>
          <cell r="G642" t="str">
            <v>Russia Rep.O.</v>
          </cell>
          <cell r="H642" t="str">
            <v>3017</v>
          </cell>
          <cell r="I642" t="str">
            <v>海參崴</v>
          </cell>
          <cell r="J642" t="str">
            <v>Vladivostok</v>
          </cell>
          <cell r="K642" t="str">
            <v>Chinese employees</v>
          </cell>
          <cell r="L642" t="str">
            <v>L0</v>
          </cell>
          <cell r="M642" t="str">
            <v>ALL</v>
          </cell>
          <cell r="N642" t="str">
            <v>FLPC(含奖金)</v>
          </cell>
          <cell r="O642" t="str">
            <v>USD/小时</v>
          </cell>
          <cell r="P642">
            <v>57.12</v>
          </cell>
        </row>
        <row r="643">
          <cell r="A643" t="str">
            <v>Vladivostok - Chinese employees - L1</v>
          </cell>
          <cell r="B643" t="str">
            <v>Current version</v>
          </cell>
          <cell r="C643" t="str">
            <v>V2009R2</v>
          </cell>
          <cell r="D643" t="str">
            <v>Labor Rate</v>
          </cell>
          <cell r="E643" t="str">
            <v>CIS</v>
          </cell>
          <cell r="F643" t="str">
            <v>Russia</v>
          </cell>
          <cell r="G643" t="str">
            <v>Russia Rep.O.</v>
          </cell>
          <cell r="H643" t="str">
            <v>3017</v>
          </cell>
          <cell r="I643" t="str">
            <v>海參崴</v>
          </cell>
          <cell r="J643" t="str">
            <v>Vladivostok</v>
          </cell>
          <cell r="K643" t="str">
            <v>Chinese employees</v>
          </cell>
          <cell r="L643" t="str">
            <v>L1</v>
          </cell>
          <cell r="M643" t="str">
            <v>ALL</v>
          </cell>
          <cell r="N643" t="str">
            <v>FLPC(含奖金)</v>
          </cell>
          <cell r="O643" t="str">
            <v>USD/小时</v>
          </cell>
          <cell r="P643">
            <v>63.68</v>
          </cell>
        </row>
        <row r="644">
          <cell r="A644" t="str">
            <v>Vladivostok - Chinese employees - L2</v>
          </cell>
          <cell r="B644" t="str">
            <v>Current version</v>
          </cell>
          <cell r="C644" t="str">
            <v>V2009R2</v>
          </cell>
          <cell r="D644" t="str">
            <v>Labor Rate</v>
          </cell>
          <cell r="E644" t="str">
            <v>CIS</v>
          </cell>
          <cell r="F644" t="str">
            <v>Russia</v>
          </cell>
          <cell r="G644" t="str">
            <v>Russia Rep.O.</v>
          </cell>
          <cell r="H644" t="str">
            <v>3017</v>
          </cell>
          <cell r="I644" t="str">
            <v>海參崴</v>
          </cell>
          <cell r="J644" t="str">
            <v>Vladivostok</v>
          </cell>
          <cell r="K644" t="str">
            <v>Chinese employees</v>
          </cell>
          <cell r="L644" t="str">
            <v>L2</v>
          </cell>
          <cell r="M644" t="str">
            <v>ALL</v>
          </cell>
          <cell r="N644" t="str">
            <v>FLPC(含奖金)</v>
          </cell>
          <cell r="O644" t="str">
            <v>USD/小时</v>
          </cell>
          <cell r="P644">
            <v>71.930000000000007</v>
          </cell>
        </row>
        <row r="645">
          <cell r="A645" t="str">
            <v>Vladivostok - Chinese employees - L3</v>
          </cell>
          <cell r="B645" t="str">
            <v>Current version</v>
          </cell>
          <cell r="C645" t="str">
            <v>V2009R2</v>
          </cell>
          <cell r="D645" t="str">
            <v>Labor Rate</v>
          </cell>
          <cell r="E645" t="str">
            <v>CIS</v>
          </cell>
          <cell r="F645" t="str">
            <v>Russia</v>
          </cell>
          <cell r="G645" t="str">
            <v>Russia Rep.O.</v>
          </cell>
          <cell r="H645" t="str">
            <v>3017</v>
          </cell>
          <cell r="I645" t="str">
            <v>海參崴</v>
          </cell>
          <cell r="J645" t="str">
            <v>Vladivostok</v>
          </cell>
          <cell r="K645" t="str">
            <v>Chinese employees</v>
          </cell>
          <cell r="L645" t="str">
            <v>L3</v>
          </cell>
          <cell r="M645" t="str">
            <v>ALL</v>
          </cell>
          <cell r="N645" t="str">
            <v>FLPC(含奖金)</v>
          </cell>
          <cell r="O645" t="str">
            <v>USD/小时</v>
          </cell>
          <cell r="P645">
            <v>83.76</v>
          </cell>
        </row>
        <row r="646">
          <cell r="A646" t="str">
            <v>Vladivostok - Chinese employees - L4</v>
          </cell>
          <cell r="B646" t="str">
            <v>Current version</v>
          </cell>
          <cell r="C646" t="str">
            <v>V2009R2</v>
          </cell>
          <cell r="D646" t="str">
            <v>Labor Rate</v>
          </cell>
          <cell r="E646" t="str">
            <v>CIS</v>
          </cell>
          <cell r="F646" t="str">
            <v>Russia</v>
          </cell>
          <cell r="G646" t="str">
            <v>Russia Rep.O.</v>
          </cell>
          <cell r="H646" t="str">
            <v>3017</v>
          </cell>
          <cell r="I646" t="str">
            <v>海參崴</v>
          </cell>
          <cell r="J646" t="str">
            <v>Vladivostok</v>
          </cell>
          <cell r="K646" t="str">
            <v>Chinese employees</v>
          </cell>
          <cell r="L646" t="str">
            <v>L4</v>
          </cell>
          <cell r="M646" t="str">
            <v>ALL</v>
          </cell>
          <cell r="N646" t="str">
            <v>FLPC(含奖金)</v>
          </cell>
          <cell r="O646" t="str">
            <v>USD/小时</v>
          </cell>
          <cell r="P646">
            <v>126.27</v>
          </cell>
        </row>
        <row r="647">
          <cell r="A647" t="str">
            <v>Samara - Chinese employees - L0</v>
          </cell>
          <cell r="B647" t="str">
            <v>Current version</v>
          </cell>
          <cell r="C647" t="str">
            <v>V2009R2</v>
          </cell>
          <cell r="D647" t="str">
            <v>Labor Rate</v>
          </cell>
          <cell r="E647" t="str">
            <v>CIS</v>
          </cell>
          <cell r="F647" t="str">
            <v>Russia</v>
          </cell>
          <cell r="G647" t="str">
            <v>Russia Rep.O.</v>
          </cell>
          <cell r="H647" t="str">
            <v>3018</v>
          </cell>
          <cell r="I647" t="str">
            <v>萨马拉</v>
          </cell>
          <cell r="J647" t="str">
            <v>Samara</v>
          </cell>
          <cell r="K647" t="str">
            <v>Chinese employees</v>
          </cell>
          <cell r="L647" t="str">
            <v>L0</v>
          </cell>
          <cell r="M647" t="str">
            <v>ALL</v>
          </cell>
          <cell r="N647" t="str">
            <v>FLPC(含奖金)</v>
          </cell>
          <cell r="O647" t="str">
            <v>USD/小时</v>
          </cell>
          <cell r="P647">
            <v>57.12</v>
          </cell>
        </row>
        <row r="648">
          <cell r="A648" t="str">
            <v>Samara - Chinese employees - L1</v>
          </cell>
          <cell r="B648" t="str">
            <v>Current version</v>
          </cell>
          <cell r="C648" t="str">
            <v>V2009R2</v>
          </cell>
          <cell r="D648" t="str">
            <v>Labor Rate</v>
          </cell>
          <cell r="E648" t="str">
            <v>CIS</v>
          </cell>
          <cell r="F648" t="str">
            <v>Russia</v>
          </cell>
          <cell r="G648" t="str">
            <v>Russia Rep.O.</v>
          </cell>
          <cell r="H648" t="str">
            <v>3018</v>
          </cell>
          <cell r="I648" t="str">
            <v>萨马拉</v>
          </cell>
          <cell r="J648" t="str">
            <v>Samara</v>
          </cell>
          <cell r="K648" t="str">
            <v>Chinese employees</v>
          </cell>
          <cell r="L648" t="str">
            <v>L1</v>
          </cell>
          <cell r="M648" t="str">
            <v>ALL</v>
          </cell>
          <cell r="N648" t="str">
            <v>FLPC(含奖金)</v>
          </cell>
          <cell r="O648" t="str">
            <v>USD/小时</v>
          </cell>
          <cell r="P648">
            <v>63.68</v>
          </cell>
        </row>
        <row r="649">
          <cell r="A649" t="str">
            <v>Samara - Chinese employees - L2</v>
          </cell>
          <cell r="B649" t="str">
            <v>Current version</v>
          </cell>
          <cell r="C649" t="str">
            <v>V2009R2</v>
          </cell>
          <cell r="D649" t="str">
            <v>Labor Rate</v>
          </cell>
          <cell r="E649" t="str">
            <v>CIS</v>
          </cell>
          <cell r="F649" t="str">
            <v>Russia</v>
          </cell>
          <cell r="G649" t="str">
            <v>Russia Rep.O.</v>
          </cell>
          <cell r="H649" t="str">
            <v>3018</v>
          </cell>
          <cell r="I649" t="str">
            <v>萨马拉</v>
          </cell>
          <cell r="J649" t="str">
            <v>Samara</v>
          </cell>
          <cell r="K649" t="str">
            <v>Chinese employees</v>
          </cell>
          <cell r="L649" t="str">
            <v>L2</v>
          </cell>
          <cell r="M649" t="str">
            <v>ALL</v>
          </cell>
          <cell r="N649" t="str">
            <v>FLPC(含奖金)</v>
          </cell>
          <cell r="O649" t="str">
            <v>USD/小时</v>
          </cell>
          <cell r="P649">
            <v>71.930000000000007</v>
          </cell>
        </row>
        <row r="650">
          <cell r="A650" t="str">
            <v>Samara - Chinese employees - L3</v>
          </cell>
          <cell r="B650" t="str">
            <v>Current version</v>
          </cell>
          <cell r="C650" t="str">
            <v>V2009R2</v>
          </cell>
          <cell r="D650" t="str">
            <v>Labor Rate</v>
          </cell>
          <cell r="E650" t="str">
            <v>CIS</v>
          </cell>
          <cell r="F650" t="str">
            <v>Russia</v>
          </cell>
          <cell r="G650" t="str">
            <v>Russia Rep.O.</v>
          </cell>
          <cell r="H650" t="str">
            <v>3018</v>
          </cell>
          <cell r="I650" t="str">
            <v>萨马拉</v>
          </cell>
          <cell r="J650" t="str">
            <v>Samara</v>
          </cell>
          <cell r="K650" t="str">
            <v>Chinese employees</v>
          </cell>
          <cell r="L650" t="str">
            <v>L3</v>
          </cell>
          <cell r="M650" t="str">
            <v>ALL</v>
          </cell>
          <cell r="N650" t="str">
            <v>FLPC(含奖金)</v>
          </cell>
          <cell r="O650" t="str">
            <v>USD/小时</v>
          </cell>
          <cell r="P650">
            <v>83.76</v>
          </cell>
        </row>
        <row r="651">
          <cell r="A651" t="str">
            <v>Samara - Chinese employees - L4</v>
          </cell>
          <cell r="B651" t="str">
            <v>Current version</v>
          </cell>
          <cell r="C651" t="str">
            <v>V2009R2</v>
          </cell>
          <cell r="D651" t="str">
            <v>Labor Rate</v>
          </cell>
          <cell r="E651" t="str">
            <v>CIS</v>
          </cell>
          <cell r="F651" t="str">
            <v>Russia</v>
          </cell>
          <cell r="G651" t="str">
            <v>Russia Rep.O.</v>
          </cell>
          <cell r="H651" t="str">
            <v>3018</v>
          </cell>
          <cell r="I651" t="str">
            <v>萨马拉</v>
          </cell>
          <cell r="J651" t="str">
            <v>Samara</v>
          </cell>
          <cell r="K651" t="str">
            <v>Chinese employees</v>
          </cell>
          <cell r="L651" t="str">
            <v>L4</v>
          </cell>
          <cell r="M651" t="str">
            <v>ALL</v>
          </cell>
          <cell r="N651" t="str">
            <v>FLPC(含奖金)</v>
          </cell>
          <cell r="O651" t="str">
            <v>USD/小时</v>
          </cell>
          <cell r="P651">
            <v>126.27</v>
          </cell>
        </row>
        <row r="652">
          <cell r="A652" t="str">
            <v>East Pacific - Chinese employees - L0</v>
          </cell>
          <cell r="B652" t="str">
            <v>Current version</v>
          </cell>
          <cell r="C652" t="str">
            <v>V2009R2</v>
          </cell>
          <cell r="D652" t="str">
            <v>Labor Rate</v>
          </cell>
          <cell r="E652" t="str">
            <v>CIS</v>
          </cell>
          <cell r="F652" t="str">
            <v>Russia</v>
          </cell>
          <cell r="G652" t="str">
            <v>Russia Rep.O.</v>
          </cell>
          <cell r="H652" t="str">
            <v>3023</v>
          </cell>
          <cell r="I652" t="str">
            <v>远东</v>
          </cell>
          <cell r="J652" t="str">
            <v>East Pacific</v>
          </cell>
          <cell r="K652" t="str">
            <v>Chinese employees</v>
          </cell>
          <cell r="L652" t="str">
            <v>L0</v>
          </cell>
          <cell r="M652" t="str">
            <v>ALL</v>
          </cell>
          <cell r="N652" t="str">
            <v>FLPC(含奖金)</v>
          </cell>
          <cell r="O652" t="str">
            <v>USD/小时</v>
          </cell>
          <cell r="P652">
            <v>57.12</v>
          </cell>
        </row>
        <row r="653">
          <cell r="A653" t="str">
            <v>East Pacific - Chinese employees - L1</v>
          </cell>
          <cell r="B653" t="str">
            <v>Current version</v>
          </cell>
          <cell r="C653" t="str">
            <v>V2009R2</v>
          </cell>
          <cell r="D653" t="str">
            <v>Labor Rate</v>
          </cell>
          <cell r="E653" t="str">
            <v>CIS</v>
          </cell>
          <cell r="F653" t="str">
            <v>Russia</v>
          </cell>
          <cell r="G653" t="str">
            <v>Russia Rep.O.</v>
          </cell>
          <cell r="H653" t="str">
            <v>3023</v>
          </cell>
          <cell r="I653" t="str">
            <v>远东</v>
          </cell>
          <cell r="J653" t="str">
            <v>East Pacific</v>
          </cell>
          <cell r="K653" t="str">
            <v>Chinese employees</v>
          </cell>
          <cell r="L653" t="str">
            <v>L1</v>
          </cell>
          <cell r="M653" t="str">
            <v>ALL</v>
          </cell>
          <cell r="N653" t="str">
            <v>FLPC(含奖金)</v>
          </cell>
          <cell r="O653" t="str">
            <v>USD/小时</v>
          </cell>
          <cell r="P653">
            <v>63.68</v>
          </cell>
        </row>
        <row r="654">
          <cell r="A654" t="str">
            <v>East Pacific - Chinese employees - L2</v>
          </cell>
          <cell r="B654" t="str">
            <v>Current version</v>
          </cell>
          <cell r="C654" t="str">
            <v>V2009R2</v>
          </cell>
          <cell r="D654" t="str">
            <v>Labor Rate</v>
          </cell>
          <cell r="E654" t="str">
            <v>CIS</v>
          </cell>
          <cell r="F654" t="str">
            <v>Russia</v>
          </cell>
          <cell r="G654" t="str">
            <v>Russia Rep.O.</v>
          </cell>
          <cell r="H654" t="str">
            <v>3023</v>
          </cell>
          <cell r="I654" t="str">
            <v>远东</v>
          </cell>
          <cell r="J654" t="str">
            <v>East Pacific</v>
          </cell>
          <cell r="K654" t="str">
            <v>Chinese employees</v>
          </cell>
          <cell r="L654" t="str">
            <v>L2</v>
          </cell>
          <cell r="M654" t="str">
            <v>ALL</v>
          </cell>
          <cell r="N654" t="str">
            <v>FLPC(含奖金)</v>
          </cell>
          <cell r="O654" t="str">
            <v>USD/小时</v>
          </cell>
          <cell r="P654">
            <v>71.930000000000007</v>
          </cell>
        </row>
        <row r="655">
          <cell r="A655" t="str">
            <v>East Pacific - Chinese employees - L3</v>
          </cell>
          <cell r="B655" t="str">
            <v>Current version</v>
          </cell>
          <cell r="C655" t="str">
            <v>V2009R2</v>
          </cell>
          <cell r="D655" t="str">
            <v>Labor Rate</v>
          </cell>
          <cell r="E655" t="str">
            <v>CIS</v>
          </cell>
          <cell r="F655" t="str">
            <v>Russia</v>
          </cell>
          <cell r="G655" t="str">
            <v>Russia Rep.O.</v>
          </cell>
          <cell r="H655" t="str">
            <v>3023</v>
          </cell>
          <cell r="I655" t="str">
            <v>远东</v>
          </cell>
          <cell r="J655" t="str">
            <v>East Pacific</v>
          </cell>
          <cell r="K655" t="str">
            <v>Chinese employees</v>
          </cell>
          <cell r="L655" t="str">
            <v>L3</v>
          </cell>
          <cell r="M655" t="str">
            <v>ALL</v>
          </cell>
          <cell r="N655" t="str">
            <v>FLPC(含奖金)</v>
          </cell>
          <cell r="O655" t="str">
            <v>USD/小时</v>
          </cell>
          <cell r="P655">
            <v>83.76</v>
          </cell>
        </row>
        <row r="656">
          <cell r="A656" t="str">
            <v>East Pacific - Chinese employees - L4</v>
          </cell>
          <cell r="B656" t="str">
            <v>Current version</v>
          </cell>
          <cell r="C656" t="str">
            <v>V2009R2</v>
          </cell>
          <cell r="D656" t="str">
            <v>Labor Rate</v>
          </cell>
          <cell r="E656" t="str">
            <v>CIS</v>
          </cell>
          <cell r="F656" t="str">
            <v>Russia</v>
          </cell>
          <cell r="G656" t="str">
            <v>Russia Rep.O.</v>
          </cell>
          <cell r="H656" t="str">
            <v>3023</v>
          </cell>
          <cell r="I656" t="str">
            <v>远东</v>
          </cell>
          <cell r="J656" t="str">
            <v>East Pacific</v>
          </cell>
          <cell r="K656" t="str">
            <v>Chinese employees</v>
          </cell>
          <cell r="L656" t="str">
            <v>L4</v>
          </cell>
          <cell r="M656" t="str">
            <v>ALL</v>
          </cell>
          <cell r="N656" t="str">
            <v>FLPC(含奖金)</v>
          </cell>
          <cell r="O656" t="str">
            <v>USD/小时</v>
          </cell>
          <cell r="P656">
            <v>126.27</v>
          </cell>
        </row>
        <row r="657">
          <cell r="A657" t="str">
            <v>Siberian - Chinese employees - L0</v>
          </cell>
          <cell r="B657" t="str">
            <v>Current version</v>
          </cell>
          <cell r="C657" t="str">
            <v>V2009R2</v>
          </cell>
          <cell r="D657" t="str">
            <v>Labor Rate</v>
          </cell>
          <cell r="E657" t="str">
            <v>CIS</v>
          </cell>
          <cell r="F657" t="str">
            <v>Russia</v>
          </cell>
          <cell r="G657" t="str">
            <v>Russia Rep.O.</v>
          </cell>
          <cell r="H657" t="str">
            <v>3024</v>
          </cell>
          <cell r="I657" t="str">
            <v>西伯利亚</v>
          </cell>
          <cell r="J657" t="str">
            <v>Siberian</v>
          </cell>
          <cell r="K657" t="str">
            <v>Chinese employees</v>
          </cell>
          <cell r="L657" t="str">
            <v>L0</v>
          </cell>
          <cell r="M657" t="str">
            <v>ALL</v>
          </cell>
          <cell r="N657" t="str">
            <v>FLPC(含奖金)</v>
          </cell>
          <cell r="O657" t="str">
            <v>USD/小时</v>
          </cell>
          <cell r="P657">
            <v>57.12</v>
          </cell>
        </row>
        <row r="658">
          <cell r="A658" t="str">
            <v>Siberian - Chinese employees - L1</v>
          </cell>
          <cell r="B658" t="str">
            <v>Current version</v>
          </cell>
          <cell r="C658" t="str">
            <v>V2009R2</v>
          </cell>
          <cell r="D658" t="str">
            <v>Labor Rate</v>
          </cell>
          <cell r="E658" t="str">
            <v>CIS</v>
          </cell>
          <cell r="F658" t="str">
            <v>Russia</v>
          </cell>
          <cell r="G658" t="str">
            <v>Russia Rep.O.</v>
          </cell>
          <cell r="H658" t="str">
            <v>3024</v>
          </cell>
          <cell r="I658" t="str">
            <v>西伯利亚</v>
          </cell>
          <cell r="J658" t="str">
            <v>Siberian</v>
          </cell>
          <cell r="K658" t="str">
            <v>Chinese employees</v>
          </cell>
          <cell r="L658" t="str">
            <v>L1</v>
          </cell>
          <cell r="M658" t="str">
            <v>ALL</v>
          </cell>
          <cell r="N658" t="str">
            <v>FLPC(含奖金)</v>
          </cell>
          <cell r="O658" t="str">
            <v>USD/小时</v>
          </cell>
          <cell r="P658">
            <v>63.68</v>
          </cell>
        </row>
        <row r="659">
          <cell r="A659" t="str">
            <v>Siberian - Chinese employees - L2</v>
          </cell>
          <cell r="B659" t="str">
            <v>Current version</v>
          </cell>
          <cell r="C659" t="str">
            <v>V2009R2</v>
          </cell>
          <cell r="D659" t="str">
            <v>Labor Rate</v>
          </cell>
          <cell r="E659" t="str">
            <v>CIS</v>
          </cell>
          <cell r="F659" t="str">
            <v>Russia</v>
          </cell>
          <cell r="G659" t="str">
            <v>Russia Rep.O.</v>
          </cell>
          <cell r="H659" t="str">
            <v>3024</v>
          </cell>
          <cell r="I659" t="str">
            <v>西伯利亚</v>
          </cell>
          <cell r="J659" t="str">
            <v>Siberian</v>
          </cell>
          <cell r="K659" t="str">
            <v>Chinese employees</v>
          </cell>
          <cell r="L659" t="str">
            <v>L2</v>
          </cell>
          <cell r="M659" t="str">
            <v>ALL</v>
          </cell>
          <cell r="N659" t="str">
            <v>FLPC(含奖金)</v>
          </cell>
          <cell r="O659" t="str">
            <v>USD/小时</v>
          </cell>
          <cell r="P659">
            <v>71.930000000000007</v>
          </cell>
        </row>
        <row r="660">
          <cell r="A660" t="str">
            <v>Siberian - Chinese employees - L3</v>
          </cell>
          <cell r="B660" t="str">
            <v>Current version</v>
          </cell>
          <cell r="C660" t="str">
            <v>V2009R2</v>
          </cell>
          <cell r="D660" t="str">
            <v>Labor Rate</v>
          </cell>
          <cell r="E660" t="str">
            <v>CIS</v>
          </cell>
          <cell r="F660" t="str">
            <v>Russia</v>
          </cell>
          <cell r="G660" t="str">
            <v>Russia Rep.O.</v>
          </cell>
          <cell r="H660" t="str">
            <v>3024</v>
          </cell>
          <cell r="I660" t="str">
            <v>西伯利亚</v>
          </cell>
          <cell r="J660" t="str">
            <v>Siberian</v>
          </cell>
          <cell r="K660" t="str">
            <v>Chinese employees</v>
          </cell>
          <cell r="L660" t="str">
            <v>L3</v>
          </cell>
          <cell r="M660" t="str">
            <v>ALL</v>
          </cell>
          <cell r="N660" t="str">
            <v>FLPC(含奖金)</v>
          </cell>
          <cell r="O660" t="str">
            <v>USD/小时</v>
          </cell>
          <cell r="P660">
            <v>83.76</v>
          </cell>
        </row>
        <row r="661">
          <cell r="A661" t="str">
            <v>Siberian - Chinese employees - L4</v>
          </cell>
          <cell r="B661" t="str">
            <v>Current version</v>
          </cell>
          <cell r="C661" t="str">
            <v>V2009R2</v>
          </cell>
          <cell r="D661" t="str">
            <v>Labor Rate</v>
          </cell>
          <cell r="E661" t="str">
            <v>CIS</v>
          </cell>
          <cell r="F661" t="str">
            <v>Russia</v>
          </cell>
          <cell r="G661" t="str">
            <v>Russia Rep.O.</v>
          </cell>
          <cell r="H661" t="str">
            <v>3024</v>
          </cell>
          <cell r="I661" t="str">
            <v>西伯利亚</v>
          </cell>
          <cell r="J661" t="str">
            <v>Siberian</v>
          </cell>
          <cell r="K661" t="str">
            <v>Chinese employees</v>
          </cell>
          <cell r="L661" t="str">
            <v>L4</v>
          </cell>
          <cell r="M661" t="str">
            <v>ALL</v>
          </cell>
          <cell r="N661" t="str">
            <v>FLPC(含奖金)</v>
          </cell>
          <cell r="O661" t="str">
            <v>USD/小时</v>
          </cell>
          <cell r="P661">
            <v>126.27</v>
          </cell>
        </row>
        <row r="662">
          <cell r="A662" t="str">
            <v>Ural - Chinese employees - L0</v>
          </cell>
          <cell r="B662" t="str">
            <v>Current version</v>
          </cell>
          <cell r="C662" t="str">
            <v>V2009R2</v>
          </cell>
          <cell r="D662" t="str">
            <v>Labor Rate</v>
          </cell>
          <cell r="E662" t="str">
            <v>CIS</v>
          </cell>
          <cell r="F662" t="str">
            <v>Russia</v>
          </cell>
          <cell r="G662" t="str">
            <v>Russia Rep.O.</v>
          </cell>
          <cell r="H662" t="str">
            <v>3026</v>
          </cell>
          <cell r="I662" t="str">
            <v>乌拉尔</v>
          </cell>
          <cell r="J662" t="str">
            <v>Ural</v>
          </cell>
          <cell r="K662" t="str">
            <v>Chinese employees</v>
          </cell>
          <cell r="L662" t="str">
            <v>L0</v>
          </cell>
          <cell r="M662" t="str">
            <v>ALL</v>
          </cell>
          <cell r="N662" t="str">
            <v>FLPC(含奖金)</v>
          </cell>
          <cell r="O662" t="str">
            <v>USD/小时</v>
          </cell>
          <cell r="P662">
            <v>57.12</v>
          </cell>
        </row>
        <row r="663">
          <cell r="A663" t="str">
            <v>Ural - Chinese employees - L1</v>
          </cell>
          <cell r="B663" t="str">
            <v>Current version</v>
          </cell>
          <cell r="C663" t="str">
            <v>V2009R2</v>
          </cell>
          <cell r="D663" t="str">
            <v>Labor Rate</v>
          </cell>
          <cell r="E663" t="str">
            <v>CIS</v>
          </cell>
          <cell r="F663" t="str">
            <v>Russia</v>
          </cell>
          <cell r="G663" t="str">
            <v>Russia Rep.O.</v>
          </cell>
          <cell r="H663" t="str">
            <v>3026</v>
          </cell>
          <cell r="I663" t="str">
            <v>乌拉尔</v>
          </cell>
          <cell r="J663" t="str">
            <v>Ural</v>
          </cell>
          <cell r="K663" t="str">
            <v>Chinese employees</v>
          </cell>
          <cell r="L663" t="str">
            <v>L1</v>
          </cell>
          <cell r="M663" t="str">
            <v>ALL</v>
          </cell>
          <cell r="N663" t="str">
            <v>FLPC(含奖金)</v>
          </cell>
          <cell r="O663" t="str">
            <v>USD/小时</v>
          </cell>
          <cell r="P663">
            <v>63.68</v>
          </cell>
        </row>
        <row r="664">
          <cell r="A664" t="str">
            <v>Ural - Chinese employees - L2</v>
          </cell>
          <cell r="B664" t="str">
            <v>Current version</v>
          </cell>
          <cell r="C664" t="str">
            <v>V2009R2</v>
          </cell>
          <cell r="D664" t="str">
            <v>Labor Rate</v>
          </cell>
          <cell r="E664" t="str">
            <v>CIS</v>
          </cell>
          <cell r="F664" t="str">
            <v>Russia</v>
          </cell>
          <cell r="G664" t="str">
            <v>Russia Rep.O.</v>
          </cell>
          <cell r="H664" t="str">
            <v>3026</v>
          </cell>
          <cell r="I664" t="str">
            <v>乌拉尔</v>
          </cell>
          <cell r="J664" t="str">
            <v>Ural</v>
          </cell>
          <cell r="K664" t="str">
            <v>Chinese employees</v>
          </cell>
          <cell r="L664" t="str">
            <v>L2</v>
          </cell>
          <cell r="M664" t="str">
            <v>ALL</v>
          </cell>
          <cell r="N664" t="str">
            <v>FLPC(含奖金)</v>
          </cell>
          <cell r="O664" t="str">
            <v>USD/小时</v>
          </cell>
          <cell r="P664">
            <v>71.930000000000007</v>
          </cell>
        </row>
        <row r="665">
          <cell r="A665" t="str">
            <v>Ural - Chinese employees - L3</v>
          </cell>
          <cell r="B665" t="str">
            <v>Current version</v>
          </cell>
          <cell r="C665" t="str">
            <v>V2009R2</v>
          </cell>
          <cell r="D665" t="str">
            <v>Labor Rate</v>
          </cell>
          <cell r="E665" t="str">
            <v>CIS</v>
          </cell>
          <cell r="F665" t="str">
            <v>Russia</v>
          </cell>
          <cell r="G665" t="str">
            <v>Russia Rep.O.</v>
          </cell>
          <cell r="H665" t="str">
            <v>3026</v>
          </cell>
          <cell r="I665" t="str">
            <v>乌拉尔</v>
          </cell>
          <cell r="J665" t="str">
            <v>Ural</v>
          </cell>
          <cell r="K665" t="str">
            <v>Chinese employees</v>
          </cell>
          <cell r="L665" t="str">
            <v>L3</v>
          </cell>
          <cell r="M665" t="str">
            <v>ALL</v>
          </cell>
          <cell r="N665" t="str">
            <v>FLPC(含奖金)</v>
          </cell>
          <cell r="O665" t="str">
            <v>USD/小时</v>
          </cell>
          <cell r="P665">
            <v>83.76</v>
          </cell>
        </row>
        <row r="666">
          <cell r="A666" t="str">
            <v>Ural - Chinese employees - L4</v>
          </cell>
          <cell r="B666" t="str">
            <v>Current version</v>
          </cell>
          <cell r="C666" t="str">
            <v>V2009R2</v>
          </cell>
          <cell r="D666" t="str">
            <v>Labor Rate</v>
          </cell>
          <cell r="E666" t="str">
            <v>CIS</v>
          </cell>
          <cell r="F666" t="str">
            <v>Russia</v>
          </cell>
          <cell r="G666" t="str">
            <v>Russia Rep.O.</v>
          </cell>
          <cell r="H666" t="str">
            <v>3026</v>
          </cell>
          <cell r="I666" t="str">
            <v>乌拉尔</v>
          </cell>
          <cell r="J666" t="str">
            <v>Ural</v>
          </cell>
          <cell r="K666" t="str">
            <v>Chinese employees</v>
          </cell>
          <cell r="L666" t="str">
            <v>L4</v>
          </cell>
          <cell r="M666" t="str">
            <v>ALL</v>
          </cell>
          <cell r="N666" t="str">
            <v>FLPC(含奖金)</v>
          </cell>
          <cell r="O666" t="str">
            <v>USD/小时</v>
          </cell>
          <cell r="P666">
            <v>126.27</v>
          </cell>
        </row>
        <row r="667">
          <cell r="A667" t="str">
            <v>Ekaterinburg - Chinese employees - L0</v>
          </cell>
          <cell r="B667" t="str">
            <v>Current version</v>
          </cell>
          <cell r="C667" t="str">
            <v>V2009R2</v>
          </cell>
          <cell r="D667" t="str">
            <v>Labor Rate</v>
          </cell>
          <cell r="E667" t="str">
            <v>CIS</v>
          </cell>
          <cell r="F667" t="str">
            <v>Russia</v>
          </cell>
          <cell r="G667" t="str">
            <v>Russia Rep.O.</v>
          </cell>
          <cell r="H667" t="str">
            <v>3027</v>
          </cell>
          <cell r="I667" t="str">
            <v>叶卡捷林堡</v>
          </cell>
          <cell r="J667" t="str">
            <v>Ekaterinburg</v>
          </cell>
          <cell r="K667" t="str">
            <v>Chinese employees</v>
          </cell>
          <cell r="L667" t="str">
            <v>L0</v>
          </cell>
          <cell r="M667" t="str">
            <v>ALL</v>
          </cell>
          <cell r="N667" t="str">
            <v>FLPC(含奖金)</v>
          </cell>
          <cell r="O667" t="str">
            <v>USD/小时</v>
          </cell>
          <cell r="P667">
            <v>57.12</v>
          </cell>
        </row>
        <row r="668">
          <cell r="A668" t="str">
            <v>Ekaterinburg - Chinese employees - L1</v>
          </cell>
          <cell r="B668" t="str">
            <v>Current version</v>
          </cell>
          <cell r="C668" t="str">
            <v>V2009R2</v>
          </cell>
          <cell r="D668" t="str">
            <v>Labor Rate</v>
          </cell>
          <cell r="E668" t="str">
            <v>CIS</v>
          </cell>
          <cell r="F668" t="str">
            <v>Russia</v>
          </cell>
          <cell r="G668" t="str">
            <v>Russia Rep.O.</v>
          </cell>
          <cell r="H668" t="str">
            <v>3027</v>
          </cell>
          <cell r="I668" t="str">
            <v>叶卡捷林堡</v>
          </cell>
          <cell r="J668" t="str">
            <v>Ekaterinburg</v>
          </cell>
          <cell r="K668" t="str">
            <v>Chinese employees</v>
          </cell>
          <cell r="L668" t="str">
            <v>L1</v>
          </cell>
          <cell r="M668" t="str">
            <v>ALL</v>
          </cell>
          <cell r="N668" t="str">
            <v>FLPC(含奖金)</v>
          </cell>
          <cell r="O668" t="str">
            <v>USD/小时</v>
          </cell>
          <cell r="P668">
            <v>63.68</v>
          </cell>
        </row>
        <row r="669">
          <cell r="A669" t="str">
            <v>Ekaterinburg - Chinese employees - L2</v>
          </cell>
          <cell r="B669" t="str">
            <v>Current version</v>
          </cell>
          <cell r="C669" t="str">
            <v>V2009R2</v>
          </cell>
          <cell r="D669" t="str">
            <v>Labor Rate</v>
          </cell>
          <cell r="E669" t="str">
            <v>CIS</v>
          </cell>
          <cell r="F669" t="str">
            <v>Russia</v>
          </cell>
          <cell r="G669" t="str">
            <v>Russia Rep.O.</v>
          </cell>
          <cell r="H669" t="str">
            <v>3027</v>
          </cell>
          <cell r="I669" t="str">
            <v>叶卡捷林堡</v>
          </cell>
          <cell r="J669" t="str">
            <v>Ekaterinburg</v>
          </cell>
          <cell r="K669" t="str">
            <v>Chinese employees</v>
          </cell>
          <cell r="L669" t="str">
            <v>L2</v>
          </cell>
          <cell r="M669" t="str">
            <v>ALL</v>
          </cell>
          <cell r="N669" t="str">
            <v>FLPC(含奖金)</v>
          </cell>
          <cell r="O669" t="str">
            <v>USD/小时</v>
          </cell>
          <cell r="P669">
            <v>71.930000000000007</v>
          </cell>
        </row>
        <row r="670">
          <cell r="A670" t="str">
            <v>Ekaterinburg - Chinese employees - L3</v>
          </cell>
          <cell r="B670" t="str">
            <v>Current version</v>
          </cell>
          <cell r="C670" t="str">
            <v>V2009R2</v>
          </cell>
          <cell r="D670" t="str">
            <v>Labor Rate</v>
          </cell>
          <cell r="E670" t="str">
            <v>CIS</v>
          </cell>
          <cell r="F670" t="str">
            <v>Russia</v>
          </cell>
          <cell r="G670" t="str">
            <v>Russia Rep.O.</v>
          </cell>
          <cell r="H670" t="str">
            <v>3027</v>
          </cell>
          <cell r="I670" t="str">
            <v>叶卡捷林堡</v>
          </cell>
          <cell r="J670" t="str">
            <v>Ekaterinburg</v>
          </cell>
          <cell r="K670" t="str">
            <v>Chinese employees</v>
          </cell>
          <cell r="L670" t="str">
            <v>L3</v>
          </cell>
          <cell r="M670" t="str">
            <v>ALL</v>
          </cell>
          <cell r="N670" t="str">
            <v>FLPC(含奖金)</v>
          </cell>
          <cell r="O670" t="str">
            <v>USD/小时</v>
          </cell>
          <cell r="P670">
            <v>83.76</v>
          </cell>
        </row>
        <row r="671">
          <cell r="A671" t="str">
            <v>Ekaterinburg - Chinese employees - L4</v>
          </cell>
          <cell r="B671" t="str">
            <v>Current version</v>
          </cell>
          <cell r="C671" t="str">
            <v>V2009R2</v>
          </cell>
          <cell r="D671" t="str">
            <v>Labor Rate</v>
          </cell>
          <cell r="E671" t="str">
            <v>CIS</v>
          </cell>
          <cell r="F671" t="str">
            <v>Russia</v>
          </cell>
          <cell r="G671" t="str">
            <v>Russia Rep.O.</v>
          </cell>
          <cell r="H671" t="str">
            <v>3027</v>
          </cell>
          <cell r="I671" t="str">
            <v>叶卡捷林堡</v>
          </cell>
          <cell r="J671" t="str">
            <v>Ekaterinburg</v>
          </cell>
          <cell r="K671" t="str">
            <v>Chinese employees</v>
          </cell>
          <cell r="L671" t="str">
            <v>L4</v>
          </cell>
          <cell r="M671" t="str">
            <v>ALL</v>
          </cell>
          <cell r="N671" t="str">
            <v>FLPC(含奖金)</v>
          </cell>
          <cell r="O671" t="str">
            <v>USD/小时</v>
          </cell>
          <cell r="P671">
            <v>126.27</v>
          </cell>
        </row>
        <row r="672">
          <cell r="A672" t="str">
            <v>Kracnodar - Chinese employees - L0</v>
          </cell>
          <cell r="B672" t="str">
            <v>Current version</v>
          </cell>
          <cell r="C672" t="str">
            <v>V2009R2</v>
          </cell>
          <cell r="D672" t="str">
            <v>Labor Rate</v>
          </cell>
          <cell r="E672" t="str">
            <v>CIS</v>
          </cell>
          <cell r="F672" t="str">
            <v>Russia</v>
          </cell>
          <cell r="G672" t="str">
            <v>Russia Rep.O.</v>
          </cell>
          <cell r="H672" t="str">
            <v>3028</v>
          </cell>
          <cell r="I672" t="str">
            <v>克拉斯诺达尔</v>
          </cell>
          <cell r="J672" t="str">
            <v>Kracnodar</v>
          </cell>
          <cell r="K672" t="str">
            <v>Chinese employees</v>
          </cell>
          <cell r="L672" t="str">
            <v>L0</v>
          </cell>
          <cell r="M672" t="str">
            <v>ALL</v>
          </cell>
          <cell r="N672" t="str">
            <v>FLPC(含奖金)</v>
          </cell>
          <cell r="O672" t="str">
            <v>USD/小时</v>
          </cell>
          <cell r="P672">
            <v>57.12</v>
          </cell>
        </row>
        <row r="673">
          <cell r="A673" t="str">
            <v>India Bangalore Office - Chinese employees - L1</v>
          </cell>
          <cell r="B673" t="str">
            <v>Current version</v>
          </cell>
          <cell r="C673" t="str">
            <v>V2009R2</v>
          </cell>
          <cell r="D673" t="str">
            <v>Labor Rate</v>
          </cell>
          <cell r="E673" t="str">
            <v>AP</v>
          </cell>
          <cell r="F673" t="str">
            <v>India Rep.O.</v>
          </cell>
          <cell r="G673" t="str">
            <v>India Bangalore</v>
          </cell>
          <cell r="H673" t="str">
            <v>1237</v>
          </cell>
          <cell r="I673" t="str">
            <v>印度Bangalore办事处</v>
          </cell>
          <cell r="J673" t="str">
            <v>India Bangalore Office</v>
          </cell>
          <cell r="K673" t="str">
            <v>Chinese employees</v>
          </cell>
          <cell r="L673" t="str">
            <v>L1</v>
          </cell>
          <cell r="M673" t="str">
            <v>ALL</v>
          </cell>
          <cell r="N673" t="str">
            <v>FLPC(含奖金)</v>
          </cell>
          <cell r="O673" t="str">
            <v>USD/小时</v>
          </cell>
          <cell r="P673">
            <v>47.47</v>
          </cell>
        </row>
        <row r="674">
          <cell r="A674" t="str">
            <v>India Bangalore Office - Chinese employees - L0</v>
          </cell>
          <cell r="B674" t="str">
            <v>Current version</v>
          </cell>
          <cell r="C674" t="str">
            <v>V2009R2</v>
          </cell>
          <cell r="D674" t="str">
            <v>Labor Rate</v>
          </cell>
          <cell r="E674" t="str">
            <v>AP</v>
          </cell>
          <cell r="F674" t="str">
            <v>India Rep.O.</v>
          </cell>
          <cell r="G674" t="str">
            <v>India Bangalore</v>
          </cell>
          <cell r="H674" t="str">
            <v>1237</v>
          </cell>
          <cell r="I674" t="str">
            <v>印度Bangalore办事处</v>
          </cell>
          <cell r="J674" t="str">
            <v>India Bangalore Office</v>
          </cell>
          <cell r="K674" t="str">
            <v>Chinese employees</v>
          </cell>
          <cell r="L674" t="str">
            <v>L0</v>
          </cell>
          <cell r="M674" t="str">
            <v>ALL</v>
          </cell>
          <cell r="N674" t="str">
            <v>FLPC(含奖金)</v>
          </cell>
          <cell r="O674" t="str">
            <v>USD/小时</v>
          </cell>
          <cell r="P674">
            <v>40.06</v>
          </cell>
        </row>
        <row r="675">
          <cell r="A675" t="str">
            <v>India Chennai Office - Chinese employees - L4</v>
          </cell>
          <cell r="B675" t="str">
            <v>Current version</v>
          </cell>
          <cell r="C675" t="str">
            <v>V2009R2</v>
          </cell>
          <cell r="D675" t="str">
            <v>Labor Rate</v>
          </cell>
          <cell r="E675" t="str">
            <v>AP</v>
          </cell>
          <cell r="F675" t="str">
            <v>India Rep.O.</v>
          </cell>
          <cell r="G675" t="str">
            <v>India Chennai</v>
          </cell>
          <cell r="H675" t="str">
            <v>1239</v>
          </cell>
          <cell r="I675" t="str">
            <v>印度Chennai办事处</v>
          </cell>
          <cell r="J675" t="str">
            <v>India Chennai Office</v>
          </cell>
          <cell r="K675" t="str">
            <v>Chinese employees</v>
          </cell>
          <cell r="L675" t="str">
            <v>L4</v>
          </cell>
          <cell r="M675" t="str">
            <v>ALL</v>
          </cell>
          <cell r="N675" t="str">
            <v>FLPC(含奖金)</v>
          </cell>
          <cell r="O675" t="str">
            <v>USD/小时</v>
          </cell>
          <cell r="P675">
            <v>107.01</v>
          </cell>
        </row>
        <row r="676">
          <cell r="A676" t="str">
            <v>India Chennai Office - Chinese employees - L3</v>
          </cell>
          <cell r="B676" t="str">
            <v>Current version</v>
          </cell>
          <cell r="C676" t="str">
            <v>V2009R2</v>
          </cell>
          <cell r="D676" t="str">
            <v>Labor Rate</v>
          </cell>
          <cell r="E676" t="str">
            <v>AP</v>
          </cell>
          <cell r="F676" t="str">
            <v>India Rep.O.</v>
          </cell>
          <cell r="G676" t="str">
            <v>India Chennai</v>
          </cell>
          <cell r="H676" t="str">
            <v>1239</v>
          </cell>
          <cell r="I676" t="str">
            <v>印度Chennai办事处</v>
          </cell>
          <cell r="J676" t="str">
            <v>India Chennai Office</v>
          </cell>
          <cell r="K676" t="str">
            <v>Chinese employees</v>
          </cell>
          <cell r="L676" t="str">
            <v>L3</v>
          </cell>
          <cell r="M676" t="str">
            <v>ALL</v>
          </cell>
          <cell r="N676" t="str">
            <v>FLPC(含奖金)</v>
          </cell>
          <cell r="O676" t="str">
            <v>USD/小时</v>
          </cell>
          <cell r="P676">
            <v>66.58</v>
          </cell>
        </row>
        <row r="677">
          <cell r="A677" t="str">
            <v>India Chennai Office - Chinese employees - L2</v>
          </cell>
          <cell r="B677" t="str">
            <v>Current version</v>
          </cell>
          <cell r="C677" t="str">
            <v>V2009R2</v>
          </cell>
          <cell r="D677" t="str">
            <v>Labor Rate</v>
          </cell>
          <cell r="E677" t="str">
            <v>AP</v>
          </cell>
          <cell r="F677" t="str">
            <v>India Rep.O.</v>
          </cell>
          <cell r="G677" t="str">
            <v>India Chennai</v>
          </cell>
          <cell r="H677" t="str">
            <v>1239</v>
          </cell>
          <cell r="I677" t="str">
            <v>印度Chennai办事处</v>
          </cell>
          <cell r="J677" t="str">
            <v>India Chennai Office</v>
          </cell>
          <cell r="K677" t="str">
            <v>Chinese employees</v>
          </cell>
          <cell r="L677" t="str">
            <v>L2</v>
          </cell>
          <cell r="M677" t="str">
            <v>ALL</v>
          </cell>
          <cell r="N677" t="str">
            <v>FLPC(含奖金)</v>
          </cell>
          <cell r="O677" t="str">
            <v>USD/小时</v>
          </cell>
          <cell r="P677">
            <v>56.42</v>
          </cell>
        </row>
        <row r="678">
          <cell r="A678" t="str">
            <v>India Chennai Office - Chinese employees - L1</v>
          </cell>
          <cell r="B678" t="str">
            <v>Current version</v>
          </cell>
          <cell r="C678" t="str">
            <v>V2009R2</v>
          </cell>
          <cell r="D678" t="str">
            <v>Labor Rate</v>
          </cell>
          <cell r="E678" t="str">
            <v>AP</v>
          </cell>
          <cell r="F678" t="str">
            <v>India Rep.O.</v>
          </cell>
          <cell r="G678" t="str">
            <v>India Chennai</v>
          </cell>
          <cell r="H678" t="str">
            <v>1239</v>
          </cell>
          <cell r="I678" t="str">
            <v>印度Chennai办事处</v>
          </cell>
          <cell r="J678" t="str">
            <v>India Chennai Office</v>
          </cell>
          <cell r="K678" t="str">
            <v>Chinese employees</v>
          </cell>
          <cell r="L678" t="str">
            <v>L1</v>
          </cell>
          <cell r="M678" t="str">
            <v>ALL</v>
          </cell>
          <cell r="N678" t="str">
            <v>FLPC(含奖金)</v>
          </cell>
          <cell r="O678" t="str">
            <v>USD/小时</v>
          </cell>
          <cell r="P678">
            <v>47.47</v>
          </cell>
        </row>
        <row r="679">
          <cell r="A679" t="str">
            <v>India Chennai Office - Chinese employees - L0</v>
          </cell>
          <cell r="B679" t="str">
            <v>Current version</v>
          </cell>
          <cell r="C679" t="str">
            <v>V2009R2</v>
          </cell>
          <cell r="D679" t="str">
            <v>Labor Rate</v>
          </cell>
          <cell r="E679" t="str">
            <v>AP</v>
          </cell>
          <cell r="F679" t="str">
            <v>India Rep.O.</v>
          </cell>
          <cell r="G679" t="str">
            <v>India Chennai</v>
          </cell>
          <cell r="H679" t="str">
            <v>1239</v>
          </cell>
          <cell r="I679" t="str">
            <v>印度Chennai办事处</v>
          </cell>
          <cell r="J679" t="str">
            <v>India Chennai Office</v>
          </cell>
          <cell r="K679" t="str">
            <v>Chinese employees</v>
          </cell>
          <cell r="L679" t="str">
            <v>L0</v>
          </cell>
          <cell r="M679" t="str">
            <v>ALL</v>
          </cell>
          <cell r="N679" t="str">
            <v>FLPC(含奖金)</v>
          </cell>
          <cell r="O679" t="str">
            <v>USD/小时</v>
          </cell>
          <cell r="P679">
            <v>40.06</v>
          </cell>
        </row>
        <row r="680">
          <cell r="A680" t="str">
            <v>India Hyderabad Office - Chinese employees - L4</v>
          </cell>
          <cell r="B680" t="str">
            <v>Current version</v>
          </cell>
          <cell r="C680" t="str">
            <v>V2009R2</v>
          </cell>
          <cell r="D680" t="str">
            <v>Labor Rate</v>
          </cell>
          <cell r="E680" t="str">
            <v>AP</v>
          </cell>
          <cell r="F680" t="str">
            <v>India Rep.O.</v>
          </cell>
          <cell r="G680" t="str">
            <v>India Hyderabad</v>
          </cell>
          <cell r="H680" t="str">
            <v>1240</v>
          </cell>
          <cell r="I680" t="str">
            <v>印度Hyderabad办事处</v>
          </cell>
          <cell r="J680" t="str">
            <v>India Hyderabad Office</v>
          </cell>
          <cell r="K680" t="str">
            <v>Chinese employees</v>
          </cell>
          <cell r="L680" t="str">
            <v>L4</v>
          </cell>
          <cell r="M680" t="str">
            <v>ALL</v>
          </cell>
          <cell r="N680" t="str">
            <v>FLPC(含奖金)</v>
          </cell>
          <cell r="O680" t="str">
            <v>USD/小时</v>
          </cell>
          <cell r="P680">
            <v>107.01</v>
          </cell>
        </row>
        <row r="681">
          <cell r="A681" t="str">
            <v>India Hyderabad Office - Chinese employees - L3</v>
          </cell>
          <cell r="B681" t="str">
            <v>Current version</v>
          </cell>
          <cell r="C681" t="str">
            <v>V2009R2</v>
          </cell>
          <cell r="D681" t="str">
            <v>Labor Rate</v>
          </cell>
          <cell r="E681" t="str">
            <v>AP</v>
          </cell>
          <cell r="F681" t="str">
            <v>India Rep.O.</v>
          </cell>
          <cell r="G681" t="str">
            <v>India Hyderabad</v>
          </cell>
          <cell r="H681" t="str">
            <v>1240</v>
          </cell>
          <cell r="I681" t="str">
            <v>印度Hyderabad办事处</v>
          </cell>
          <cell r="J681" t="str">
            <v>India Hyderabad Office</v>
          </cell>
          <cell r="K681" t="str">
            <v>Chinese employees</v>
          </cell>
          <cell r="L681" t="str">
            <v>L3</v>
          </cell>
          <cell r="M681" t="str">
            <v>ALL</v>
          </cell>
          <cell r="N681" t="str">
            <v>FLPC(含奖金)</v>
          </cell>
          <cell r="O681" t="str">
            <v>USD/小时</v>
          </cell>
          <cell r="P681">
            <v>66.58</v>
          </cell>
        </row>
        <row r="682">
          <cell r="A682" t="str">
            <v>India Hyderabad Office - Chinese employees - L2</v>
          </cell>
          <cell r="B682" t="str">
            <v>Current version</v>
          </cell>
          <cell r="C682" t="str">
            <v>V2009R2</v>
          </cell>
          <cell r="D682" t="str">
            <v>Labor Rate</v>
          </cell>
          <cell r="E682" t="str">
            <v>AP</v>
          </cell>
          <cell r="F682" t="str">
            <v>India Rep.O.</v>
          </cell>
          <cell r="G682" t="str">
            <v>India Hyderabad</v>
          </cell>
          <cell r="H682" t="str">
            <v>1240</v>
          </cell>
          <cell r="I682" t="str">
            <v>印度Hyderabad办事处</v>
          </cell>
          <cell r="J682" t="str">
            <v>India Hyderabad Office</v>
          </cell>
          <cell r="K682" t="str">
            <v>Chinese employees</v>
          </cell>
          <cell r="L682" t="str">
            <v>L2</v>
          </cell>
          <cell r="M682" t="str">
            <v>ALL</v>
          </cell>
          <cell r="N682" t="str">
            <v>FLPC(含奖金)</v>
          </cell>
          <cell r="O682" t="str">
            <v>USD/小时</v>
          </cell>
          <cell r="P682">
            <v>56.42</v>
          </cell>
        </row>
        <row r="683">
          <cell r="A683" t="str">
            <v>India Hyderabad Office - Chinese employees - L1</v>
          </cell>
          <cell r="B683" t="str">
            <v>Current version</v>
          </cell>
          <cell r="C683" t="str">
            <v>V2009R2</v>
          </cell>
          <cell r="D683" t="str">
            <v>Labor Rate</v>
          </cell>
          <cell r="E683" t="str">
            <v>AP</v>
          </cell>
          <cell r="F683" t="str">
            <v>India Rep.O.</v>
          </cell>
          <cell r="G683" t="str">
            <v>India Hyderabad</v>
          </cell>
          <cell r="H683" t="str">
            <v>1240</v>
          </cell>
          <cell r="I683" t="str">
            <v>印度Hyderabad办事处</v>
          </cell>
          <cell r="J683" t="str">
            <v>India Hyderabad Office</v>
          </cell>
          <cell r="K683" t="str">
            <v>Chinese employees</v>
          </cell>
          <cell r="L683" t="str">
            <v>L1</v>
          </cell>
          <cell r="M683" t="str">
            <v>ALL</v>
          </cell>
          <cell r="N683" t="str">
            <v>FLPC(含奖金)</v>
          </cell>
          <cell r="O683" t="str">
            <v>USD/小时</v>
          </cell>
          <cell r="P683">
            <v>47.47</v>
          </cell>
        </row>
        <row r="684">
          <cell r="A684" t="str">
            <v>India Hyderabad Office - Chinese employees - L0</v>
          </cell>
          <cell r="B684" t="str">
            <v>Current version</v>
          </cell>
          <cell r="C684" t="str">
            <v>V2009R2</v>
          </cell>
          <cell r="D684" t="str">
            <v>Labor Rate</v>
          </cell>
          <cell r="E684" t="str">
            <v>AP</v>
          </cell>
          <cell r="F684" t="str">
            <v>India Rep.O.</v>
          </cell>
          <cell r="G684" t="str">
            <v>India Hyderabad</v>
          </cell>
          <cell r="H684" t="str">
            <v>1240</v>
          </cell>
          <cell r="I684" t="str">
            <v>印度Hyderabad办事处</v>
          </cell>
          <cell r="J684" t="str">
            <v>India Hyderabad Office</v>
          </cell>
          <cell r="K684" t="str">
            <v>Chinese employees</v>
          </cell>
          <cell r="L684" t="str">
            <v>L0</v>
          </cell>
          <cell r="M684" t="str">
            <v>ALL</v>
          </cell>
          <cell r="N684" t="str">
            <v>FLPC(含奖金)</v>
          </cell>
          <cell r="O684" t="str">
            <v>USD/小时</v>
          </cell>
          <cell r="P684">
            <v>40.06</v>
          </cell>
        </row>
        <row r="685">
          <cell r="A685" t="str">
            <v>India Kochi Office - Chinese employees - L4</v>
          </cell>
          <cell r="B685" t="str">
            <v>Current version</v>
          </cell>
          <cell r="C685" t="str">
            <v>V2009R2</v>
          </cell>
          <cell r="D685" t="str">
            <v>Labor Rate</v>
          </cell>
          <cell r="E685" t="str">
            <v>AP</v>
          </cell>
          <cell r="F685" t="str">
            <v>India Rep.O.</v>
          </cell>
          <cell r="G685" t="str">
            <v>India Kochi</v>
          </cell>
          <cell r="H685" t="str">
            <v>1238</v>
          </cell>
          <cell r="I685" t="str">
            <v>印度Kochi办事处</v>
          </cell>
          <cell r="J685" t="str">
            <v>India Kochi Office</v>
          </cell>
          <cell r="K685" t="str">
            <v>Chinese employees</v>
          </cell>
          <cell r="L685" t="str">
            <v>L4</v>
          </cell>
          <cell r="M685" t="str">
            <v>ALL</v>
          </cell>
          <cell r="N685" t="str">
            <v>FLPC(含奖金)</v>
          </cell>
          <cell r="O685" t="str">
            <v>USD/小时</v>
          </cell>
          <cell r="P685">
            <v>107.01</v>
          </cell>
        </row>
        <row r="686">
          <cell r="A686" t="str">
            <v>India Kochi Office - Chinese employees - L3</v>
          </cell>
          <cell r="B686" t="str">
            <v>Current version</v>
          </cell>
          <cell r="C686" t="str">
            <v>V2009R2</v>
          </cell>
          <cell r="D686" t="str">
            <v>Labor Rate</v>
          </cell>
          <cell r="E686" t="str">
            <v>AP</v>
          </cell>
          <cell r="F686" t="str">
            <v>India Rep.O.</v>
          </cell>
          <cell r="G686" t="str">
            <v>India Kochi</v>
          </cell>
          <cell r="H686" t="str">
            <v>1238</v>
          </cell>
          <cell r="I686" t="str">
            <v>印度Kochi办事处</v>
          </cell>
          <cell r="J686" t="str">
            <v>India Kochi Office</v>
          </cell>
          <cell r="K686" t="str">
            <v>Chinese employees</v>
          </cell>
          <cell r="L686" t="str">
            <v>L3</v>
          </cell>
          <cell r="M686" t="str">
            <v>ALL</v>
          </cell>
          <cell r="N686" t="str">
            <v>FLPC(含奖金)</v>
          </cell>
          <cell r="O686" t="str">
            <v>USD/小时</v>
          </cell>
          <cell r="P686">
            <v>66.58</v>
          </cell>
        </row>
        <row r="687">
          <cell r="A687" t="str">
            <v>India Kochi Office - Chinese employees - L2</v>
          </cell>
          <cell r="B687" t="str">
            <v>Current version</v>
          </cell>
          <cell r="C687" t="str">
            <v>V2009R2</v>
          </cell>
          <cell r="D687" t="str">
            <v>Labor Rate</v>
          </cell>
          <cell r="E687" t="str">
            <v>AP</v>
          </cell>
          <cell r="F687" t="str">
            <v>India Rep.O.</v>
          </cell>
          <cell r="G687" t="str">
            <v>India Kochi</v>
          </cell>
          <cell r="H687" t="str">
            <v>1238</v>
          </cell>
          <cell r="I687" t="str">
            <v>印度Kochi办事处</v>
          </cell>
          <cell r="J687" t="str">
            <v>India Kochi Office</v>
          </cell>
          <cell r="K687" t="str">
            <v>Chinese employees</v>
          </cell>
          <cell r="L687" t="str">
            <v>L2</v>
          </cell>
          <cell r="M687" t="str">
            <v>ALL</v>
          </cell>
          <cell r="N687" t="str">
            <v>FLPC(含奖金)</v>
          </cell>
          <cell r="O687" t="str">
            <v>USD/小时</v>
          </cell>
          <cell r="P687">
            <v>56.42</v>
          </cell>
        </row>
        <row r="688">
          <cell r="A688" t="str">
            <v>India Kochi Office - Chinese employees - L1</v>
          </cell>
          <cell r="B688" t="str">
            <v>Current version</v>
          </cell>
          <cell r="C688" t="str">
            <v>V2009R2</v>
          </cell>
          <cell r="D688" t="str">
            <v>Labor Rate</v>
          </cell>
          <cell r="E688" t="str">
            <v>AP</v>
          </cell>
          <cell r="F688" t="str">
            <v>India Rep.O.</v>
          </cell>
          <cell r="G688" t="str">
            <v>India Kochi</v>
          </cell>
          <cell r="H688" t="str">
            <v>1238</v>
          </cell>
          <cell r="I688" t="str">
            <v>印度Kochi办事处</v>
          </cell>
          <cell r="J688" t="str">
            <v>India Kochi Office</v>
          </cell>
          <cell r="K688" t="str">
            <v>Chinese employees</v>
          </cell>
          <cell r="L688" t="str">
            <v>L1</v>
          </cell>
          <cell r="M688" t="str">
            <v>ALL</v>
          </cell>
          <cell r="N688" t="str">
            <v>FLPC(含奖金)</v>
          </cell>
          <cell r="O688" t="str">
            <v>USD/小时</v>
          </cell>
          <cell r="P688">
            <v>47.47</v>
          </cell>
        </row>
        <row r="689">
          <cell r="A689" t="str">
            <v>India Kochi Office - Chinese employees - L0</v>
          </cell>
          <cell r="B689" t="str">
            <v>Current version</v>
          </cell>
          <cell r="C689" t="str">
            <v>V2009R2</v>
          </cell>
          <cell r="D689" t="str">
            <v>Labor Rate</v>
          </cell>
          <cell r="E689" t="str">
            <v>AP</v>
          </cell>
          <cell r="F689" t="str">
            <v>India Rep.O.</v>
          </cell>
          <cell r="G689" t="str">
            <v>India Kochi</v>
          </cell>
          <cell r="H689" t="str">
            <v>1238</v>
          </cell>
          <cell r="I689" t="str">
            <v>印度Kochi办事处</v>
          </cell>
          <cell r="J689" t="str">
            <v>India Kochi Office</v>
          </cell>
          <cell r="K689" t="str">
            <v>Chinese employees</v>
          </cell>
          <cell r="L689" t="str">
            <v>L0</v>
          </cell>
          <cell r="M689" t="str">
            <v>ALL</v>
          </cell>
          <cell r="N689" t="str">
            <v>FLPC(含奖金)</v>
          </cell>
          <cell r="O689" t="str">
            <v>USD/小时</v>
          </cell>
          <cell r="P689">
            <v>40.06</v>
          </cell>
        </row>
        <row r="690">
          <cell r="A690" t="str">
            <v>India North Region Office - Chinese employees - L4</v>
          </cell>
          <cell r="B690" t="str">
            <v>Current version</v>
          </cell>
          <cell r="C690" t="str">
            <v>V2009R2</v>
          </cell>
          <cell r="D690" t="str">
            <v>Labor Rate</v>
          </cell>
          <cell r="E690" t="str">
            <v>AP</v>
          </cell>
          <cell r="F690" t="str">
            <v>India Rep.O.</v>
          </cell>
          <cell r="G690" t="str">
            <v>India 北区办事处</v>
          </cell>
          <cell r="H690" t="str">
            <v>1236</v>
          </cell>
          <cell r="I690" t="str">
            <v>印度北区办事处</v>
          </cell>
          <cell r="J690" t="str">
            <v>India North Region Office</v>
          </cell>
          <cell r="K690" t="str">
            <v>Chinese employees</v>
          </cell>
          <cell r="L690" t="str">
            <v>L4</v>
          </cell>
          <cell r="M690" t="str">
            <v>ALL</v>
          </cell>
          <cell r="N690" t="str">
            <v>FLPC(含奖金)</v>
          </cell>
          <cell r="O690" t="str">
            <v>USD/小时</v>
          </cell>
          <cell r="P690">
            <v>107.01</v>
          </cell>
        </row>
        <row r="691">
          <cell r="A691" t="str">
            <v>India North Region Office - Chinese employees - L3</v>
          </cell>
          <cell r="B691" t="str">
            <v>Current version</v>
          </cell>
          <cell r="C691" t="str">
            <v>V2009R2</v>
          </cell>
          <cell r="D691" t="str">
            <v>Labor Rate</v>
          </cell>
          <cell r="E691" t="str">
            <v>AP</v>
          </cell>
          <cell r="F691" t="str">
            <v>India Rep.O.</v>
          </cell>
          <cell r="G691" t="str">
            <v>India 北区办事处</v>
          </cell>
          <cell r="H691" t="str">
            <v>1236</v>
          </cell>
          <cell r="I691" t="str">
            <v>印度北区办事处</v>
          </cell>
          <cell r="J691" t="str">
            <v>India North Region Office</v>
          </cell>
          <cell r="K691" t="str">
            <v>Chinese employees</v>
          </cell>
          <cell r="L691" t="str">
            <v>L3</v>
          </cell>
          <cell r="M691" t="str">
            <v>ALL</v>
          </cell>
          <cell r="N691" t="str">
            <v>FLPC(含奖金)</v>
          </cell>
          <cell r="O691" t="str">
            <v>USD/小时</v>
          </cell>
          <cell r="P691">
            <v>66.58</v>
          </cell>
        </row>
        <row r="692">
          <cell r="A692" t="str">
            <v>India North Region Office - Chinese employees - L2</v>
          </cell>
          <cell r="B692" t="str">
            <v>Current version</v>
          </cell>
          <cell r="C692" t="str">
            <v>V2009R2</v>
          </cell>
          <cell r="D692" t="str">
            <v>Labor Rate</v>
          </cell>
          <cell r="E692" t="str">
            <v>AP</v>
          </cell>
          <cell r="F692" t="str">
            <v>India Rep.O.</v>
          </cell>
          <cell r="G692" t="str">
            <v>India 北区办事处</v>
          </cell>
          <cell r="H692" t="str">
            <v>1236</v>
          </cell>
          <cell r="I692" t="str">
            <v>印度北区办事处</v>
          </cell>
          <cell r="J692" t="str">
            <v>India North Region Office</v>
          </cell>
          <cell r="K692" t="str">
            <v>Chinese employees</v>
          </cell>
          <cell r="L692" t="str">
            <v>L2</v>
          </cell>
          <cell r="M692" t="str">
            <v>ALL</v>
          </cell>
          <cell r="N692" t="str">
            <v>FLPC(含奖金)</v>
          </cell>
          <cell r="O692" t="str">
            <v>USD/小时</v>
          </cell>
          <cell r="P692">
            <v>56.42</v>
          </cell>
        </row>
        <row r="693">
          <cell r="A693" t="str">
            <v>India North Region Office - Chinese employees - L1</v>
          </cell>
          <cell r="B693" t="str">
            <v>Current version</v>
          </cell>
          <cell r="C693" t="str">
            <v>V2009R2</v>
          </cell>
          <cell r="D693" t="str">
            <v>Labor Rate</v>
          </cell>
          <cell r="E693" t="str">
            <v>AP</v>
          </cell>
          <cell r="F693" t="str">
            <v>India Rep.O.</v>
          </cell>
          <cell r="G693" t="str">
            <v>India 北区办事处</v>
          </cell>
          <cell r="H693" t="str">
            <v>1236</v>
          </cell>
          <cell r="I693" t="str">
            <v>印度北区办事处</v>
          </cell>
          <cell r="J693" t="str">
            <v>India North Region Office</v>
          </cell>
          <cell r="K693" t="str">
            <v>Chinese employees</v>
          </cell>
          <cell r="L693" t="str">
            <v>L1</v>
          </cell>
          <cell r="M693" t="str">
            <v>ALL</v>
          </cell>
          <cell r="N693" t="str">
            <v>FLPC(含奖金)</v>
          </cell>
          <cell r="O693" t="str">
            <v>USD/小时</v>
          </cell>
          <cell r="P693">
            <v>47.47</v>
          </cell>
        </row>
        <row r="694">
          <cell r="A694" t="str">
            <v>India North Region Office - Chinese employees - L0</v>
          </cell>
          <cell r="B694" t="str">
            <v>Current version</v>
          </cell>
          <cell r="C694" t="str">
            <v>V2009R2</v>
          </cell>
          <cell r="D694" t="str">
            <v>Labor Rate</v>
          </cell>
          <cell r="E694" t="str">
            <v>AP</v>
          </cell>
          <cell r="F694" t="str">
            <v>India Rep.O.</v>
          </cell>
          <cell r="G694" t="str">
            <v>India 北区办事处</v>
          </cell>
          <cell r="H694" t="str">
            <v>1236</v>
          </cell>
          <cell r="I694" t="str">
            <v>印度北区办事处</v>
          </cell>
          <cell r="J694" t="str">
            <v>India North Region Office</v>
          </cell>
          <cell r="K694" t="str">
            <v>Chinese employees</v>
          </cell>
          <cell r="L694" t="str">
            <v>L0</v>
          </cell>
          <cell r="M694" t="str">
            <v>ALL</v>
          </cell>
          <cell r="N694" t="str">
            <v>FLPC(含奖金)</v>
          </cell>
          <cell r="O694" t="str">
            <v>USD/小时</v>
          </cell>
          <cell r="P694">
            <v>40.06</v>
          </cell>
        </row>
        <row r="695">
          <cell r="A695" t="str">
            <v>India East Region Office - Chinese employees - L4</v>
          </cell>
          <cell r="B695" t="str">
            <v>Current version</v>
          </cell>
          <cell r="C695" t="str">
            <v>V2009R2</v>
          </cell>
          <cell r="D695" t="str">
            <v>Labor Rate</v>
          </cell>
          <cell r="E695" t="str">
            <v>AP</v>
          </cell>
          <cell r="F695" t="str">
            <v>India Rep.O.</v>
          </cell>
          <cell r="G695" t="str">
            <v>India 东区办事处</v>
          </cell>
          <cell r="H695" t="str">
            <v>1234</v>
          </cell>
          <cell r="I695" t="str">
            <v>印度东区办事处</v>
          </cell>
          <cell r="J695" t="str">
            <v>India East Region Office</v>
          </cell>
          <cell r="K695" t="str">
            <v>Chinese employees</v>
          </cell>
          <cell r="L695" t="str">
            <v>L4</v>
          </cell>
          <cell r="M695" t="str">
            <v>ALL</v>
          </cell>
          <cell r="N695" t="str">
            <v>FLPC(含奖金)</v>
          </cell>
          <cell r="O695" t="str">
            <v>USD/小时</v>
          </cell>
          <cell r="P695">
            <v>107.01</v>
          </cell>
        </row>
        <row r="696">
          <cell r="A696" t="str">
            <v>India East Region Office - Chinese employees - L3</v>
          </cell>
          <cell r="B696" t="str">
            <v>Current version</v>
          </cell>
          <cell r="C696" t="str">
            <v>V2009R2</v>
          </cell>
          <cell r="D696" t="str">
            <v>Labor Rate</v>
          </cell>
          <cell r="E696" t="str">
            <v>AP</v>
          </cell>
          <cell r="F696" t="str">
            <v>India Rep.O.</v>
          </cell>
          <cell r="G696" t="str">
            <v>India 东区办事处</v>
          </cell>
          <cell r="H696" t="str">
            <v>1234</v>
          </cell>
          <cell r="I696" t="str">
            <v>印度东区办事处</v>
          </cell>
          <cell r="J696" t="str">
            <v>India East Region Office</v>
          </cell>
          <cell r="K696" t="str">
            <v>Chinese employees</v>
          </cell>
          <cell r="L696" t="str">
            <v>L3</v>
          </cell>
          <cell r="M696" t="str">
            <v>ALL</v>
          </cell>
          <cell r="N696" t="str">
            <v>FLPC(含奖金)</v>
          </cell>
          <cell r="O696" t="str">
            <v>USD/小时</v>
          </cell>
          <cell r="P696">
            <v>66.58</v>
          </cell>
        </row>
        <row r="697">
          <cell r="A697" t="str">
            <v>India East Region Office - Chinese employees - L2</v>
          </cell>
          <cell r="B697" t="str">
            <v>Current version</v>
          </cell>
          <cell r="C697" t="str">
            <v>V2009R2</v>
          </cell>
          <cell r="D697" t="str">
            <v>Labor Rate</v>
          </cell>
          <cell r="E697" t="str">
            <v>AP</v>
          </cell>
          <cell r="F697" t="str">
            <v>India Rep.O.</v>
          </cell>
          <cell r="G697" t="str">
            <v>India 东区办事处</v>
          </cell>
          <cell r="H697" t="str">
            <v>1234</v>
          </cell>
          <cell r="I697" t="str">
            <v>印度东区办事处</v>
          </cell>
          <cell r="J697" t="str">
            <v>India East Region Office</v>
          </cell>
          <cell r="K697" t="str">
            <v>Chinese employees</v>
          </cell>
          <cell r="L697" t="str">
            <v>L2</v>
          </cell>
          <cell r="M697" t="str">
            <v>ALL</v>
          </cell>
          <cell r="N697" t="str">
            <v>FLPC(含奖金)</v>
          </cell>
          <cell r="O697" t="str">
            <v>USD/小时</v>
          </cell>
          <cell r="P697">
            <v>56.42</v>
          </cell>
        </row>
        <row r="698">
          <cell r="A698" t="str">
            <v>India East Region Office - Chinese employees - L1</v>
          </cell>
          <cell r="B698" t="str">
            <v>Current version</v>
          </cell>
          <cell r="C698" t="str">
            <v>V2009R2</v>
          </cell>
          <cell r="D698" t="str">
            <v>Labor Rate</v>
          </cell>
          <cell r="E698" t="str">
            <v>AP</v>
          </cell>
          <cell r="F698" t="str">
            <v>India Rep.O.</v>
          </cell>
          <cell r="G698" t="str">
            <v>India 东区办事处</v>
          </cell>
          <cell r="H698" t="str">
            <v>1234</v>
          </cell>
          <cell r="I698" t="str">
            <v>印度东区办事处</v>
          </cell>
          <cell r="J698" t="str">
            <v>India East Region Office</v>
          </cell>
          <cell r="K698" t="str">
            <v>Chinese employees</v>
          </cell>
          <cell r="L698" t="str">
            <v>L1</v>
          </cell>
          <cell r="M698" t="str">
            <v>ALL</v>
          </cell>
          <cell r="N698" t="str">
            <v>FLPC(含奖金)</v>
          </cell>
          <cell r="O698" t="str">
            <v>USD/小时</v>
          </cell>
          <cell r="P698">
            <v>47.47</v>
          </cell>
        </row>
        <row r="699">
          <cell r="A699" t="str">
            <v>India East Region Office - Chinese employees - L0</v>
          </cell>
          <cell r="B699" t="str">
            <v>Current version</v>
          </cell>
          <cell r="C699" t="str">
            <v>V2009R2</v>
          </cell>
          <cell r="D699" t="str">
            <v>Labor Rate</v>
          </cell>
          <cell r="E699" t="str">
            <v>AP</v>
          </cell>
          <cell r="F699" t="str">
            <v>India Rep.O.</v>
          </cell>
          <cell r="G699" t="str">
            <v>India 东区办事处</v>
          </cell>
          <cell r="H699" t="str">
            <v>1234</v>
          </cell>
          <cell r="I699" t="str">
            <v>印度东区办事处</v>
          </cell>
          <cell r="J699" t="str">
            <v>India East Region Office</v>
          </cell>
          <cell r="K699" t="str">
            <v>Chinese employees</v>
          </cell>
          <cell r="L699" t="str">
            <v>L0</v>
          </cell>
          <cell r="M699" t="str">
            <v>ALL</v>
          </cell>
          <cell r="N699" t="str">
            <v>FLPC(含奖金)</v>
          </cell>
          <cell r="O699" t="str">
            <v>USD/小时</v>
          </cell>
          <cell r="P699">
            <v>40.06</v>
          </cell>
        </row>
        <row r="700">
          <cell r="A700" t="str">
            <v>India West Region Office - Chinese employees - L4</v>
          </cell>
          <cell r="B700" t="str">
            <v>Current version</v>
          </cell>
          <cell r="C700" t="str">
            <v>V2009R2</v>
          </cell>
          <cell r="D700" t="str">
            <v>Labor Rate</v>
          </cell>
          <cell r="E700" t="str">
            <v>AP</v>
          </cell>
          <cell r="F700" t="str">
            <v>India Rep.O.</v>
          </cell>
          <cell r="G700" t="str">
            <v>India 西区办事处</v>
          </cell>
          <cell r="H700" t="str">
            <v>1235</v>
          </cell>
          <cell r="I700" t="str">
            <v>印度西区办事处</v>
          </cell>
          <cell r="J700" t="str">
            <v>India West Region Office</v>
          </cell>
          <cell r="K700" t="str">
            <v>Chinese employees</v>
          </cell>
          <cell r="L700" t="str">
            <v>L4</v>
          </cell>
          <cell r="M700" t="str">
            <v>ALL</v>
          </cell>
          <cell r="N700" t="str">
            <v>FLPC(含奖金)</v>
          </cell>
          <cell r="O700" t="str">
            <v>USD/小时</v>
          </cell>
          <cell r="P700">
            <v>107.01</v>
          </cell>
        </row>
        <row r="701">
          <cell r="A701" t="str">
            <v>India West Region Office - Chinese employees - L3</v>
          </cell>
          <cell r="B701" t="str">
            <v>Current version</v>
          </cell>
          <cell r="C701" t="str">
            <v>V2009R2</v>
          </cell>
          <cell r="D701" t="str">
            <v>Labor Rate</v>
          </cell>
          <cell r="E701" t="str">
            <v>AP</v>
          </cell>
          <cell r="F701" t="str">
            <v>India Rep.O.</v>
          </cell>
          <cell r="G701" t="str">
            <v>India 西区办事处</v>
          </cell>
          <cell r="H701" t="str">
            <v>1235</v>
          </cell>
          <cell r="I701" t="str">
            <v>印度西区办事处</v>
          </cell>
          <cell r="J701" t="str">
            <v>India West Region Office</v>
          </cell>
          <cell r="K701" t="str">
            <v>Chinese employees</v>
          </cell>
          <cell r="L701" t="str">
            <v>L3</v>
          </cell>
          <cell r="M701" t="str">
            <v>ALL</v>
          </cell>
          <cell r="N701" t="str">
            <v>FLPC(含奖金)</v>
          </cell>
          <cell r="O701" t="str">
            <v>USD/小时</v>
          </cell>
          <cell r="P701">
            <v>66.58</v>
          </cell>
        </row>
        <row r="702">
          <cell r="A702" t="str">
            <v>India West Region Office - Chinese employees - L2</v>
          </cell>
          <cell r="B702" t="str">
            <v>Current version</v>
          </cell>
          <cell r="C702" t="str">
            <v>V2009R2</v>
          </cell>
          <cell r="D702" t="str">
            <v>Labor Rate</v>
          </cell>
          <cell r="E702" t="str">
            <v>AP</v>
          </cell>
          <cell r="F702" t="str">
            <v>India Rep.O.</v>
          </cell>
          <cell r="G702" t="str">
            <v>India 西区办事处</v>
          </cell>
          <cell r="H702" t="str">
            <v>1235</v>
          </cell>
          <cell r="I702" t="str">
            <v>印度西区办事处</v>
          </cell>
          <cell r="J702" t="str">
            <v>India West Region Office</v>
          </cell>
          <cell r="K702" t="str">
            <v>Chinese employees</v>
          </cell>
          <cell r="L702" t="str">
            <v>L2</v>
          </cell>
          <cell r="M702" t="str">
            <v>ALL</v>
          </cell>
          <cell r="N702" t="str">
            <v>FLPC(含奖金)</v>
          </cell>
          <cell r="O702" t="str">
            <v>USD/小时</v>
          </cell>
          <cell r="P702">
            <v>56.42</v>
          </cell>
        </row>
        <row r="703">
          <cell r="A703" t="str">
            <v>India West Region Office - Chinese employees - L1</v>
          </cell>
          <cell r="B703" t="str">
            <v>Current version</v>
          </cell>
          <cell r="C703" t="str">
            <v>V2009R2</v>
          </cell>
          <cell r="D703" t="str">
            <v>Labor Rate</v>
          </cell>
          <cell r="E703" t="str">
            <v>AP</v>
          </cell>
          <cell r="F703" t="str">
            <v>India Rep.O.</v>
          </cell>
          <cell r="G703" t="str">
            <v>India 西区办事处</v>
          </cell>
          <cell r="H703" t="str">
            <v>1235</v>
          </cell>
          <cell r="I703" t="str">
            <v>印度西区办事处</v>
          </cell>
          <cell r="J703" t="str">
            <v>India West Region Office</v>
          </cell>
          <cell r="K703" t="str">
            <v>Chinese employees</v>
          </cell>
          <cell r="L703" t="str">
            <v>L1</v>
          </cell>
          <cell r="M703" t="str">
            <v>ALL</v>
          </cell>
          <cell r="N703" t="str">
            <v>FLPC(含奖金)</v>
          </cell>
          <cell r="O703" t="str">
            <v>USD/小时</v>
          </cell>
          <cell r="P703">
            <v>47.47</v>
          </cell>
        </row>
        <row r="704">
          <cell r="A704" t="str">
            <v>India West Region Office - Chinese employees - L0</v>
          </cell>
          <cell r="B704" t="str">
            <v>Current version</v>
          </cell>
          <cell r="C704" t="str">
            <v>V2009R2</v>
          </cell>
          <cell r="D704" t="str">
            <v>Labor Rate</v>
          </cell>
          <cell r="E704" t="str">
            <v>AP</v>
          </cell>
          <cell r="F704" t="str">
            <v>India Rep.O.</v>
          </cell>
          <cell r="G704" t="str">
            <v>India 西区办事处</v>
          </cell>
          <cell r="H704" t="str">
            <v>1235</v>
          </cell>
          <cell r="I704" t="str">
            <v>印度西区办事处</v>
          </cell>
          <cell r="J704" t="str">
            <v>India West Region Office</v>
          </cell>
          <cell r="K704" t="str">
            <v>Chinese employees</v>
          </cell>
          <cell r="L704" t="str">
            <v>L0</v>
          </cell>
          <cell r="M704" t="str">
            <v>ALL</v>
          </cell>
          <cell r="N704" t="str">
            <v>FLPC(含奖金)</v>
          </cell>
          <cell r="O704" t="str">
            <v>USD/小时</v>
          </cell>
          <cell r="P704">
            <v>40.06</v>
          </cell>
        </row>
        <row r="705">
          <cell r="A705" t="str">
            <v>Nepal - Chinese employees - L4</v>
          </cell>
          <cell r="B705" t="str">
            <v>Current version</v>
          </cell>
          <cell r="C705" t="str">
            <v>V2009R2</v>
          </cell>
          <cell r="D705" t="str">
            <v>Labor Rate</v>
          </cell>
          <cell r="E705" t="str">
            <v>AP</v>
          </cell>
          <cell r="F705" t="str">
            <v>India Rep.O.</v>
          </cell>
          <cell r="G705" t="str">
            <v>Nepal</v>
          </cell>
          <cell r="H705" t="str">
            <v>1214</v>
          </cell>
          <cell r="I705" t="str">
            <v>尼泊尔</v>
          </cell>
          <cell r="J705" t="str">
            <v>Nepal</v>
          </cell>
          <cell r="K705" t="str">
            <v>Chinese employees</v>
          </cell>
          <cell r="L705" t="str">
            <v>L4</v>
          </cell>
          <cell r="M705" t="str">
            <v>ALL</v>
          </cell>
          <cell r="N705" t="str">
            <v>FLPC(含奖金)</v>
          </cell>
          <cell r="O705" t="str">
            <v>USD/小时</v>
          </cell>
          <cell r="P705">
            <v>97.11</v>
          </cell>
        </row>
        <row r="706">
          <cell r="A706" t="str">
            <v>Nepal - Chinese employees - L3</v>
          </cell>
          <cell r="B706" t="str">
            <v>Current version</v>
          </cell>
          <cell r="C706" t="str">
            <v>V2009R2</v>
          </cell>
          <cell r="D706" t="str">
            <v>Labor Rate</v>
          </cell>
          <cell r="E706" t="str">
            <v>AP</v>
          </cell>
          <cell r="F706" t="str">
            <v>India Rep.O.</v>
          </cell>
          <cell r="G706" t="str">
            <v>Nepal</v>
          </cell>
          <cell r="H706" t="str">
            <v>1214</v>
          </cell>
          <cell r="I706" t="str">
            <v>尼泊尔</v>
          </cell>
          <cell r="J706" t="str">
            <v>Nepal</v>
          </cell>
          <cell r="K706" t="str">
            <v>Chinese employees</v>
          </cell>
          <cell r="L706" t="str">
            <v>L3</v>
          </cell>
          <cell r="M706" t="str">
            <v>ALL</v>
          </cell>
          <cell r="N706" t="str">
            <v>FLPC(含奖金)</v>
          </cell>
          <cell r="O706" t="str">
            <v>USD/小时</v>
          </cell>
          <cell r="P706">
            <v>59.88</v>
          </cell>
        </row>
        <row r="707">
          <cell r="A707" t="str">
            <v>Nepal - Chinese employees - L2</v>
          </cell>
          <cell r="B707" t="str">
            <v>Current version</v>
          </cell>
          <cell r="C707" t="str">
            <v>V2009R2</v>
          </cell>
          <cell r="D707" t="str">
            <v>Labor Rate</v>
          </cell>
          <cell r="E707" t="str">
            <v>AP</v>
          </cell>
          <cell r="F707" t="str">
            <v>India Rep.O.</v>
          </cell>
          <cell r="G707" t="str">
            <v>Nepal</v>
          </cell>
          <cell r="H707" t="str">
            <v>1214</v>
          </cell>
          <cell r="I707" t="str">
            <v>尼泊尔</v>
          </cell>
          <cell r="J707" t="str">
            <v>Nepal</v>
          </cell>
          <cell r="K707" t="str">
            <v>Chinese employees</v>
          </cell>
          <cell r="L707" t="str">
            <v>L2</v>
          </cell>
          <cell r="M707" t="str">
            <v>ALL</v>
          </cell>
          <cell r="N707" t="str">
            <v>FLPC(含奖金)</v>
          </cell>
          <cell r="O707" t="str">
            <v>USD/小时</v>
          </cell>
          <cell r="P707">
            <v>49.54</v>
          </cell>
        </row>
        <row r="708">
          <cell r="A708" t="str">
            <v>Nepal - Chinese employees - L1</v>
          </cell>
          <cell r="B708" t="str">
            <v>Current version</v>
          </cell>
          <cell r="C708" t="str">
            <v>V2009R2</v>
          </cell>
          <cell r="D708" t="str">
            <v>Labor Rate</v>
          </cell>
          <cell r="E708" t="str">
            <v>AP</v>
          </cell>
          <cell r="F708" t="str">
            <v>India Rep.O.</v>
          </cell>
          <cell r="G708" t="str">
            <v>Nepal</v>
          </cell>
          <cell r="H708" t="str">
            <v>1214</v>
          </cell>
          <cell r="I708" t="str">
            <v>尼泊尔</v>
          </cell>
          <cell r="J708" t="str">
            <v>Nepal</v>
          </cell>
          <cell r="K708" t="str">
            <v>Chinese employees</v>
          </cell>
          <cell r="L708" t="str">
            <v>L1</v>
          </cell>
          <cell r="M708" t="str">
            <v>ALL</v>
          </cell>
          <cell r="N708" t="str">
            <v>FLPC(含奖金)</v>
          </cell>
          <cell r="O708" t="str">
            <v>USD/小时</v>
          </cell>
          <cell r="P708">
            <v>42.32</v>
          </cell>
        </row>
        <row r="709">
          <cell r="A709" t="str">
            <v>Nepal - Chinese employees - L0</v>
          </cell>
          <cell r="B709" t="str">
            <v>Current version</v>
          </cell>
          <cell r="C709" t="str">
            <v>V2009R2</v>
          </cell>
          <cell r="D709" t="str">
            <v>Labor Rate</v>
          </cell>
          <cell r="E709" t="str">
            <v>AP</v>
          </cell>
          <cell r="F709" t="str">
            <v>India Rep.O.</v>
          </cell>
          <cell r="G709" t="str">
            <v>Nepal</v>
          </cell>
          <cell r="H709" t="str">
            <v>1214</v>
          </cell>
          <cell r="I709" t="str">
            <v>尼泊尔</v>
          </cell>
          <cell r="J709" t="str">
            <v>Nepal</v>
          </cell>
          <cell r="K709" t="str">
            <v>Chinese employees</v>
          </cell>
          <cell r="L709" t="str">
            <v>L0</v>
          </cell>
          <cell r="M709" t="str">
            <v>ALL</v>
          </cell>
          <cell r="N709" t="str">
            <v>FLPC(含奖金)</v>
          </cell>
          <cell r="O709" t="str">
            <v>USD/小时</v>
          </cell>
          <cell r="P709">
            <v>36.75</v>
          </cell>
        </row>
        <row r="710">
          <cell r="A710" t="str">
            <v>Spain - Chinese employees - L0</v>
          </cell>
          <cell r="B710" t="str">
            <v>Current version</v>
          </cell>
          <cell r="C710" t="str">
            <v>V2009R2</v>
          </cell>
          <cell r="D710" t="str">
            <v>Labor Rate</v>
          </cell>
          <cell r="E710" t="str">
            <v>EU</v>
          </cell>
          <cell r="F710" t="str">
            <v>West European Sub-Regional Division</v>
          </cell>
          <cell r="G710" t="str">
            <v>两牙代表处</v>
          </cell>
          <cell r="H710" t="str">
            <v>3605</v>
          </cell>
          <cell r="I710" t="str">
            <v>西班牙</v>
          </cell>
          <cell r="J710" t="str">
            <v>Spain</v>
          </cell>
          <cell r="K710" t="str">
            <v>Chinese employees</v>
          </cell>
          <cell r="L710" t="str">
            <v>L0</v>
          </cell>
          <cell r="M710" t="str">
            <v>ALL</v>
          </cell>
          <cell r="N710" t="str">
            <v>FLPC(含奖金)</v>
          </cell>
          <cell r="O710" t="str">
            <v>USD/小时</v>
          </cell>
          <cell r="P710">
            <v>57.14</v>
          </cell>
        </row>
        <row r="711">
          <cell r="A711" t="str">
            <v>Spain - Chinese employees - L1</v>
          </cell>
          <cell r="B711" t="str">
            <v>Current version</v>
          </cell>
          <cell r="C711" t="str">
            <v>V2009R2</v>
          </cell>
          <cell r="D711" t="str">
            <v>Labor Rate</v>
          </cell>
          <cell r="E711" t="str">
            <v>EU</v>
          </cell>
          <cell r="F711" t="str">
            <v>West European Sub-Regional Division</v>
          </cell>
          <cell r="G711" t="str">
            <v>两牙代表处</v>
          </cell>
          <cell r="H711" t="str">
            <v>3605</v>
          </cell>
          <cell r="I711" t="str">
            <v>西班牙</v>
          </cell>
          <cell r="J711" t="str">
            <v>Spain</v>
          </cell>
          <cell r="K711" t="str">
            <v>Chinese employees</v>
          </cell>
          <cell r="L711" t="str">
            <v>L1</v>
          </cell>
          <cell r="M711" t="str">
            <v>ALL</v>
          </cell>
          <cell r="N711" t="str">
            <v>FLPC(含奖金)</v>
          </cell>
          <cell r="O711" t="str">
            <v>USD/小时</v>
          </cell>
          <cell r="P711">
            <v>63.92</v>
          </cell>
        </row>
        <row r="712">
          <cell r="A712" t="str">
            <v>Spain - Chinese employees - L2</v>
          </cell>
          <cell r="B712" t="str">
            <v>Current version</v>
          </cell>
          <cell r="C712" t="str">
            <v>V2009R2</v>
          </cell>
          <cell r="D712" t="str">
            <v>Labor Rate</v>
          </cell>
          <cell r="E712" t="str">
            <v>EU</v>
          </cell>
          <cell r="F712" t="str">
            <v>West European Sub-Regional Division</v>
          </cell>
          <cell r="G712" t="str">
            <v>两牙代表处</v>
          </cell>
          <cell r="H712" t="str">
            <v>3605</v>
          </cell>
          <cell r="I712" t="str">
            <v>西班牙</v>
          </cell>
          <cell r="J712" t="str">
            <v>Spain</v>
          </cell>
          <cell r="K712" t="str">
            <v>Chinese employees</v>
          </cell>
          <cell r="L712" t="str">
            <v>L2</v>
          </cell>
          <cell r="M712" t="str">
            <v>ALL</v>
          </cell>
          <cell r="N712" t="str">
            <v>FLPC(含奖金)</v>
          </cell>
          <cell r="O712" t="str">
            <v>USD/小时</v>
          </cell>
          <cell r="P712">
            <v>72.72</v>
          </cell>
        </row>
        <row r="713">
          <cell r="A713" t="str">
            <v>Spain - Chinese employees - L3</v>
          </cell>
          <cell r="B713" t="str">
            <v>Current version</v>
          </cell>
          <cell r="C713" t="str">
            <v>V2009R2</v>
          </cell>
          <cell r="D713" t="str">
            <v>Labor Rate</v>
          </cell>
          <cell r="E713" t="str">
            <v>EU</v>
          </cell>
          <cell r="F713" t="str">
            <v>West European Sub-Regional Division</v>
          </cell>
          <cell r="G713" t="str">
            <v>两牙代表处</v>
          </cell>
          <cell r="H713" t="str">
            <v>3605</v>
          </cell>
          <cell r="I713" t="str">
            <v>西班牙</v>
          </cell>
          <cell r="J713" t="str">
            <v>Spain</v>
          </cell>
          <cell r="K713" t="str">
            <v>Chinese employees</v>
          </cell>
          <cell r="L713" t="str">
            <v>L3</v>
          </cell>
          <cell r="M713" t="str">
            <v>ALL</v>
          </cell>
          <cell r="N713" t="str">
            <v>FLPC(含奖金)</v>
          </cell>
          <cell r="O713" t="str">
            <v>USD/小时</v>
          </cell>
          <cell r="P713">
            <v>85.31</v>
          </cell>
        </row>
        <row r="714">
          <cell r="A714" t="str">
            <v>Spain - Chinese employees - L4</v>
          </cell>
          <cell r="B714" t="str">
            <v>Current version</v>
          </cell>
          <cell r="C714" t="str">
            <v>V2009R2</v>
          </cell>
          <cell r="D714" t="str">
            <v>Labor Rate</v>
          </cell>
          <cell r="E714" t="str">
            <v>EU</v>
          </cell>
          <cell r="F714" t="str">
            <v>West European Sub-Regional Division</v>
          </cell>
          <cell r="G714" t="str">
            <v>两牙代表处</v>
          </cell>
          <cell r="H714" t="str">
            <v>3605</v>
          </cell>
          <cell r="I714" t="str">
            <v>西班牙</v>
          </cell>
          <cell r="J714" t="str">
            <v>Spain</v>
          </cell>
          <cell r="K714" t="str">
            <v>Chinese employees</v>
          </cell>
          <cell r="L714" t="str">
            <v>L4</v>
          </cell>
          <cell r="M714" t="str">
            <v>ALL</v>
          </cell>
          <cell r="N714" t="str">
            <v>FLPC(含奖金)</v>
          </cell>
          <cell r="O714" t="str">
            <v>USD/小时</v>
          </cell>
          <cell r="P714">
            <v>135.63999999999999</v>
          </cell>
        </row>
        <row r="715">
          <cell r="A715" t="str">
            <v>Portugal - Chinese employees - L0</v>
          </cell>
          <cell r="B715" t="str">
            <v>Current version</v>
          </cell>
          <cell r="C715" t="str">
            <v>V2009R2</v>
          </cell>
          <cell r="D715" t="str">
            <v>Labor Rate</v>
          </cell>
          <cell r="E715" t="str">
            <v>EU</v>
          </cell>
          <cell r="F715" t="str">
            <v>West European Sub-Regional Division</v>
          </cell>
          <cell r="G715" t="str">
            <v>两牙代表处</v>
          </cell>
          <cell r="H715" t="str">
            <v>3606</v>
          </cell>
          <cell r="I715" t="str">
            <v>葡萄牙</v>
          </cell>
          <cell r="J715" t="str">
            <v>Portugal</v>
          </cell>
          <cell r="K715" t="str">
            <v>Chinese employees</v>
          </cell>
          <cell r="L715" t="str">
            <v>L0</v>
          </cell>
          <cell r="M715" t="str">
            <v>ALL</v>
          </cell>
          <cell r="N715" t="str">
            <v>FLPC(含奖金)</v>
          </cell>
          <cell r="O715" t="str">
            <v>USD/小时</v>
          </cell>
          <cell r="P715">
            <v>70.52</v>
          </cell>
        </row>
        <row r="716">
          <cell r="A716" t="str">
            <v>Portugal - Chinese employees - L1</v>
          </cell>
          <cell r="B716" t="str">
            <v>Current version</v>
          </cell>
          <cell r="C716" t="str">
            <v>V2009R2</v>
          </cell>
          <cell r="D716" t="str">
            <v>Labor Rate</v>
          </cell>
          <cell r="E716" t="str">
            <v>EU</v>
          </cell>
          <cell r="F716" t="str">
            <v>West European Sub-Regional Division</v>
          </cell>
          <cell r="G716" t="str">
            <v>两牙代表处</v>
          </cell>
          <cell r="H716" t="str">
            <v>3606</v>
          </cell>
          <cell r="I716" t="str">
            <v>葡萄牙</v>
          </cell>
          <cell r="J716" t="str">
            <v>Portugal</v>
          </cell>
          <cell r="K716" t="str">
            <v>Chinese employees</v>
          </cell>
          <cell r="L716" t="str">
            <v>L1</v>
          </cell>
          <cell r="M716" t="str">
            <v>ALL</v>
          </cell>
          <cell r="N716" t="str">
            <v>FLPC(含奖金)</v>
          </cell>
          <cell r="O716" t="str">
            <v>USD/小时</v>
          </cell>
          <cell r="P716">
            <v>77.3</v>
          </cell>
        </row>
        <row r="717">
          <cell r="A717" t="str">
            <v>Portugal - Chinese employees - L2</v>
          </cell>
          <cell r="B717" t="str">
            <v>Current version</v>
          </cell>
          <cell r="C717" t="str">
            <v>V2009R2</v>
          </cell>
          <cell r="D717" t="str">
            <v>Labor Rate</v>
          </cell>
          <cell r="E717" t="str">
            <v>EU</v>
          </cell>
          <cell r="F717" t="str">
            <v>West European Sub-Regional Division</v>
          </cell>
          <cell r="G717" t="str">
            <v>两牙代表处</v>
          </cell>
          <cell r="H717" t="str">
            <v>3606</v>
          </cell>
          <cell r="I717" t="str">
            <v>葡萄牙</v>
          </cell>
          <cell r="J717" t="str">
            <v>Portugal</v>
          </cell>
          <cell r="K717" t="str">
            <v>Chinese employees</v>
          </cell>
          <cell r="L717" t="str">
            <v>L2</v>
          </cell>
          <cell r="M717" t="str">
            <v>ALL</v>
          </cell>
          <cell r="N717" t="str">
            <v>FLPC(含奖金)</v>
          </cell>
          <cell r="O717" t="str">
            <v>USD/小时</v>
          </cell>
          <cell r="P717">
            <v>86.1</v>
          </cell>
        </row>
        <row r="718">
          <cell r="A718" t="str">
            <v>Portugal - Chinese employees - L3</v>
          </cell>
          <cell r="B718" t="str">
            <v>Current version</v>
          </cell>
          <cell r="C718" t="str">
            <v>V2009R2</v>
          </cell>
          <cell r="D718" t="str">
            <v>Labor Rate</v>
          </cell>
          <cell r="E718" t="str">
            <v>EU</v>
          </cell>
          <cell r="F718" t="str">
            <v>West European Sub-Regional Division</v>
          </cell>
          <cell r="G718" t="str">
            <v>两牙代表处</v>
          </cell>
          <cell r="H718" t="str">
            <v>3606</v>
          </cell>
          <cell r="I718" t="str">
            <v>葡萄牙</v>
          </cell>
          <cell r="J718" t="str">
            <v>Portugal</v>
          </cell>
          <cell r="K718" t="str">
            <v>Chinese employees</v>
          </cell>
          <cell r="L718" t="str">
            <v>L3</v>
          </cell>
          <cell r="M718" t="str">
            <v>ALL</v>
          </cell>
          <cell r="N718" t="str">
            <v>FLPC(含奖金)</v>
          </cell>
          <cell r="O718" t="str">
            <v>USD/小时</v>
          </cell>
          <cell r="P718">
            <v>98.69</v>
          </cell>
        </row>
        <row r="719">
          <cell r="A719" t="str">
            <v>Portugal - Chinese employees - L4</v>
          </cell>
          <cell r="B719" t="str">
            <v>Current version</v>
          </cell>
          <cell r="C719" t="str">
            <v>V2009R2</v>
          </cell>
          <cell r="D719" t="str">
            <v>Labor Rate</v>
          </cell>
          <cell r="E719" t="str">
            <v>EU</v>
          </cell>
          <cell r="F719" t="str">
            <v>West European Sub-Regional Division</v>
          </cell>
          <cell r="G719" t="str">
            <v>两牙代表处</v>
          </cell>
          <cell r="H719" t="str">
            <v>3606</v>
          </cell>
          <cell r="I719" t="str">
            <v>葡萄牙</v>
          </cell>
          <cell r="J719" t="str">
            <v>Portugal</v>
          </cell>
          <cell r="K719" t="str">
            <v>Chinese employees</v>
          </cell>
          <cell r="L719" t="str">
            <v>L4</v>
          </cell>
          <cell r="M719" t="str">
            <v>ALL</v>
          </cell>
          <cell r="N719" t="str">
            <v>FLPC(含奖金)</v>
          </cell>
          <cell r="O719" t="str">
            <v>USD/小时</v>
          </cell>
          <cell r="P719">
            <v>144.04</v>
          </cell>
        </row>
        <row r="720">
          <cell r="A720" t="str">
            <v>Uk - Chinese employees - L0</v>
          </cell>
          <cell r="B720" t="str">
            <v>Current version</v>
          </cell>
          <cell r="C720" t="str">
            <v>V2009R2</v>
          </cell>
          <cell r="D720" t="str">
            <v>Labor Rate</v>
          </cell>
          <cell r="E720" t="str">
            <v>EU</v>
          </cell>
          <cell r="F720" t="str">
            <v>West European Sub-Regional Division</v>
          </cell>
          <cell r="G720" t="str">
            <v>Uk Rep.Office</v>
          </cell>
          <cell r="H720" t="str">
            <v>3601</v>
          </cell>
          <cell r="I720" t="str">
            <v>英国</v>
          </cell>
          <cell r="J720" t="str">
            <v>Uk</v>
          </cell>
          <cell r="K720" t="str">
            <v>Chinese employees</v>
          </cell>
          <cell r="L720" t="str">
            <v>L0</v>
          </cell>
          <cell r="M720" t="str">
            <v>ALL</v>
          </cell>
          <cell r="N720" t="str">
            <v>FLPC(含奖金)</v>
          </cell>
          <cell r="O720" t="str">
            <v>USD/小时</v>
          </cell>
          <cell r="P720">
            <v>64.12</v>
          </cell>
        </row>
        <row r="721">
          <cell r="A721" t="str">
            <v>Uk - Chinese employees - L1</v>
          </cell>
          <cell r="B721" t="str">
            <v>Current version</v>
          </cell>
          <cell r="C721" t="str">
            <v>V2009R2</v>
          </cell>
          <cell r="D721" t="str">
            <v>Labor Rate</v>
          </cell>
          <cell r="E721" t="str">
            <v>EU</v>
          </cell>
          <cell r="F721" t="str">
            <v>West European Sub-Regional Division</v>
          </cell>
          <cell r="G721" t="str">
            <v>Uk Rep.Office</v>
          </cell>
          <cell r="H721" t="str">
            <v>3601</v>
          </cell>
          <cell r="I721" t="str">
            <v>英国</v>
          </cell>
          <cell r="J721" t="str">
            <v>Uk</v>
          </cell>
          <cell r="K721" t="str">
            <v>Chinese employees</v>
          </cell>
          <cell r="L721" t="str">
            <v>L1</v>
          </cell>
          <cell r="M721" t="str">
            <v>ALL</v>
          </cell>
          <cell r="N721" t="str">
            <v>FLPC(含奖金)</v>
          </cell>
          <cell r="O721" t="str">
            <v>USD/小时</v>
          </cell>
          <cell r="P721">
            <v>70.31</v>
          </cell>
        </row>
        <row r="722">
          <cell r="A722" t="str">
            <v>Uk - Chinese employees - L2</v>
          </cell>
          <cell r="B722" t="str">
            <v>Current version</v>
          </cell>
          <cell r="C722" t="str">
            <v>V2009R2</v>
          </cell>
          <cell r="D722" t="str">
            <v>Labor Rate</v>
          </cell>
          <cell r="E722" t="str">
            <v>EU</v>
          </cell>
          <cell r="F722" t="str">
            <v>West European Sub-Regional Division</v>
          </cell>
          <cell r="G722" t="str">
            <v>Uk Rep.Office</v>
          </cell>
          <cell r="H722" t="str">
            <v>3601</v>
          </cell>
          <cell r="I722" t="str">
            <v>英国</v>
          </cell>
          <cell r="J722" t="str">
            <v>Uk</v>
          </cell>
          <cell r="K722" t="str">
            <v>Chinese employees</v>
          </cell>
          <cell r="L722" t="str">
            <v>L2</v>
          </cell>
          <cell r="M722" t="str">
            <v>ALL</v>
          </cell>
          <cell r="N722" t="str">
            <v>FLPC(含奖金)</v>
          </cell>
          <cell r="O722" t="str">
            <v>USD/小时</v>
          </cell>
          <cell r="P722">
            <v>78.209999999999994</v>
          </cell>
        </row>
        <row r="723">
          <cell r="A723" t="str">
            <v>Uk - Chinese employees - L3</v>
          </cell>
          <cell r="B723" t="str">
            <v>Current version</v>
          </cell>
          <cell r="C723" t="str">
            <v>V2009R2</v>
          </cell>
          <cell r="D723" t="str">
            <v>Labor Rate</v>
          </cell>
          <cell r="E723" t="str">
            <v>EU</v>
          </cell>
          <cell r="F723" t="str">
            <v>West European Sub-Regional Division</v>
          </cell>
          <cell r="G723" t="str">
            <v>Uk Rep.Office</v>
          </cell>
          <cell r="H723" t="str">
            <v>3601</v>
          </cell>
          <cell r="I723" t="str">
            <v>英国</v>
          </cell>
          <cell r="J723" t="str">
            <v>Uk</v>
          </cell>
          <cell r="K723" t="str">
            <v>Chinese employees</v>
          </cell>
          <cell r="L723" t="str">
            <v>L3</v>
          </cell>
          <cell r="M723" t="str">
            <v>ALL</v>
          </cell>
          <cell r="N723" t="str">
            <v>FLPC(含奖金)</v>
          </cell>
          <cell r="O723" t="str">
            <v>USD/小时</v>
          </cell>
          <cell r="P723">
            <v>89.48</v>
          </cell>
        </row>
        <row r="724">
          <cell r="A724" t="str">
            <v>Uk - Chinese employees - L4</v>
          </cell>
          <cell r="B724" t="str">
            <v>Current version</v>
          </cell>
          <cell r="C724" t="str">
            <v>V2009R2</v>
          </cell>
          <cell r="D724" t="str">
            <v>Labor Rate</v>
          </cell>
          <cell r="E724" t="str">
            <v>EU</v>
          </cell>
          <cell r="F724" t="str">
            <v>West European Sub-Regional Division</v>
          </cell>
          <cell r="G724" t="str">
            <v>Uk Rep.Office</v>
          </cell>
          <cell r="H724" t="str">
            <v>3601</v>
          </cell>
          <cell r="I724" t="str">
            <v>英国</v>
          </cell>
          <cell r="J724" t="str">
            <v>Uk</v>
          </cell>
          <cell r="K724" t="str">
            <v>Chinese employees</v>
          </cell>
          <cell r="L724" t="str">
            <v>L4</v>
          </cell>
          <cell r="M724" t="str">
            <v>ALL</v>
          </cell>
          <cell r="N724" t="str">
            <v>FLPC(含奖金)</v>
          </cell>
          <cell r="O724" t="str">
            <v>USD/小时</v>
          </cell>
          <cell r="P724">
            <v>133.79</v>
          </cell>
        </row>
        <row r="725">
          <cell r="A725" t="str">
            <v>Ireland - Chinese employees - L0</v>
          </cell>
          <cell r="B725" t="str">
            <v>Current version</v>
          </cell>
          <cell r="C725" t="str">
            <v>V2009R2</v>
          </cell>
          <cell r="D725" t="str">
            <v>Labor Rate</v>
          </cell>
          <cell r="E725" t="str">
            <v>EU</v>
          </cell>
          <cell r="F725" t="str">
            <v>West European Sub-Regional Division</v>
          </cell>
          <cell r="G725" t="str">
            <v>Uk Rep.Office</v>
          </cell>
          <cell r="H725" t="str">
            <v>3609</v>
          </cell>
          <cell r="I725" t="str">
            <v>爱尔兰</v>
          </cell>
          <cell r="J725" t="str">
            <v>Ireland</v>
          </cell>
          <cell r="K725" t="str">
            <v>Chinese employees</v>
          </cell>
          <cell r="L725" t="str">
            <v>L0</v>
          </cell>
          <cell r="M725" t="str">
            <v>ALL</v>
          </cell>
          <cell r="N725" t="str">
            <v>FLPC(含奖金)</v>
          </cell>
          <cell r="O725" t="str">
            <v>USD/小时</v>
          </cell>
          <cell r="P725">
            <v>64.12</v>
          </cell>
        </row>
        <row r="726">
          <cell r="A726" t="str">
            <v>Ireland - Chinese employees - L1</v>
          </cell>
          <cell r="B726" t="str">
            <v>Current version</v>
          </cell>
          <cell r="C726" t="str">
            <v>V2009R2</v>
          </cell>
          <cell r="D726" t="str">
            <v>Labor Rate</v>
          </cell>
          <cell r="E726" t="str">
            <v>EU</v>
          </cell>
          <cell r="F726" t="str">
            <v>West European Sub-Regional Division</v>
          </cell>
          <cell r="G726" t="str">
            <v>Uk Rep.Office</v>
          </cell>
          <cell r="H726" t="str">
            <v>3609</v>
          </cell>
          <cell r="I726" t="str">
            <v>爱尔兰</v>
          </cell>
          <cell r="J726" t="str">
            <v>Ireland</v>
          </cell>
          <cell r="K726" t="str">
            <v>Chinese employees</v>
          </cell>
          <cell r="L726" t="str">
            <v>L1</v>
          </cell>
          <cell r="M726" t="str">
            <v>ALL</v>
          </cell>
          <cell r="N726" t="str">
            <v>FLPC(含奖金)</v>
          </cell>
          <cell r="O726" t="str">
            <v>USD/小时</v>
          </cell>
          <cell r="P726">
            <v>70.31</v>
          </cell>
        </row>
        <row r="727">
          <cell r="A727" t="str">
            <v>Ireland - Chinese employees - L2</v>
          </cell>
          <cell r="B727" t="str">
            <v>Current version</v>
          </cell>
          <cell r="C727" t="str">
            <v>V2009R2</v>
          </cell>
          <cell r="D727" t="str">
            <v>Labor Rate</v>
          </cell>
          <cell r="E727" t="str">
            <v>EU</v>
          </cell>
          <cell r="F727" t="str">
            <v>West European Sub-Regional Division</v>
          </cell>
          <cell r="G727" t="str">
            <v>Uk Rep.Office</v>
          </cell>
          <cell r="H727" t="str">
            <v>3609</v>
          </cell>
          <cell r="I727" t="str">
            <v>爱尔兰</v>
          </cell>
          <cell r="J727" t="str">
            <v>Ireland</v>
          </cell>
          <cell r="K727" t="str">
            <v>Chinese employees</v>
          </cell>
          <cell r="L727" t="str">
            <v>L2</v>
          </cell>
          <cell r="M727" t="str">
            <v>ALL</v>
          </cell>
          <cell r="N727" t="str">
            <v>FLPC(含奖金)</v>
          </cell>
          <cell r="O727" t="str">
            <v>USD/小时</v>
          </cell>
          <cell r="P727">
            <v>78.209999999999994</v>
          </cell>
        </row>
        <row r="728">
          <cell r="A728" t="str">
            <v>Ireland - Chinese employees - L3</v>
          </cell>
          <cell r="B728" t="str">
            <v>Current version</v>
          </cell>
          <cell r="C728" t="str">
            <v>V2009R2</v>
          </cell>
          <cell r="D728" t="str">
            <v>Labor Rate</v>
          </cell>
          <cell r="E728" t="str">
            <v>EU</v>
          </cell>
          <cell r="F728" t="str">
            <v>West European Sub-Regional Division</v>
          </cell>
          <cell r="G728" t="str">
            <v>Uk Rep.Office</v>
          </cell>
          <cell r="H728" t="str">
            <v>3609</v>
          </cell>
          <cell r="I728" t="str">
            <v>爱尔兰</v>
          </cell>
          <cell r="J728" t="str">
            <v>Ireland</v>
          </cell>
          <cell r="K728" t="str">
            <v>Chinese employees</v>
          </cell>
          <cell r="L728" t="str">
            <v>L3</v>
          </cell>
          <cell r="M728" t="str">
            <v>ALL</v>
          </cell>
          <cell r="N728" t="str">
            <v>FLPC(含奖金)</v>
          </cell>
          <cell r="O728" t="str">
            <v>USD/小时</v>
          </cell>
          <cell r="P728">
            <v>89.48</v>
          </cell>
        </row>
        <row r="729">
          <cell r="A729" t="str">
            <v>Ireland - Chinese employees - L4</v>
          </cell>
          <cell r="B729" t="str">
            <v>Current version</v>
          </cell>
          <cell r="C729" t="str">
            <v>V2009R2</v>
          </cell>
          <cell r="D729" t="str">
            <v>Labor Rate</v>
          </cell>
          <cell r="E729" t="str">
            <v>EU</v>
          </cell>
          <cell r="F729" t="str">
            <v>West European Sub-Regional Division</v>
          </cell>
          <cell r="G729" t="str">
            <v>Uk Rep.Office</v>
          </cell>
          <cell r="H729" t="str">
            <v>3609</v>
          </cell>
          <cell r="I729" t="str">
            <v>爱尔兰</v>
          </cell>
          <cell r="J729" t="str">
            <v>Ireland</v>
          </cell>
          <cell r="K729" t="str">
            <v>Chinese employees</v>
          </cell>
          <cell r="L729" t="str">
            <v>L4</v>
          </cell>
          <cell r="M729" t="str">
            <v>ALL</v>
          </cell>
          <cell r="N729" t="str">
            <v>FLPC(含奖金)</v>
          </cell>
          <cell r="O729" t="str">
            <v>USD/小时</v>
          </cell>
          <cell r="P729">
            <v>133.79</v>
          </cell>
        </row>
        <row r="730">
          <cell r="A730" t="str">
            <v>Italy - Chinese employees - L0</v>
          </cell>
          <cell r="B730" t="str">
            <v>Current version</v>
          </cell>
          <cell r="C730" t="str">
            <v>V2009R2</v>
          </cell>
          <cell r="D730" t="str">
            <v>Labor Rate</v>
          </cell>
          <cell r="E730" t="str">
            <v>EU</v>
          </cell>
          <cell r="F730" t="str">
            <v>West European Sub-Regional Division</v>
          </cell>
          <cell r="G730" t="str">
            <v>Italy Rep.Office</v>
          </cell>
          <cell r="H730" t="str">
            <v>3603</v>
          </cell>
          <cell r="I730" t="str">
            <v>意大利</v>
          </cell>
          <cell r="J730" t="str">
            <v>Italy</v>
          </cell>
          <cell r="K730" t="str">
            <v>Chinese employees</v>
          </cell>
          <cell r="L730" t="str">
            <v>L0</v>
          </cell>
          <cell r="M730" t="str">
            <v>ALL</v>
          </cell>
          <cell r="N730" t="str">
            <v>FLPC(含奖金)</v>
          </cell>
          <cell r="O730" t="str">
            <v>USD/小时</v>
          </cell>
          <cell r="P730">
            <v>59.61</v>
          </cell>
        </row>
        <row r="731">
          <cell r="A731" t="str">
            <v>Italy - Chinese employees - L1</v>
          </cell>
          <cell r="B731" t="str">
            <v>Current version</v>
          </cell>
          <cell r="C731" t="str">
            <v>V2009R2</v>
          </cell>
          <cell r="D731" t="str">
            <v>Labor Rate</v>
          </cell>
          <cell r="E731" t="str">
            <v>EU</v>
          </cell>
          <cell r="F731" t="str">
            <v>West European Sub-Regional Division</v>
          </cell>
          <cell r="G731" t="str">
            <v>Italy Rep.Office</v>
          </cell>
          <cell r="H731" t="str">
            <v>3603</v>
          </cell>
          <cell r="I731" t="str">
            <v>意大利</v>
          </cell>
          <cell r="J731" t="str">
            <v>Italy</v>
          </cell>
          <cell r="K731" t="str">
            <v>Chinese employees</v>
          </cell>
          <cell r="L731" t="str">
            <v>L1</v>
          </cell>
          <cell r="M731" t="str">
            <v>ALL</v>
          </cell>
          <cell r="N731" t="str">
            <v>FLPC(含奖金)</v>
          </cell>
          <cell r="O731" t="str">
            <v>USD/小时</v>
          </cell>
          <cell r="P731">
            <v>68.650000000000006</v>
          </cell>
        </row>
        <row r="732">
          <cell r="A732" t="str">
            <v>Italy - Chinese employees - L2</v>
          </cell>
          <cell r="B732" t="str">
            <v>Current version</v>
          </cell>
          <cell r="C732" t="str">
            <v>V2009R2</v>
          </cell>
          <cell r="D732" t="str">
            <v>Labor Rate</v>
          </cell>
          <cell r="E732" t="str">
            <v>EU</v>
          </cell>
          <cell r="F732" t="str">
            <v>West European Sub-Regional Division</v>
          </cell>
          <cell r="G732" t="str">
            <v>Italy Rep.Office</v>
          </cell>
          <cell r="H732" t="str">
            <v>3603</v>
          </cell>
          <cell r="I732" t="str">
            <v>意大利</v>
          </cell>
          <cell r="J732" t="str">
            <v>Italy</v>
          </cell>
          <cell r="K732" t="str">
            <v>Chinese employees</v>
          </cell>
          <cell r="L732" t="str">
            <v>L2</v>
          </cell>
          <cell r="M732" t="str">
            <v>ALL</v>
          </cell>
          <cell r="N732" t="str">
            <v>FLPC(含奖金)</v>
          </cell>
          <cell r="O732" t="str">
            <v>USD/小时</v>
          </cell>
          <cell r="P732">
            <v>81.03</v>
          </cell>
        </row>
        <row r="733">
          <cell r="A733" t="str">
            <v>Italy - Chinese employees - L3</v>
          </cell>
          <cell r="B733" t="str">
            <v>Current version</v>
          </cell>
          <cell r="C733" t="str">
            <v>V2009R2</v>
          </cell>
          <cell r="D733" t="str">
            <v>Labor Rate</v>
          </cell>
          <cell r="E733" t="str">
            <v>EU</v>
          </cell>
          <cell r="F733" t="str">
            <v>West European Sub-Regional Division</v>
          </cell>
          <cell r="G733" t="str">
            <v>Italy Rep.Office</v>
          </cell>
          <cell r="H733" t="str">
            <v>3603</v>
          </cell>
          <cell r="I733" t="str">
            <v>意大利</v>
          </cell>
          <cell r="J733" t="str">
            <v>Italy</v>
          </cell>
          <cell r="K733" t="str">
            <v>Chinese employees</v>
          </cell>
          <cell r="L733" t="str">
            <v>L3</v>
          </cell>
          <cell r="M733" t="str">
            <v>ALL</v>
          </cell>
          <cell r="N733" t="str">
            <v>FLPC(含奖金)</v>
          </cell>
          <cell r="O733" t="str">
            <v>USD/小时</v>
          </cell>
          <cell r="P733">
            <v>101.9</v>
          </cell>
        </row>
        <row r="734">
          <cell r="A734" t="str">
            <v>Italy - Chinese employees - L4</v>
          </cell>
          <cell r="B734" t="str">
            <v>Current version</v>
          </cell>
          <cell r="C734" t="str">
            <v>V2009R2</v>
          </cell>
          <cell r="D734" t="str">
            <v>Labor Rate</v>
          </cell>
          <cell r="E734" t="str">
            <v>EU</v>
          </cell>
          <cell r="F734" t="str">
            <v>West European Sub-Regional Division</v>
          </cell>
          <cell r="G734" t="str">
            <v>Italy Rep.Office</v>
          </cell>
          <cell r="H734" t="str">
            <v>3603</v>
          </cell>
          <cell r="I734" t="str">
            <v>意大利</v>
          </cell>
          <cell r="J734" t="str">
            <v>Italy</v>
          </cell>
          <cell r="K734" t="str">
            <v>Chinese employees</v>
          </cell>
          <cell r="L734" t="str">
            <v>L4</v>
          </cell>
          <cell r="M734" t="str">
            <v>ALL</v>
          </cell>
          <cell r="N734" t="str">
            <v>FLPC(含奖金)</v>
          </cell>
          <cell r="O734" t="str">
            <v>USD/小时</v>
          </cell>
          <cell r="P734">
            <v>153.58000000000001</v>
          </cell>
        </row>
        <row r="735">
          <cell r="A735" t="str">
            <v>Swiss - Chinese employees - L0</v>
          </cell>
          <cell r="B735" t="str">
            <v>Current version</v>
          </cell>
          <cell r="C735" t="str">
            <v>V2009R2</v>
          </cell>
          <cell r="D735" t="str">
            <v>Labor Rate</v>
          </cell>
          <cell r="E735" t="str">
            <v>EU</v>
          </cell>
          <cell r="F735" t="str">
            <v>West European Sub-Regional Division</v>
          </cell>
          <cell r="G735" t="str">
            <v>Italy Rep.Office</v>
          </cell>
          <cell r="H735" t="str">
            <v>3610</v>
          </cell>
          <cell r="I735" t="str">
            <v>瑞士</v>
          </cell>
          <cell r="J735" t="str">
            <v>Swiss</v>
          </cell>
          <cell r="K735" t="str">
            <v>Chinese employees</v>
          </cell>
          <cell r="L735" t="str">
            <v>L0</v>
          </cell>
          <cell r="M735" t="str">
            <v>ALL</v>
          </cell>
          <cell r="N735" t="str">
            <v>FLPC(含奖金)</v>
          </cell>
          <cell r="O735" t="str">
            <v>USD/小时</v>
          </cell>
          <cell r="P735">
            <v>67.25</v>
          </cell>
        </row>
        <row r="736">
          <cell r="A736" t="str">
            <v>Swiss - Chinese employees - L1</v>
          </cell>
          <cell r="B736" t="str">
            <v>Current version</v>
          </cell>
          <cell r="C736" t="str">
            <v>V2009R2</v>
          </cell>
          <cell r="D736" t="str">
            <v>Labor Rate</v>
          </cell>
          <cell r="E736" t="str">
            <v>EU</v>
          </cell>
          <cell r="F736" t="str">
            <v>West European Sub-Regional Division</v>
          </cell>
          <cell r="G736" t="str">
            <v>Italy Rep.Office</v>
          </cell>
          <cell r="H736" t="str">
            <v>3610</v>
          </cell>
          <cell r="I736" t="str">
            <v>瑞士</v>
          </cell>
          <cell r="J736" t="str">
            <v>Swiss</v>
          </cell>
          <cell r="K736" t="str">
            <v>Chinese employees</v>
          </cell>
          <cell r="L736" t="str">
            <v>L1</v>
          </cell>
          <cell r="M736" t="str">
            <v>ALL</v>
          </cell>
          <cell r="N736" t="str">
            <v>FLPC(含奖金)</v>
          </cell>
          <cell r="O736" t="str">
            <v>USD/小时</v>
          </cell>
          <cell r="P736">
            <v>75.59</v>
          </cell>
        </row>
        <row r="737">
          <cell r="A737" t="str">
            <v>Swiss - Chinese employees - L2</v>
          </cell>
          <cell r="B737" t="str">
            <v>Current version</v>
          </cell>
          <cell r="C737" t="str">
            <v>V2009R2</v>
          </cell>
          <cell r="D737" t="str">
            <v>Labor Rate</v>
          </cell>
          <cell r="E737" t="str">
            <v>EU</v>
          </cell>
          <cell r="F737" t="str">
            <v>West European Sub-Regional Division</v>
          </cell>
          <cell r="G737" t="str">
            <v>Italy Rep.Office</v>
          </cell>
          <cell r="H737" t="str">
            <v>3610</v>
          </cell>
          <cell r="I737" t="str">
            <v>瑞士</v>
          </cell>
          <cell r="J737" t="str">
            <v>Swiss</v>
          </cell>
          <cell r="K737" t="str">
            <v>Chinese employees</v>
          </cell>
          <cell r="L737" t="str">
            <v>L2</v>
          </cell>
          <cell r="M737" t="str">
            <v>ALL</v>
          </cell>
          <cell r="N737" t="str">
            <v>FLPC(含奖金)</v>
          </cell>
          <cell r="O737" t="str">
            <v>USD/小时</v>
          </cell>
          <cell r="P737">
            <v>86.22</v>
          </cell>
        </row>
        <row r="738">
          <cell r="A738" t="str">
            <v>Swiss - Chinese employees - L3</v>
          </cell>
          <cell r="B738" t="str">
            <v>Current version</v>
          </cell>
          <cell r="C738" t="str">
            <v>V2009R2</v>
          </cell>
          <cell r="D738" t="str">
            <v>Labor Rate</v>
          </cell>
          <cell r="E738" t="str">
            <v>EU</v>
          </cell>
          <cell r="F738" t="str">
            <v>West European Sub-Regional Division</v>
          </cell>
          <cell r="G738" t="str">
            <v>Italy Rep.Office</v>
          </cell>
          <cell r="H738" t="str">
            <v>3610</v>
          </cell>
          <cell r="I738" t="str">
            <v>瑞士</v>
          </cell>
          <cell r="J738" t="str">
            <v>Swiss</v>
          </cell>
          <cell r="K738" t="str">
            <v>Chinese employees</v>
          </cell>
          <cell r="L738" t="str">
            <v>L3</v>
          </cell>
          <cell r="M738" t="str">
            <v>ALL</v>
          </cell>
          <cell r="N738" t="str">
            <v>FLPC(含奖金)</v>
          </cell>
          <cell r="O738" t="str">
            <v>USD/小时</v>
          </cell>
          <cell r="P738">
            <v>105.01</v>
          </cell>
        </row>
        <row r="739">
          <cell r="A739" t="str">
            <v>Swiss - Chinese employees - L4</v>
          </cell>
          <cell r="B739" t="str">
            <v>Current version</v>
          </cell>
          <cell r="C739" t="str">
            <v>V2009R2</v>
          </cell>
          <cell r="D739" t="str">
            <v>Labor Rate</v>
          </cell>
          <cell r="E739" t="str">
            <v>EU</v>
          </cell>
          <cell r="F739" t="str">
            <v>West European Sub-Regional Division</v>
          </cell>
          <cell r="G739" t="str">
            <v>Italy Rep.Office</v>
          </cell>
          <cell r="H739" t="str">
            <v>3610</v>
          </cell>
          <cell r="I739" t="str">
            <v>瑞士</v>
          </cell>
          <cell r="J739" t="str">
            <v>Swiss</v>
          </cell>
          <cell r="K739" t="str">
            <v>Chinese employees</v>
          </cell>
          <cell r="L739" t="str">
            <v>L4</v>
          </cell>
          <cell r="M739" t="str">
            <v>ALL</v>
          </cell>
          <cell r="N739" t="str">
            <v>FLPC(含奖金)</v>
          </cell>
          <cell r="O739" t="str">
            <v>USD/小时</v>
          </cell>
          <cell r="P739">
            <v>159.37</v>
          </cell>
        </row>
        <row r="740">
          <cell r="A740" t="str">
            <v>Belgium - Chinese employees - L0</v>
          </cell>
          <cell r="B740" t="str">
            <v>Current version</v>
          </cell>
          <cell r="C740" t="str">
            <v>V2009R2</v>
          </cell>
          <cell r="D740" t="str">
            <v>Labor Rate</v>
          </cell>
          <cell r="E740" t="str">
            <v>EU</v>
          </cell>
          <cell r="F740" t="str">
            <v>West European Sub-Regional Division</v>
          </cell>
          <cell r="G740" t="str">
            <v>Holand Rep.Office</v>
          </cell>
          <cell r="H740" t="str">
            <v>3612</v>
          </cell>
          <cell r="I740" t="str">
            <v>比利时</v>
          </cell>
          <cell r="J740" t="str">
            <v>Belgium</v>
          </cell>
          <cell r="K740" t="str">
            <v>Chinese employees</v>
          </cell>
          <cell r="L740" t="str">
            <v>L0</v>
          </cell>
          <cell r="M740" t="str">
            <v>ALL</v>
          </cell>
          <cell r="N740" t="str">
            <v>FLPC(含奖金)</v>
          </cell>
          <cell r="O740" t="str">
            <v>USD/小时</v>
          </cell>
          <cell r="P740">
            <v>75.62</v>
          </cell>
        </row>
        <row r="741">
          <cell r="A741" t="str">
            <v>Belgium - Chinese employees - L1</v>
          </cell>
          <cell r="B741" t="str">
            <v>Current version</v>
          </cell>
          <cell r="C741" t="str">
            <v>V2009R2</v>
          </cell>
          <cell r="D741" t="str">
            <v>Labor Rate</v>
          </cell>
          <cell r="E741" t="str">
            <v>EU</v>
          </cell>
          <cell r="F741" t="str">
            <v>West European Sub-Regional Division</v>
          </cell>
          <cell r="G741" t="str">
            <v>Holand Rep.Office</v>
          </cell>
          <cell r="H741" t="str">
            <v>3612</v>
          </cell>
          <cell r="I741" t="str">
            <v>比利时</v>
          </cell>
          <cell r="J741" t="str">
            <v>Belgium</v>
          </cell>
          <cell r="K741" t="str">
            <v>Chinese employees</v>
          </cell>
          <cell r="L741" t="str">
            <v>L1</v>
          </cell>
          <cell r="M741" t="str">
            <v>ALL</v>
          </cell>
          <cell r="N741" t="str">
            <v>FLPC(含奖金)</v>
          </cell>
          <cell r="O741" t="str">
            <v>USD/小时</v>
          </cell>
          <cell r="P741">
            <v>87.88</v>
          </cell>
        </row>
        <row r="742">
          <cell r="A742" t="str">
            <v>Belgium - Chinese employees - L2</v>
          </cell>
          <cell r="B742" t="str">
            <v>Current version</v>
          </cell>
          <cell r="C742" t="str">
            <v>V2009R2</v>
          </cell>
          <cell r="D742" t="str">
            <v>Labor Rate</v>
          </cell>
          <cell r="E742" t="str">
            <v>EU</v>
          </cell>
          <cell r="F742" t="str">
            <v>West European Sub-Regional Division</v>
          </cell>
          <cell r="G742" t="str">
            <v>Holand Rep.Office</v>
          </cell>
          <cell r="H742" t="str">
            <v>3612</v>
          </cell>
          <cell r="I742" t="str">
            <v>比利时</v>
          </cell>
          <cell r="J742" t="str">
            <v>Belgium</v>
          </cell>
          <cell r="K742" t="str">
            <v>Chinese employees</v>
          </cell>
          <cell r="L742" t="str">
            <v>L2</v>
          </cell>
          <cell r="M742" t="str">
            <v>ALL</v>
          </cell>
          <cell r="N742" t="str">
            <v>FLPC(含奖金)</v>
          </cell>
          <cell r="O742" t="str">
            <v>USD/小时</v>
          </cell>
          <cell r="P742">
            <v>107.05</v>
          </cell>
        </row>
        <row r="743">
          <cell r="A743" t="str">
            <v>Belgium - Chinese employees - L3</v>
          </cell>
          <cell r="B743" t="str">
            <v>Current version</v>
          </cell>
          <cell r="C743" t="str">
            <v>V2009R2</v>
          </cell>
          <cell r="D743" t="str">
            <v>Labor Rate</v>
          </cell>
          <cell r="E743" t="str">
            <v>EU</v>
          </cell>
          <cell r="F743" t="str">
            <v>West European Sub-Regional Division</v>
          </cell>
          <cell r="G743" t="str">
            <v>Holand Rep.Office</v>
          </cell>
          <cell r="H743" t="str">
            <v>3612</v>
          </cell>
          <cell r="I743" t="str">
            <v>比利时</v>
          </cell>
          <cell r="J743" t="str">
            <v>Belgium</v>
          </cell>
          <cell r="K743" t="str">
            <v>Chinese employees</v>
          </cell>
          <cell r="L743" t="str">
            <v>L3</v>
          </cell>
          <cell r="M743" t="str">
            <v>ALL</v>
          </cell>
          <cell r="N743" t="str">
            <v>FLPC(含奖金)</v>
          </cell>
          <cell r="O743" t="str">
            <v>USD/小时</v>
          </cell>
          <cell r="P743">
            <v>139.72</v>
          </cell>
        </row>
        <row r="744">
          <cell r="A744" t="str">
            <v>Belgium - Chinese employees - L4</v>
          </cell>
          <cell r="B744" t="str">
            <v>Current version</v>
          </cell>
          <cell r="C744" t="str">
            <v>V2009R2</v>
          </cell>
          <cell r="D744" t="str">
            <v>Labor Rate</v>
          </cell>
          <cell r="E744" t="str">
            <v>EU</v>
          </cell>
          <cell r="F744" t="str">
            <v>West European Sub-Regional Division</v>
          </cell>
          <cell r="G744" t="str">
            <v>Holand Rep.Office</v>
          </cell>
          <cell r="H744" t="str">
            <v>3612</v>
          </cell>
          <cell r="I744" t="str">
            <v>比利时</v>
          </cell>
          <cell r="J744" t="str">
            <v>Belgium</v>
          </cell>
          <cell r="K744" t="str">
            <v>Chinese employees</v>
          </cell>
          <cell r="L744" t="str">
            <v>L4</v>
          </cell>
          <cell r="M744" t="str">
            <v>ALL</v>
          </cell>
          <cell r="N744" t="str">
            <v>FLPC(含奖金)</v>
          </cell>
          <cell r="O744" t="str">
            <v>USD/小时</v>
          </cell>
          <cell r="P744">
            <v>225.1</v>
          </cell>
        </row>
        <row r="745">
          <cell r="A745" t="str">
            <v>Netherlands - Chinese employees - L0</v>
          </cell>
          <cell r="B745" t="str">
            <v>Current version</v>
          </cell>
          <cell r="C745" t="str">
            <v>V2009R2</v>
          </cell>
          <cell r="D745" t="str">
            <v>Labor Rate</v>
          </cell>
          <cell r="E745" t="str">
            <v>EU</v>
          </cell>
          <cell r="F745" t="str">
            <v>West European Sub-Regional Division</v>
          </cell>
          <cell r="G745" t="str">
            <v>Holand Rep.Office</v>
          </cell>
          <cell r="H745" t="str">
            <v>3613</v>
          </cell>
          <cell r="I745" t="str">
            <v>荷兰</v>
          </cell>
          <cell r="J745" t="str">
            <v>Netherlands</v>
          </cell>
          <cell r="K745" t="str">
            <v>Chinese employees</v>
          </cell>
          <cell r="L745" t="str">
            <v>L0</v>
          </cell>
          <cell r="M745" t="str">
            <v>ALL</v>
          </cell>
          <cell r="N745" t="str">
            <v>FLPC(含奖金)</v>
          </cell>
          <cell r="O745" t="str">
            <v>USD/小时</v>
          </cell>
          <cell r="P745">
            <v>77.2</v>
          </cell>
        </row>
        <row r="746">
          <cell r="A746" t="str">
            <v>Netherlands - Chinese employees - L1</v>
          </cell>
          <cell r="B746" t="str">
            <v>Current version</v>
          </cell>
          <cell r="C746" t="str">
            <v>V2009R2</v>
          </cell>
          <cell r="D746" t="str">
            <v>Labor Rate</v>
          </cell>
          <cell r="E746" t="str">
            <v>EU</v>
          </cell>
          <cell r="F746" t="str">
            <v>West European Sub-Regional Division</v>
          </cell>
          <cell r="G746" t="str">
            <v>Holand Rep.Office</v>
          </cell>
          <cell r="H746" t="str">
            <v>3613</v>
          </cell>
          <cell r="I746" t="str">
            <v>荷兰</v>
          </cell>
          <cell r="J746" t="str">
            <v>Netherlands</v>
          </cell>
          <cell r="K746" t="str">
            <v>Chinese employees</v>
          </cell>
          <cell r="L746" t="str">
            <v>L1</v>
          </cell>
          <cell r="M746" t="str">
            <v>ALL</v>
          </cell>
          <cell r="N746" t="str">
            <v>FLPC(含奖金)</v>
          </cell>
          <cell r="O746" t="str">
            <v>USD/小时</v>
          </cell>
          <cell r="P746">
            <v>84.5</v>
          </cell>
        </row>
        <row r="747">
          <cell r="A747" t="str">
            <v>Netherlands - Chinese employees - L2</v>
          </cell>
          <cell r="B747" t="str">
            <v>Current version</v>
          </cell>
          <cell r="C747" t="str">
            <v>V2009R2</v>
          </cell>
          <cell r="D747" t="str">
            <v>Labor Rate</v>
          </cell>
          <cell r="E747" t="str">
            <v>EU</v>
          </cell>
          <cell r="F747" t="str">
            <v>West European Sub-Regional Division</v>
          </cell>
          <cell r="G747" t="str">
            <v>Holand Rep.Office</v>
          </cell>
          <cell r="H747" t="str">
            <v>3613</v>
          </cell>
          <cell r="I747" t="str">
            <v>荷兰</v>
          </cell>
          <cell r="J747" t="str">
            <v>Netherlands</v>
          </cell>
          <cell r="K747" t="str">
            <v>Chinese employees</v>
          </cell>
          <cell r="L747" t="str">
            <v>L2</v>
          </cell>
          <cell r="M747" t="str">
            <v>ALL</v>
          </cell>
          <cell r="N747" t="str">
            <v>FLPC(含奖金)</v>
          </cell>
          <cell r="O747" t="str">
            <v>USD/小时</v>
          </cell>
          <cell r="P747">
            <v>93.87</v>
          </cell>
        </row>
        <row r="748">
          <cell r="A748" t="str">
            <v>Netherlands - Chinese employees - L3</v>
          </cell>
          <cell r="B748" t="str">
            <v>Current version</v>
          </cell>
          <cell r="C748" t="str">
            <v>V2009R2</v>
          </cell>
          <cell r="D748" t="str">
            <v>Labor Rate</v>
          </cell>
          <cell r="E748" t="str">
            <v>EU</v>
          </cell>
          <cell r="F748" t="str">
            <v>West European Sub-Regional Division</v>
          </cell>
          <cell r="G748" t="str">
            <v>Holand Rep.Office</v>
          </cell>
          <cell r="H748" t="str">
            <v>3613</v>
          </cell>
          <cell r="I748" t="str">
            <v>荷兰</v>
          </cell>
          <cell r="J748" t="str">
            <v>Netherlands</v>
          </cell>
          <cell r="K748" t="str">
            <v>Chinese employees</v>
          </cell>
          <cell r="L748" t="str">
            <v>L3</v>
          </cell>
          <cell r="M748" t="str">
            <v>ALL</v>
          </cell>
          <cell r="N748" t="str">
            <v>FLPC(含奖金)</v>
          </cell>
          <cell r="O748" t="str">
            <v>USD/小时</v>
          </cell>
          <cell r="P748">
            <v>107.07</v>
          </cell>
        </row>
        <row r="749">
          <cell r="A749" t="str">
            <v>Netherlands - Chinese employees - L4</v>
          </cell>
          <cell r="B749" t="str">
            <v>Current version</v>
          </cell>
          <cell r="C749" t="str">
            <v>V2009R2</v>
          </cell>
          <cell r="D749" t="str">
            <v>Labor Rate</v>
          </cell>
          <cell r="E749" t="str">
            <v>EU</v>
          </cell>
          <cell r="F749" t="str">
            <v>West European Sub-Regional Division</v>
          </cell>
          <cell r="G749" t="str">
            <v>Holand Rep.Office</v>
          </cell>
          <cell r="H749" t="str">
            <v>3613</v>
          </cell>
          <cell r="I749" t="str">
            <v>荷兰</v>
          </cell>
          <cell r="J749" t="str">
            <v>Netherlands</v>
          </cell>
          <cell r="K749" t="str">
            <v>Chinese employees</v>
          </cell>
          <cell r="L749" t="str">
            <v>L4</v>
          </cell>
          <cell r="M749" t="str">
            <v>ALL</v>
          </cell>
          <cell r="N749" t="str">
            <v>FLPC(含奖金)</v>
          </cell>
          <cell r="O749" t="str">
            <v>USD/小时</v>
          </cell>
          <cell r="P749">
            <v>170.41</v>
          </cell>
        </row>
        <row r="750">
          <cell r="A750" t="str">
            <v>luxembourg - Chinese employees - L0</v>
          </cell>
          <cell r="B750" t="str">
            <v>Current version</v>
          </cell>
          <cell r="C750" t="str">
            <v>V2009R2</v>
          </cell>
          <cell r="D750" t="str">
            <v>Labor Rate</v>
          </cell>
          <cell r="E750" t="str">
            <v>EU</v>
          </cell>
          <cell r="F750" t="str">
            <v>West European Sub-Regional Division</v>
          </cell>
          <cell r="G750" t="str">
            <v>Holand Rep.Office</v>
          </cell>
          <cell r="H750" t="str">
            <v>3621</v>
          </cell>
          <cell r="I750" t="str">
            <v>卢森堡</v>
          </cell>
          <cell r="J750" t="str">
            <v>luxembourg</v>
          </cell>
          <cell r="K750" t="str">
            <v>Chinese employees</v>
          </cell>
          <cell r="L750" t="str">
            <v>L0</v>
          </cell>
          <cell r="M750" t="str">
            <v>ALL</v>
          </cell>
          <cell r="N750" t="str">
            <v>FLPC(含奖金)</v>
          </cell>
          <cell r="O750" t="str">
            <v>USD/小时</v>
          </cell>
          <cell r="P750">
            <v>80.739999999999995</v>
          </cell>
        </row>
        <row r="751">
          <cell r="A751" t="str">
            <v>luxembourg - Chinese employees - L1</v>
          </cell>
          <cell r="B751" t="str">
            <v>Current version</v>
          </cell>
          <cell r="C751" t="str">
            <v>V2009R2</v>
          </cell>
          <cell r="D751" t="str">
            <v>Labor Rate</v>
          </cell>
          <cell r="E751" t="str">
            <v>EU</v>
          </cell>
          <cell r="F751" t="str">
            <v>West European Sub-Regional Division</v>
          </cell>
          <cell r="G751" t="str">
            <v>Holand Rep.Office</v>
          </cell>
          <cell r="H751" t="str">
            <v>3621</v>
          </cell>
          <cell r="I751" t="str">
            <v>卢森堡</v>
          </cell>
          <cell r="J751" t="str">
            <v>luxembourg</v>
          </cell>
          <cell r="K751" t="str">
            <v>Chinese employees</v>
          </cell>
          <cell r="L751" t="str">
            <v>L1</v>
          </cell>
          <cell r="M751" t="str">
            <v>ALL</v>
          </cell>
          <cell r="N751" t="str">
            <v>FLPC(含奖金)</v>
          </cell>
          <cell r="O751" t="str">
            <v>USD/小时</v>
          </cell>
          <cell r="P751">
            <v>90.79</v>
          </cell>
        </row>
        <row r="752">
          <cell r="A752" t="str">
            <v>luxembourg - Chinese employees - L2</v>
          </cell>
          <cell r="B752" t="str">
            <v>Current version</v>
          </cell>
          <cell r="C752" t="str">
            <v>V2009R2</v>
          </cell>
          <cell r="D752" t="str">
            <v>Labor Rate</v>
          </cell>
          <cell r="E752" t="str">
            <v>EU</v>
          </cell>
          <cell r="F752" t="str">
            <v>West European Sub-Regional Division</v>
          </cell>
          <cell r="G752" t="str">
            <v>Holand Rep.Office</v>
          </cell>
          <cell r="H752" t="str">
            <v>3621</v>
          </cell>
          <cell r="I752" t="str">
            <v>卢森堡</v>
          </cell>
          <cell r="J752" t="str">
            <v>luxembourg</v>
          </cell>
          <cell r="K752" t="str">
            <v>Chinese employees</v>
          </cell>
          <cell r="L752" t="str">
            <v>L2</v>
          </cell>
          <cell r="M752" t="str">
            <v>ALL</v>
          </cell>
          <cell r="N752" t="str">
            <v>FLPC(含奖金)</v>
          </cell>
          <cell r="O752" t="str">
            <v>USD/小时</v>
          </cell>
          <cell r="P752">
            <v>104.07</v>
          </cell>
        </row>
        <row r="753">
          <cell r="A753" t="str">
            <v>luxembourg - Chinese employees - L3</v>
          </cell>
          <cell r="B753" t="str">
            <v>Current version</v>
          </cell>
          <cell r="C753" t="str">
            <v>V2009R2</v>
          </cell>
          <cell r="D753" t="str">
            <v>Labor Rate</v>
          </cell>
          <cell r="E753" t="str">
            <v>EU</v>
          </cell>
          <cell r="F753" t="str">
            <v>West European Sub-Regional Division</v>
          </cell>
          <cell r="G753" t="str">
            <v>Holand Rep.Office</v>
          </cell>
          <cell r="H753" t="str">
            <v>3621</v>
          </cell>
          <cell r="I753" t="str">
            <v>卢森堡</v>
          </cell>
          <cell r="J753" t="str">
            <v>luxembourg</v>
          </cell>
          <cell r="K753" t="str">
            <v>Chinese employees</v>
          </cell>
          <cell r="L753" t="str">
            <v>L3</v>
          </cell>
          <cell r="M753" t="str">
            <v>ALL</v>
          </cell>
          <cell r="N753" t="str">
            <v>FLPC(含奖金)</v>
          </cell>
          <cell r="O753" t="str">
            <v>USD/小时</v>
          </cell>
          <cell r="P753">
            <v>131.78</v>
          </cell>
        </row>
        <row r="754">
          <cell r="A754" t="str">
            <v>luxembourg - Chinese employees - L4</v>
          </cell>
          <cell r="B754" t="str">
            <v>Current version</v>
          </cell>
          <cell r="C754" t="str">
            <v>V2009R2</v>
          </cell>
          <cell r="D754" t="str">
            <v>Labor Rate</v>
          </cell>
          <cell r="E754" t="str">
            <v>EU</v>
          </cell>
          <cell r="F754" t="str">
            <v>West European Sub-Regional Division</v>
          </cell>
          <cell r="G754" t="str">
            <v>Holand Rep.Office</v>
          </cell>
          <cell r="H754" t="str">
            <v>3621</v>
          </cell>
          <cell r="I754" t="str">
            <v>卢森堡</v>
          </cell>
          <cell r="J754" t="str">
            <v>luxembourg</v>
          </cell>
          <cell r="K754" t="str">
            <v>Chinese employees</v>
          </cell>
          <cell r="L754" t="str">
            <v>L4</v>
          </cell>
          <cell r="M754" t="str">
            <v>ALL</v>
          </cell>
          <cell r="N754" t="str">
            <v>FLPC(含奖金)</v>
          </cell>
          <cell r="O754" t="str">
            <v>USD/小时</v>
          </cell>
          <cell r="P754">
            <v>208.38</v>
          </cell>
        </row>
        <row r="755">
          <cell r="A755" t="str">
            <v>Germany - Chinese employees - L0</v>
          </cell>
          <cell r="B755" t="str">
            <v>Current version</v>
          </cell>
          <cell r="C755" t="str">
            <v>V2009R2</v>
          </cell>
          <cell r="D755" t="str">
            <v>Labor Rate</v>
          </cell>
          <cell r="E755" t="str">
            <v>EU</v>
          </cell>
          <cell r="F755" t="str">
            <v>West European Sub-Regional Division</v>
          </cell>
          <cell r="G755" t="str">
            <v>Germany</v>
          </cell>
          <cell r="H755" t="str">
            <v>3602</v>
          </cell>
          <cell r="I755" t="str">
            <v>德国</v>
          </cell>
          <cell r="J755" t="str">
            <v>Germany</v>
          </cell>
          <cell r="K755" t="str">
            <v>Chinese employees</v>
          </cell>
          <cell r="L755" t="str">
            <v>L0</v>
          </cell>
          <cell r="M755" t="str">
            <v>ALL</v>
          </cell>
          <cell r="N755" t="str">
            <v>FLPC(含奖金)</v>
          </cell>
          <cell r="O755" t="str">
            <v>USD/小时</v>
          </cell>
          <cell r="P755">
            <v>69.64</v>
          </cell>
        </row>
        <row r="756">
          <cell r="A756" t="str">
            <v>Germany - Chinese employees - L1</v>
          </cell>
          <cell r="B756" t="str">
            <v>Current version</v>
          </cell>
          <cell r="C756" t="str">
            <v>V2009R2</v>
          </cell>
          <cell r="D756" t="str">
            <v>Labor Rate</v>
          </cell>
          <cell r="E756" t="str">
            <v>EU</v>
          </cell>
          <cell r="F756" t="str">
            <v>West European Sub-Regional Division</v>
          </cell>
          <cell r="G756" t="str">
            <v>Germany</v>
          </cell>
          <cell r="H756" t="str">
            <v>3602</v>
          </cell>
          <cell r="I756" t="str">
            <v>德国</v>
          </cell>
          <cell r="J756" t="str">
            <v>Germany</v>
          </cell>
          <cell r="K756" t="str">
            <v>Chinese employees</v>
          </cell>
          <cell r="L756" t="str">
            <v>L1</v>
          </cell>
          <cell r="M756" t="str">
            <v>ALL</v>
          </cell>
          <cell r="N756" t="str">
            <v>FLPC(含奖金)</v>
          </cell>
          <cell r="O756" t="str">
            <v>USD/小时</v>
          </cell>
          <cell r="P756">
            <v>78.900000000000006</v>
          </cell>
        </row>
        <row r="757">
          <cell r="A757" t="str">
            <v>Germany - Chinese employees - L2</v>
          </cell>
          <cell r="B757" t="str">
            <v>Current version</v>
          </cell>
          <cell r="C757" t="str">
            <v>V2009R2</v>
          </cell>
          <cell r="D757" t="str">
            <v>Labor Rate</v>
          </cell>
          <cell r="E757" t="str">
            <v>EU</v>
          </cell>
          <cell r="F757" t="str">
            <v>West European Sub-Regional Division</v>
          </cell>
          <cell r="G757" t="str">
            <v>Germany</v>
          </cell>
          <cell r="H757" t="str">
            <v>3602</v>
          </cell>
          <cell r="I757" t="str">
            <v>德国</v>
          </cell>
          <cell r="J757" t="str">
            <v>Germany</v>
          </cell>
          <cell r="K757" t="str">
            <v>Chinese employees</v>
          </cell>
          <cell r="L757" t="str">
            <v>L2</v>
          </cell>
          <cell r="M757" t="str">
            <v>ALL</v>
          </cell>
          <cell r="N757" t="str">
            <v>FLPC(含奖金)</v>
          </cell>
          <cell r="O757" t="str">
            <v>USD/小时</v>
          </cell>
          <cell r="P757">
            <v>91.15</v>
          </cell>
        </row>
        <row r="758">
          <cell r="A758" t="str">
            <v>Germany - Chinese employees - L3</v>
          </cell>
          <cell r="B758" t="str">
            <v>Current version</v>
          </cell>
          <cell r="C758" t="str">
            <v>V2009R2</v>
          </cell>
          <cell r="D758" t="str">
            <v>Labor Rate</v>
          </cell>
          <cell r="E758" t="str">
            <v>EU</v>
          </cell>
          <cell r="F758" t="str">
            <v>West European Sub-Regional Division</v>
          </cell>
          <cell r="G758" t="str">
            <v>Germany</v>
          </cell>
          <cell r="H758" t="str">
            <v>3602</v>
          </cell>
          <cell r="I758" t="str">
            <v>德国</v>
          </cell>
          <cell r="J758" t="str">
            <v>Germany</v>
          </cell>
          <cell r="K758" t="str">
            <v>Chinese employees</v>
          </cell>
          <cell r="L758" t="str">
            <v>L3</v>
          </cell>
          <cell r="M758" t="str">
            <v>ALL</v>
          </cell>
          <cell r="N758" t="str">
            <v>FLPC(含奖金)</v>
          </cell>
          <cell r="O758" t="str">
            <v>USD/小时</v>
          </cell>
          <cell r="P758">
            <v>116.69</v>
          </cell>
        </row>
        <row r="759">
          <cell r="A759" t="str">
            <v>Germany - Chinese employees - L4</v>
          </cell>
          <cell r="B759" t="str">
            <v>Current version</v>
          </cell>
          <cell r="C759" t="str">
            <v>V2009R2</v>
          </cell>
          <cell r="D759" t="str">
            <v>Labor Rate</v>
          </cell>
          <cell r="E759" t="str">
            <v>EU</v>
          </cell>
          <cell r="F759" t="str">
            <v>West European Sub-Regional Division</v>
          </cell>
          <cell r="G759" t="str">
            <v>Germany</v>
          </cell>
          <cell r="H759" t="str">
            <v>3602</v>
          </cell>
          <cell r="I759" t="str">
            <v>德国</v>
          </cell>
          <cell r="J759" t="str">
            <v>Germany</v>
          </cell>
          <cell r="K759" t="str">
            <v>Chinese employees</v>
          </cell>
          <cell r="L759" t="str">
            <v>L4</v>
          </cell>
          <cell r="M759" t="str">
            <v>ALL</v>
          </cell>
          <cell r="N759" t="str">
            <v>FLPC(含奖金)</v>
          </cell>
          <cell r="O759" t="str">
            <v>USD/小时</v>
          </cell>
          <cell r="P759">
            <v>187.31</v>
          </cell>
        </row>
        <row r="760">
          <cell r="A760" t="str">
            <v>France - Chinese employees - L0</v>
          </cell>
          <cell r="B760" t="str">
            <v>Current version</v>
          </cell>
          <cell r="C760" t="str">
            <v>V2009R2</v>
          </cell>
          <cell r="D760" t="str">
            <v>Labor Rate</v>
          </cell>
          <cell r="E760" t="str">
            <v>EU</v>
          </cell>
          <cell r="F760" t="str">
            <v>West European Sub-Regional Division</v>
          </cell>
          <cell r="G760" t="str">
            <v>France</v>
          </cell>
          <cell r="H760" t="str">
            <v>3604</v>
          </cell>
          <cell r="I760" t="str">
            <v>法国</v>
          </cell>
          <cell r="J760" t="str">
            <v>France</v>
          </cell>
          <cell r="K760" t="str">
            <v>Chinese employees</v>
          </cell>
          <cell r="L760" t="str">
            <v>L0</v>
          </cell>
          <cell r="M760" t="str">
            <v>ALL</v>
          </cell>
          <cell r="N760" t="str">
            <v>FLPC(含奖金)</v>
          </cell>
          <cell r="O760" t="str">
            <v>USD/小时</v>
          </cell>
          <cell r="P760">
            <v>73.540000000000006</v>
          </cell>
        </row>
        <row r="761">
          <cell r="A761" t="str">
            <v>France - Chinese employees - L1</v>
          </cell>
          <cell r="B761" t="str">
            <v>Current version</v>
          </cell>
          <cell r="C761" t="str">
            <v>V2009R2</v>
          </cell>
          <cell r="D761" t="str">
            <v>Labor Rate</v>
          </cell>
          <cell r="E761" t="str">
            <v>EU</v>
          </cell>
          <cell r="F761" t="str">
            <v>West European Sub-Regional Division</v>
          </cell>
          <cell r="G761" t="str">
            <v>France</v>
          </cell>
          <cell r="H761" t="str">
            <v>3604</v>
          </cell>
          <cell r="I761" t="str">
            <v>法国</v>
          </cell>
          <cell r="J761" t="str">
            <v>France</v>
          </cell>
          <cell r="K761" t="str">
            <v>Chinese employees</v>
          </cell>
          <cell r="L761" t="str">
            <v>L1</v>
          </cell>
          <cell r="M761" t="str">
            <v>ALL</v>
          </cell>
          <cell r="N761" t="str">
            <v>FLPC(含奖金)</v>
          </cell>
          <cell r="O761" t="str">
            <v>USD/小时</v>
          </cell>
          <cell r="P761">
            <v>88.37</v>
          </cell>
        </row>
        <row r="762">
          <cell r="A762" t="str">
            <v>France - Chinese employees - L2</v>
          </cell>
          <cell r="B762" t="str">
            <v>Current version</v>
          </cell>
          <cell r="C762" t="str">
            <v>V2009R2</v>
          </cell>
          <cell r="D762" t="str">
            <v>Labor Rate</v>
          </cell>
          <cell r="E762" t="str">
            <v>EU</v>
          </cell>
          <cell r="F762" t="str">
            <v>West European Sub-Regional Division</v>
          </cell>
          <cell r="G762" t="str">
            <v>France</v>
          </cell>
          <cell r="H762" t="str">
            <v>3604</v>
          </cell>
          <cell r="I762" t="str">
            <v>法国</v>
          </cell>
          <cell r="J762" t="str">
            <v>France</v>
          </cell>
          <cell r="K762" t="str">
            <v>Chinese employees</v>
          </cell>
          <cell r="L762" t="str">
            <v>L2</v>
          </cell>
          <cell r="M762" t="str">
            <v>ALL</v>
          </cell>
          <cell r="N762" t="str">
            <v>FLPC(含奖金)</v>
          </cell>
          <cell r="O762" t="str">
            <v>USD/小时</v>
          </cell>
          <cell r="P762">
            <v>112.2</v>
          </cell>
        </row>
        <row r="763">
          <cell r="A763" t="str">
            <v>France - Chinese employees - L3</v>
          </cell>
          <cell r="B763" t="str">
            <v>Current version</v>
          </cell>
          <cell r="C763" t="str">
            <v>V2009R2</v>
          </cell>
          <cell r="D763" t="str">
            <v>Labor Rate</v>
          </cell>
          <cell r="E763" t="str">
            <v>EU</v>
          </cell>
          <cell r="F763" t="str">
            <v>West European Sub-Regional Division</v>
          </cell>
          <cell r="G763" t="str">
            <v>France</v>
          </cell>
          <cell r="H763" t="str">
            <v>3604</v>
          </cell>
          <cell r="I763" t="str">
            <v>法国</v>
          </cell>
          <cell r="J763" t="str">
            <v>France</v>
          </cell>
          <cell r="K763" t="str">
            <v>Chinese employees</v>
          </cell>
          <cell r="L763" t="str">
            <v>L3</v>
          </cell>
          <cell r="M763" t="str">
            <v>ALL</v>
          </cell>
          <cell r="N763" t="str">
            <v>FLPC(含奖金)</v>
          </cell>
          <cell r="O763" t="str">
            <v>USD/小时</v>
          </cell>
          <cell r="P763">
            <v>130.04</v>
          </cell>
        </row>
        <row r="764">
          <cell r="A764" t="str">
            <v>France - Chinese employees - L4</v>
          </cell>
          <cell r="B764" t="str">
            <v>Current version</v>
          </cell>
          <cell r="C764" t="str">
            <v>V2009R2</v>
          </cell>
          <cell r="D764" t="str">
            <v>Labor Rate</v>
          </cell>
          <cell r="E764" t="str">
            <v>EU</v>
          </cell>
          <cell r="F764" t="str">
            <v>West European Sub-Regional Division</v>
          </cell>
          <cell r="G764" t="str">
            <v>France</v>
          </cell>
          <cell r="H764" t="str">
            <v>3604</v>
          </cell>
          <cell r="I764" t="str">
            <v>法国</v>
          </cell>
          <cell r="J764" t="str">
            <v>France</v>
          </cell>
          <cell r="K764" t="str">
            <v>Chinese employees</v>
          </cell>
          <cell r="L764" t="str">
            <v>L4</v>
          </cell>
          <cell r="M764" t="str">
            <v>ALL</v>
          </cell>
          <cell r="N764" t="str">
            <v>FLPC(含奖金)</v>
          </cell>
          <cell r="O764" t="str">
            <v>USD/小时</v>
          </cell>
          <cell r="P764">
            <v>220.46</v>
          </cell>
        </row>
        <row r="765">
          <cell r="A765" t="str">
            <v>Latvia - Chinese employees - L0</v>
          </cell>
          <cell r="B765" t="str">
            <v>Current version</v>
          </cell>
          <cell r="C765" t="str">
            <v>V2009R2</v>
          </cell>
          <cell r="D765" t="str">
            <v>Labor Rate</v>
          </cell>
          <cell r="E765" t="str">
            <v>EU</v>
          </cell>
          <cell r="F765" t="str">
            <v>CEE&amp;Nordic European Sub-Regional Division</v>
          </cell>
          <cell r="G765" t="str">
            <v>Sweden Rep.Office</v>
          </cell>
          <cell r="H765" t="str">
            <v>3303</v>
          </cell>
          <cell r="I765" t="str">
            <v>拉脱维亚</v>
          </cell>
          <cell r="J765" t="str">
            <v>Latvia</v>
          </cell>
          <cell r="K765" t="str">
            <v>Chinese employees</v>
          </cell>
          <cell r="L765" t="str">
            <v>L0</v>
          </cell>
          <cell r="M765" t="str">
            <v>ALL</v>
          </cell>
          <cell r="N765" t="str">
            <v>FLPC(含奖金)</v>
          </cell>
          <cell r="O765" t="str">
            <v>USD/小时</v>
          </cell>
          <cell r="P765">
            <v>66.69</v>
          </cell>
        </row>
        <row r="766">
          <cell r="A766" t="str">
            <v>Latvia - Chinese employees - L1</v>
          </cell>
          <cell r="B766" t="str">
            <v>Current version</v>
          </cell>
          <cell r="C766" t="str">
            <v>V2009R2</v>
          </cell>
          <cell r="D766" t="str">
            <v>Labor Rate</v>
          </cell>
          <cell r="E766" t="str">
            <v>EU</v>
          </cell>
          <cell r="F766" t="str">
            <v>CEE&amp;Nordic European Sub-Regional Division</v>
          </cell>
          <cell r="G766" t="str">
            <v>Sweden Rep.Office</v>
          </cell>
          <cell r="H766" t="str">
            <v>3303</v>
          </cell>
          <cell r="I766" t="str">
            <v>拉脱维亚</v>
          </cell>
          <cell r="J766" t="str">
            <v>Latvia</v>
          </cell>
          <cell r="K766" t="str">
            <v>Chinese employees</v>
          </cell>
          <cell r="L766" t="str">
            <v>L1</v>
          </cell>
          <cell r="M766" t="str">
            <v>ALL</v>
          </cell>
          <cell r="N766" t="str">
            <v>FLPC(含奖金)</v>
          </cell>
          <cell r="O766" t="str">
            <v>USD/小时</v>
          </cell>
          <cell r="P766">
            <v>73.14</v>
          </cell>
        </row>
        <row r="767">
          <cell r="A767" t="str">
            <v>Latvia - Chinese employees - L2</v>
          </cell>
          <cell r="B767" t="str">
            <v>Current version</v>
          </cell>
          <cell r="C767" t="str">
            <v>V2009R2</v>
          </cell>
          <cell r="D767" t="str">
            <v>Labor Rate</v>
          </cell>
          <cell r="E767" t="str">
            <v>EU</v>
          </cell>
          <cell r="F767" t="str">
            <v>CEE&amp;Nordic European Sub-Regional Division</v>
          </cell>
          <cell r="G767" t="str">
            <v>Sweden Rep.Office</v>
          </cell>
          <cell r="H767" t="str">
            <v>3303</v>
          </cell>
          <cell r="I767" t="str">
            <v>拉脱维亚</v>
          </cell>
          <cell r="J767" t="str">
            <v>Latvia</v>
          </cell>
          <cell r="K767" t="str">
            <v>Chinese employees</v>
          </cell>
          <cell r="L767" t="str">
            <v>L2</v>
          </cell>
          <cell r="M767" t="str">
            <v>ALL</v>
          </cell>
          <cell r="N767" t="str">
            <v>FLPC(含奖金)</v>
          </cell>
          <cell r="O767" t="str">
            <v>USD/小时</v>
          </cell>
          <cell r="P767">
            <v>81.5</v>
          </cell>
        </row>
        <row r="768">
          <cell r="A768" t="str">
            <v>Latvia - Chinese employees - L3</v>
          </cell>
          <cell r="B768" t="str">
            <v>Current version</v>
          </cell>
          <cell r="C768" t="str">
            <v>V2009R2</v>
          </cell>
          <cell r="D768" t="str">
            <v>Labor Rate</v>
          </cell>
          <cell r="E768" t="str">
            <v>EU</v>
          </cell>
          <cell r="F768" t="str">
            <v>CEE&amp;Nordic European Sub-Regional Division</v>
          </cell>
          <cell r="G768" t="str">
            <v>Sweden Rep.Office</v>
          </cell>
          <cell r="H768" t="str">
            <v>3303</v>
          </cell>
          <cell r="I768" t="str">
            <v>拉脱维亚</v>
          </cell>
          <cell r="J768" t="str">
            <v>Latvia</v>
          </cell>
          <cell r="K768" t="str">
            <v>Chinese employees</v>
          </cell>
          <cell r="L768" t="str">
            <v>L3</v>
          </cell>
          <cell r="M768" t="str">
            <v>ALL</v>
          </cell>
          <cell r="N768" t="str">
            <v>FLPC(含奖金)</v>
          </cell>
          <cell r="O768" t="str">
            <v>USD/小时</v>
          </cell>
          <cell r="P768">
            <v>93.47</v>
          </cell>
        </row>
        <row r="769">
          <cell r="A769" t="str">
            <v>Latvia - Chinese employees - L4</v>
          </cell>
          <cell r="B769" t="str">
            <v>Current version</v>
          </cell>
          <cell r="C769" t="str">
            <v>V2009R2</v>
          </cell>
          <cell r="D769" t="str">
            <v>Labor Rate</v>
          </cell>
          <cell r="E769" t="str">
            <v>EU</v>
          </cell>
          <cell r="F769" t="str">
            <v>CEE&amp;Nordic European Sub-Regional Division</v>
          </cell>
          <cell r="G769" t="str">
            <v>Sweden Rep.Office</v>
          </cell>
          <cell r="H769" t="str">
            <v>3303</v>
          </cell>
          <cell r="I769" t="str">
            <v>拉脱维亚</v>
          </cell>
          <cell r="J769" t="str">
            <v>Latvia</v>
          </cell>
          <cell r="K769" t="str">
            <v>Chinese employees</v>
          </cell>
          <cell r="L769" t="str">
            <v>L4</v>
          </cell>
          <cell r="M769" t="str">
            <v>ALL</v>
          </cell>
          <cell r="N769" t="str">
            <v>FLPC(含奖金)</v>
          </cell>
          <cell r="O769" t="str">
            <v>USD/小时</v>
          </cell>
          <cell r="P769">
            <v>136.61000000000001</v>
          </cell>
        </row>
        <row r="770">
          <cell r="A770" t="str">
            <v>Lithuania - Chinese employees - L0</v>
          </cell>
          <cell r="B770" t="str">
            <v>Current version</v>
          </cell>
          <cell r="C770" t="str">
            <v>V2009R2</v>
          </cell>
          <cell r="D770" t="str">
            <v>Labor Rate</v>
          </cell>
          <cell r="E770" t="str">
            <v>EU</v>
          </cell>
          <cell r="F770" t="str">
            <v>CEE&amp;Nordic European Sub-Regional Division</v>
          </cell>
          <cell r="G770" t="str">
            <v>Sweden Rep.Office</v>
          </cell>
          <cell r="H770" t="str">
            <v>3304</v>
          </cell>
          <cell r="I770" t="str">
            <v>立陶宛</v>
          </cell>
          <cell r="J770" t="str">
            <v>Lithuania</v>
          </cell>
          <cell r="K770" t="str">
            <v>Chinese employees</v>
          </cell>
          <cell r="L770" t="str">
            <v>L0</v>
          </cell>
          <cell r="M770" t="str">
            <v>ALL</v>
          </cell>
          <cell r="N770" t="str">
            <v>FLPC(含奖金)</v>
          </cell>
          <cell r="O770" t="str">
            <v>USD/小时</v>
          </cell>
          <cell r="P770">
            <v>70.400000000000006</v>
          </cell>
        </row>
        <row r="771">
          <cell r="A771" t="str">
            <v>Lithuania - Chinese employees - L1</v>
          </cell>
          <cell r="B771" t="str">
            <v>Current version</v>
          </cell>
          <cell r="C771" t="str">
            <v>V2009R2</v>
          </cell>
          <cell r="D771" t="str">
            <v>Labor Rate</v>
          </cell>
          <cell r="E771" t="str">
            <v>EU</v>
          </cell>
          <cell r="F771" t="str">
            <v>CEE&amp;Nordic European Sub-Regional Division</v>
          </cell>
          <cell r="G771" t="str">
            <v>Sweden Rep.Office</v>
          </cell>
          <cell r="H771" t="str">
            <v>3304</v>
          </cell>
          <cell r="I771" t="str">
            <v>立陶宛</v>
          </cell>
          <cell r="J771" t="str">
            <v>Lithuania</v>
          </cell>
          <cell r="K771" t="str">
            <v>Chinese employees</v>
          </cell>
          <cell r="L771" t="str">
            <v>L1</v>
          </cell>
          <cell r="M771" t="str">
            <v>ALL</v>
          </cell>
          <cell r="N771" t="str">
            <v>FLPC(含奖金)</v>
          </cell>
          <cell r="O771" t="str">
            <v>USD/小时</v>
          </cell>
          <cell r="P771">
            <v>77.040000000000006</v>
          </cell>
        </row>
        <row r="772">
          <cell r="A772" t="str">
            <v>Lithuania - Chinese employees - L2</v>
          </cell>
          <cell r="B772" t="str">
            <v>Current version</v>
          </cell>
          <cell r="C772" t="str">
            <v>V2009R2</v>
          </cell>
          <cell r="D772" t="str">
            <v>Labor Rate</v>
          </cell>
          <cell r="E772" t="str">
            <v>EU</v>
          </cell>
          <cell r="F772" t="str">
            <v>CEE&amp;Nordic European Sub-Regional Division</v>
          </cell>
          <cell r="G772" t="str">
            <v>Sweden Rep.Office</v>
          </cell>
          <cell r="H772" t="str">
            <v>3304</v>
          </cell>
          <cell r="I772" t="str">
            <v>立陶宛</v>
          </cell>
          <cell r="J772" t="str">
            <v>Lithuania</v>
          </cell>
          <cell r="K772" t="str">
            <v>Chinese employees</v>
          </cell>
          <cell r="L772" t="str">
            <v>L2</v>
          </cell>
          <cell r="M772" t="str">
            <v>ALL</v>
          </cell>
          <cell r="N772" t="str">
            <v>FLPC(含奖金)</v>
          </cell>
          <cell r="O772" t="str">
            <v>USD/小时</v>
          </cell>
          <cell r="P772">
            <v>85.65</v>
          </cell>
        </row>
        <row r="773">
          <cell r="A773" t="str">
            <v>Lithuania - Chinese employees - L3</v>
          </cell>
          <cell r="B773" t="str">
            <v>Current version</v>
          </cell>
          <cell r="C773" t="str">
            <v>V2009R2</v>
          </cell>
          <cell r="D773" t="str">
            <v>Labor Rate</v>
          </cell>
          <cell r="E773" t="str">
            <v>EU</v>
          </cell>
          <cell r="F773" t="str">
            <v>CEE&amp;Nordic European Sub-Regional Division</v>
          </cell>
          <cell r="G773" t="str">
            <v>Sweden Rep.Office</v>
          </cell>
          <cell r="H773" t="str">
            <v>3304</v>
          </cell>
          <cell r="I773" t="str">
            <v>立陶宛</v>
          </cell>
          <cell r="J773" t="str">
            <v>Lithuania</v>
          </cell>
          <cell r="K773" t="str">
            <v>Chinese employees</v>
          </cell>
          <cell r="L773" t="str">
            <v>L3</v>
          </cell>
          <cell r="M773" t="str">
            <v>ALL</v>
          </cell>
          <cell r="N773" t="str">
            <v>FLPC(含奖金)</v>
          </cell>
          <cell r="O773" t="str">
            <v>USD/小时</v>
          </cell>
          <cell r="P773">
            <v>97.97</v>
          </cell>
        </row>
        <row r="774">
          <cell r="A774" t="str">
            <v>Lithuania - Chinese employees - L4</v>
          </cell>
          <cell r="B774" t="str">
            <v>Current version</v>
          </cell>
          <cell r="C774" t="str">
            <v>V2009R2</v>
          </cell>
          <cell r="D774" t="str">
            <v>Labor Rate</v>
          </cell>
          <cell r="E774" t="str">
            <v>EU</v>
          </cell>
          <cell r="F774" t="str">
            <v>CEE&amp;Nordic European Sub-Regional Division</v>
          </cell>
          <cell r="G774" t="str">
            <v>Sweden Rep.Office</v>
          </cell>
          <cell r="H774" t="str">
            <v>3304</v>
          </cell>
          <cell r="I774" t="str">
            <v>立陶宛</v>
          </cell>
          <cell r="J774" t="str">
            <v>Lithuania</v>
          </cell>
          <cell r="K774" t="str">
            <v>Chinese employees</v>
          </cell>
          <cell r="L774" t="str">
            <v>L4</v>
          </cell>
          <cell r="M774" t="str">
            <v>ALL</v>
          </cell>
          <cell r="N774" t="str">
            <v>FLPC(含奖金)</v>
          </cell>
          <cell r="O774" t="str">
            <v>USD/小时</v>
          </cell>
          <cell r="P774">
            <v>142.36000000000001</v>
          </cell>
        </row>
        <row r="775">
          <cell r="A775" t="str">
            <v>Esthonian - Chinese employees - L0</v>
          </cell>
          <cell r="B775" t="str">
            <v>Current version</v>
          </cell>
          <cell r="C775" t="str">
            <v>V2009R2</v>
          </cell>
          <cell r="D775" t="str">
            <v>Labor Rate</v>
          </cell>
          <cell r="E775" t="str">
            <v>EU</v>
          </cell>
          <cell r="F775" t="str">
            <v>CEE&amp;Nordic European Sub-Regional Division</v>
          </cell>
          <cell r="G775" t="str">
            <v>Sweden Rep.Office</v>
          </cell>
          <cell r="H775" t="str">
            <v>3305</v>
          </cell>
          <cell r="I775" t="str">
            <v>爱沙尼亚</v>
          </cell>
          <cell r="J775" t="str">
            <v>Esthonian</v>
          </cell>
          <cell r="K775" t="str">
            <v>Chinese employees</v>
          </cell>
          <cell r="L775" t="str">
            <v>L0</v>
          </cell>
          <cell r="M775" t="str">
            <v>ALL</v>
          </cell>
          <cell r="N775" t="str">
            <v>FLPC(含奖金)</v>
          </cell>
          <cell r="O775" t="str">
            <v>USD/小时</v>
          </cell>
          <cell r="P775">
            <v>70.7</v>
          </cell>
        </row>
        <row r="776">
          <cell r="A776" t="str">
            <v>Esthonian - Chinese employees - L1</v>
          </cell>
          <cell r="B776" t="str">
            <v>Current version</v>
          </cell>
          <cell r="C776" t="str">
            <v>V2009R2</v>
          </cell>
          <cell r="D776" t="str">
            <v>Labor Rate</v>
          </cell>
          <cell r="E776" t="str">
            <v>EU</v>
          </cell>
          <cell r="F776" t="str">
            <v>CEE&amp;Nordic European Sub-Regional Division</v>
          </cell>
          <cell r="G776" t="str">
            <v>Sweden Rep.Office</v>
          </cell>
          <cell r="H776" t="str">
            <v>3305</v>
          </cell>
          <cell r="I776" t="str">
            <v>爱沙尼亚</v>
          </cell>
          <cell r="J776" t="str">
            <v>Esthonian</v>
          </cell>
          <cell r="K776" t="str">
            <v>Chinese employees</v>
          </cell>
          <cell r="L776" t="str">
            <v>L1</v>
          </cell>
          <cell r="M776" t="str">
            <v>ALL</v>
          </cell>
          <cell r="N776" t="str">
            <v>FLPC(含奖金)</v>
          </cell>
          <cell r="O776" t="str">
            <v>USD/小时</v>
          </cell>
          <cell r="P776">
            <v>77.37</v>
          </cell>
        </row>
        <row r="777">
          <cell r="A777" t="str">
            <v>Esthonian - Chinese employees - L2</v>
          </cell>
          <cell r="B777" t="str">
            <v>Current version</v>
          </cell>
          <cell r="C777" t="str">
            <v>V2009R2</v>
          </cell>
          <cell r="D777" t="str">
            <v>Labor Rate</v>
          </cell>
          <cell r="E777" t="str">
            <v>EU</v>
          </cell>
          <cell r="F777" t="str">
            <v>CEE&amp;Nordic European Sub-Regional Division</v>
          </cell>
          <cell r="G777" t="str">
            <v>Sweden Rep.Office</v>
          </cell>
          <cell r="H777" t="str">
            <v>3305</v>
          </cell>
          <cell r="I777" t="str">
            <v>爱沙尼亚</v>
          </cell>
          <cell r="J777" t="str">
            <v>Esthonian</v>
          </cell>
          <cell r="K777" t="str">
            <v>Chinese employees</v>
          </cell>
          <cell r="L777" t="str">
            <v>L2</v>
          </cell>
          <cell r="M777" t="str">
            <v>ALL</v>
          </cell>
          <cell r="N777" t="str">
            <v>FLPC(含奖金)</v>
          </cell>
          <cell r="O777" t="str">
            <v>USD/小时</v>
          </cell>
          <cell r="P777">
            <v>86.01</v>
          </cell>
        </row>
        <row r="778">
          <cell r="A778" t="str">
            <v>Esthonian - Chinese employees - L3</v>
          </cell>
          <cell r="B778" t="str">
            <v>Current version</v>
          </cell>
          <cell r="C778" t="str">
            <v>V2009R2</v>
          </cell>
          <cell r="D778" t="str">
            <v>Labor Rate</v>
          </cell>
          <cell r="E778" t="str">
            <v>EU</v>
          </cell>
          <cell r="F778" t="str">
            <v>CEE&amp;Nordic European Sub-Regional Division</v>
          </cell>
          <cell r="G778" t="str">
            <v>Sweden Rep.Office</v>
          </cell>
          <cell r="H778" t="str">
            <v>3305</v>
          </cell>
          <cell r="I778" t="str">
            <v>爱沙尼亚</v>
          </cell>
          <cell r="J778" t="str">
            <v>Esthonian</v>
          </cell>
          <cell r="K778" t="str">
            <v>Chinese employees</v>
          </cell>
          <cell r="L778" t="str">
            <v>L3</v>
          </cell>
          <cell r="M778" t="str">
            <v>ALL</v>
          </cell>
          <cell r="N778" t="str">
            <v>FLPC(含奖金)</v>
          </cell>
          <cell r="O778" t="str">
            <v>USD/小时</v>
          </cell>
          <cell r="P778">
            <v>98.38</v>
          </cell>
        </row>
        <row r="779">
          <cell r="A779" t="str">
            <v>Esthonian - Chinese employees - L4</v>
          </cell>
          <cell r="B779" t="str">
            <v>Current version</v>
          </cell>
          <cell r="C779" t="str">
            <v>V2009R2</v>
          </cell>
          <cell r="D779" t="str">
            <v>Labor Rate</v>
          </cell>
          <cell r="E779" t="str">
            <v>EU</v>
          </cell>
          <cell r="F779" t="str">
            <v>CEE&amp;Nordic European Sub-Regional Division</v>
          </cell>
          <cell r="G779" t="str">
            <v>Sweden Rep.Office</v>
          </cell>
          <cell r="H779" t="str">
            <v>3305</v>
          </cell>
          <cell r="I779" t="str">
            <v>爱沙尼亚</v>
          </cell>
          <cell r="J779" t="str">
            <v>Esthonian</v>
          </cell>
          <cell r="K779" t="str">
            <v>Chinese employees</v>
          </cell>
          <cell r="L779" t="str">
            <v>L4</v>
          </cell>
          <cell r="M779" t="str">
            <v>ALL</v>
          </cell>
          <cell r="N779" t="str">
            <v>FLPC(含奖金)</v>
          </cell>
          <cell r="O779" t="str">
            <v>USD/小时</v>
          </cell>
          <cell r="P779">
            <v>142.96</v>
          </cell>
        </row>
        <row r="780">
          <cell r="A780" t="str">
            <v>Sweden - Chinese employees - L0</v>
          </cell>
          <cell r="B780" t="str">
            <v>Current version</v>
          </cell>
          <cell r="C780" t="str">
            <v>V2009R2</v>
          </cell>
          <cell r="D780" t="str">
            <v>Labor Rate</v>
          </cell>
          <cell r="E780" t="str">
            <v>EU</v>
          </cell>
          <cell r="F780" t="str">
            <v>CEE&amp;Nordic European Sub-Regional Division</v>
          </cell>
          <cell r="G780" t="str">
            <v>Sweden Rep.Office</v>
          </cell>
          <cell r="H780" t="str">
            <v>3607</v>
          </cell>
          <cell r="I780" t="str">
            <v>瑞典</v>
          </cell>
          <cell r="J780" t="str">
            <v>Sweden</v>
          </cell>
          <cell r="K780" t="str">
            <v>Chinese employees</v>
          </cell>
          <cell r="L780" t="str">
            <v>L0</v>
          </cell>
          <cell r="M780" t="str">
            <v>ALL</v>
          </cell>
          <cell r="N780" t="str">
            <v>FLPC(含奖金)</v>
          </cell>
          <cell r="O780" t="str">
            <v>USD/小时</v>
          </cell>
          <cell r="P780">
            <v>82.56</v>
          </cell>
        </row>
        <row r="781">
          <cell r="A781" t="str">
            <v>Sweden - Chinese employees - L1</v>
          </cell>
          <cell r="B781" t="str">
            <v>Current version</v>
          </cell>
          <cell r="C781" t="str">
            <v>V2009R2</v>
          </cell>
          <cell r="D781" t="str">
            <v>Labor Rate</v>
          </cell>
          <cell r="E781" t="str">
            <v>EU</v>
          </cell>
          <cell r="F781" t="str">
            <v>CEE&amp;Nordic European Sub-Regional Division</v>
          </cell>
          <cell r="G781" t="str">
            <v>Sweden Rep.Office</v>
          </cell>
          <cell r="H781" t="str">
            <v>3607</v>
          </cell>
          <cell r="I781" t="str">
            <v>瑞典</v>
          </cell>
          <cell r="J781" t="str">
            <v>Sweden</v>
          </cell>
          <cell r="K781" t="str">
            <v>Chinese employees</v>
          </cell>
          <cell r="L781" t="str">
            <v>L1</v>
          </cell>
          <cell r="M781" t="str">
            <v>ALL</v>
          </cell>
          <cell r="N781" t="str">
            <v>FLPC(含奖金)</v>
          </cell>
          <cell r="O781" t="str">
            <v>USD/小时</v>
          </cell>
          <cell r="P781">
            <v>89.3</v>
          </cell>
        </row>
        <row r="782">
          <cell r="A782" t="str">
            <v>Sweden - Chinese employees - L2</v>
          </cell>
          <cell r="B782" t="str">
            <v>Current version</v>
          </cell>
          <cell r="C782" t="str">
            <v>V2009R2</v>
          </cell>
          <cell r="D782" t="str">
            <v>Labor Rate</v>
          </cell>
          <cell r="E782" t="str">
            <v>EU</v>
          </cell>
          <cell r="F782" t="str">
            <v>CEE&amp;Nordic European Sub-Regional Division</v>
          </cell>
          <cell r="G782" t="str">
            <v>Sweden Rep.Office</v>
          </cell>
          <cell r="H782" t="str">
            <v>3607</v>
          </cell>
          <cell r="I782" t="str">
            <v>瑞典</v>
          </cell>
          <cell r="J782" t="str">
            <v>Sweden</v>
          </cell>
          <cell r="K782" t="str">
            <v>Chinese employees</v>
          </cell>
          <cell r="L782" t="str">
            <v>L2</v>
          </cell>
          <cell r="M782" t="str">
            <v>ALL</v>
          </cell>
          <cell r="N782" t="str">
            <v>FLPC(含奖金)</v>
          </cell>
          <cell r="O782" t="str">
            <v>USD/小时</v>
          </cell>
          <cell r="P782">
            <v>97.96</v>
          </cell>
        </row>
        <row r="783">
          <cell r="A783" t="str">
            <v>Sweden - Chinese employees - L3</v>
          </cell>
          <cell r="B783" t="str">
            <v>Current version</v>
          </cell>
          <cell r="C783" t="str">
            <v>V2009R2</v>
          </cell>
          <cell r="D783" t="str">
            <v>Labor Rate</v>
          </cell>
          <cell r="E783" t="str">
            <v>EU</v>
          </cell>
          <cell r="F783" t="str">
            <v>CEE&amp;Nordic European Sub-Regional Division</v>
          </cell>
          <cell r="G783" t="str">
            <v>Sweden Rep.Office</v>
          </cell>
          <cell r="H783" t="str">
            <v>3607</v>
          </cell>
          <cell r="I783" t="str">
            <v>瑞典</v>
          </cell>
          <cell r="J783" t="str">
            <v>Sweden</v>
          </cell>
          <cell r="K783" t="str">
            <v>Chinese employees</v>
          </cell>
          <cell r="L783" t="str">
            <v>L3</v>
          </cell>
          <cell r="M783" t="str">
            <v>ALL</v>
          </cell>
          <cell r="N783" t="str">
            <v>FLPC(含奖金)</v>
          </cell>
          <cell r="O783" t="str">
            <v>USD/小时</v>
          </cell>
          <cell r="P783">
            <v>113.15</v>
          </cell>
        </row>
        <row r="784">
          <cell r="A784" t="str">
            <v>Sweden - Chinese employees - L4</v>
          </cell>
          <cell r="B784" t="str">
            <v>Current version</v>
          </cell>
          <cell r="C784" t="str">
            <v>V2009R2</v>
          </cell>
          <cell r="D784" t="str">
            <v>Labor Rate</v>
          </cell>
          <cell r="E784" t="str">
            <v>EU</v>
          </cell>
          <cell r="F784" t="str">
            <v>CEE&amp;Nordic European Sub-Regional Division</v>
          </cell>
          <cell r="G784" t="str">
            <v>Sweden Rep.Office</v>
          </cell>
          <cell r="H784" t="str">
            <v>3607</v>
          </cell>
          <cell r="I784" t="str">
            <v>瑞典</v>
          </cell>
          <cell r="J784" t="str">
            <v>Sweden</v>
          </cell>
          <cell r="K784" t="str">
            <v>Chinese employees</v>
          </cell>
          <cell r="L784" t="str">
            <v>L4</v>
          </cell>
          <cell r="M784" t="str">
            <v>ALL</v>
          </cell>
          <cell r="N784" t="str">
            <v>FLPC(含奖金)</v>
          </cell>
          <cell r="O784" t="str">
            <v>USD/小时</v>
          </cell>
          <cell r="P784">
            <v>185.41</v>
          </cell>
        </row>
        <row r="785">
          <cell r="A785" t="str">
            <v>Finland - Chinese employees - L0</v>
          </cell>
          <cell r="B785" t="str">
            <v>Current version</v>
          </cell>
          <cell r="C785" t="str">
            <v>V2009R2</v>
          </cell>
          <cell r="D785" t="str">
            <v>Labor Rate</v>
          </cell>
          <cell r="E785" t="str">
            <v>EU</v>
          </cell>
          <cell r="F785" t="str">
            <v>CEE&amp;Nordic European Sub-Regional Division</v>
          </cell>
          <cell r="G785" t="str">
            <v>Sweden Rep.Office</v>
          </cell>
          <cell r="H785" t="str">
            <v>3611</v>
          </cell>
          <cell r="I785" t="str">
            <v>芬兰</v>
          </cell>
          <cell r="J785" t="str">
            <v>Finland</v>
          </cell>
          <cell r="K785" t="str">
            <v>Chinese employees</v>
          </cell>
          <cell r="L785" t="str">
            <v>L0</v>
          </cell>
          <cell r="M785" t="str">
            <v>ALL</v>
          </cell>
          <cell r="N785" t="str">
            <v>FLPC(含奖金)</v>
          </cell>
          <cell r="O785" t="str">
            <v>USD/小时</v>
          </cell>
          <cell r="P785">
            <v>76.69</v>
          </cell>
        </row>
        <row r="786">
          <cell r="A786" t="str">
            <v>Finland - Chinese employees - L1</v>
          </cell>
          <cell r="B786" t="str">
            <v>Current version</v>
          </cell>
          <cell r="C786" t="str">
            <v>V2009R2</v>
          </cell>
          <cell r="D786" t="str">
            <v>Labor Rate</v>
          </cell>
          <cell r="E786" t="str">
            <v>EU</v>
          </cell>
          <cell r="F786" t="str">
            <v>CEE&amp;Nordic European Sub-Regional Division</v>
          </cell>
          <cell r="G786" t="str">
            <v>Sweden Rep.Office</v>
          </cell>
          <cell r="H786" t="str">
            <v>3611</v>
          </cell>
          <cell r="I786" t="str">
            <v>芬兰</v>
          </cell>
          <cell r="J786" t="str">
            <v>Finland</v>
          </cell>
          <cell r="K786" t="str">
            <v>Chinese employees</v>
          </cell>
          <cell r="L786" t="str">
            <v>L1</v>
          </cell>
          <cell r="M786" t="str">
            <v>ALL</v>
          </cell>
          <cell r="N786" t="str">
            <v>FLPC(含奖金)</v>
          </cell>
          <cell r="O786" t="str">
            <v>USD/小时</v>
          </cell>
          <cell r="P786">
            <v>83.33</v>
          </cell>
        </row>
        <row r="787">
          <cell r="A787" t="str">
            <v>Finland - Chinese employees - L2</v>
          </cell>
          <cell r="B787" t="str">
            <v>Current version</v>
          </cell>
          <cell r="C787" t="str">
            <v>V2009R2</v>
          </cell>
          <cell r="D787" t="str">
            <v>Labor Rate</v>
          </cell>
          <cell r="E787" t="str">
            <v>EU</v>
          </cell>
          <cell r="F787" t="str">
            <v>CEE&amp;Nordic European Sub-Regional Division</v>
          </cell>
          <cell r="G787" t="str">
            <v>Sweden Rep.Office</v>
          </cell>
          <cell r="H787" t="str">
            <v>3611</v>
          </cell>
          <cell r="I787" t="str">
            <v>芬兰</v>
          </cell>
          <cell r="J787" t="str">
            <v>Finland</v>
          </cell>
          <cell r="K787" t="str">
            <v>Chinese employees</v>
          </cell>
          <cell r="L787" t="str">
            <v>L2</v>
          </cell>
          <cell r="M787" t="str">
            <v>ALL</v>
          </cell>
          <cell r="N787" t="str">
            <v>FLPC(含奖金)</v>
          </cell>
          <cell r="O787" t="str">
            <v>USD/小时</v>
          </cell>
          <cell r="P787">
            <v>94.28</v>
          </cell>
        </row>
        <row r="788">
          <cell r="A788" t="str">
            <v>Finland - Chinese employees - L3</v>
          </cell>
          <cell r="B788" t="str">
            <v>Current version</v>
          </cell>
          <cell r="C788" t="str">
            <v>V2009R2</v>
          </cell>
          <cell r="D788" t="str">
            <v>Labor Rate</v>
          </cell>
          <cell r="E788" t="str">
            <v>EU</v>
          </cell>
          <cell r="F788" t="str">
            <v>CEE&amp;Nordic European Sub-Regional Division</v>
          </cell>
          <cell r="G788" t="str">
            <v>Sweden Rep.Office</v>
          </cell>
          <cell r="H788" t="str">
            <v>3611</v>
          </cell>
          <cell r="I788" t="str">
            <v>芬兰</v>
          </cell>
          <cell r="J788" t="str">
            <v>Finland</v>
          </cell>
          <cell r="K788" t="str">
            <v>Chinese employees</v>
          </cell>
          <cell r="L788" t="str">
            <v>L3</v>
          </cell>
          <cell r="M788" t="str">
            <v>ALL</v>
          </cell>
          <cell r="N788" t="str">
            <v>FLPC(含奖金)</v>
          </cell>
          <cell r="O788" t="str">
            <v>USD/小时</v>
          </cell>
          <cell r="P788">
            <v>104.29</v>
          </cell>
        </row>
        <row r="789">
          <cell r="A789" t="str">
            <v>Finland - Chinese employees - L4</v>
          </cell>
          <cell r="B789" t="str">
            <v>Current version</v>
          </cell>
          <cell r="C789" t="str">
            <v>V2009R2</v>
          </cell>
          <cell r="D789" t="str">
            <v>Labor Rate</v>
          </cell>
          <cell r="E789" t="str">
            <v>EU</v>
          </cell>
          <cell r="F789" t="str">
            <v>CEE&amp;Nordic European Sub-Regional Division</v>
          </cell>
          <cell r="G789" t="str">
            <v>Sweden Rep.Office</v>
          </cell>
          <cell r="H789" t="str">
            <v>3611</v>
          </cell>
          <cell r="I789" t="str">
            <v>芬兰</v>
          </cell>
          <cell r="J789" t="str">
            <v>Finland</v>
          </cell>
          <cell r="K789" t="str">
            <v>Chinese employees</v>
          </cell>
          <cell r="L789" t="str">
            <v>L4</v>
          </cell>
          <cell r="M789" t="str">
            <v>ALL</v>
          </cell>
          <cell r="N789" t="str">
            <v>FLPC(含奖金)</v>
          </cell>
          <cell r="O789" t="str">
            <v>USD/小时</v>
          </cell>
          <cell r="P789">
            <v>149.44</v>
          </cell>
        </row>
        <row r="790">
          <cell r="A790" t="str">
            <v>Norway - Chinese employees - L0</v>
          </cell>
          <cell r="B790" t="str">
            <v>Current version</v>
          </cell>
          <cell r="C790" t="str">
            <v>V2009R2</v>
          </cell>
          <cell r="D790" t="str">
            <v>Labor Rate</v>
          </cell>
          <cell r="E790" t="str">
            <v>EU</v>
          </cell>
          <cell r="F790" t="str">
            <v>CEE&amp;Nordic European Sub-Regional Division</v>
          </cell>
          <cell r="G790" t="str">
            <v>Sweden Rep.Office</v>
          </cell>
          <cell r="H790" t="str">
            <v>3614</v>
          </cell>
          <cell r="I790" t="str">
            <v>挪威</v>
          </cell>
          <cell r="J790" t="str">
            <v>Norway</v>
          </cell>
          <cell r="K790" t="str">
            <v>Chinese employees</v>
          </cell>
          <cell r="L790" t="str">
            <v>L0</v>
          </cell>
          <cell r="M790" t="str">
            <v>ALL</v>
          </cell>
          <cell r="N790" t="str">
            <v>FLPC(含奖金)</v>
          </cell>
          <cell r="O790" t="str">
            <v>USD/小时</v>
          </cell>
          <cell r="P790">
            <v>100.53</v>
          </cell>
        </row>
        <row r="791">
          <cell r="A791" t="str">
            <v>Norway - Chinese employees - L1</v>
          </cell>
          <cell r="B791" t="str">
            <v>Current version</v>
          </cell>
          <cell r="C791" t="str">
            <v>V2009R2</v>
          </cell>
          <cell r="D791" t="str">
            <v>Labor Rate</v>
          </cell>
          <cell r="E791" t="str">
            <v>EU</v>
          </cell>
          <cell r="F791" t="str">
            <v>CEE&amp;Nordic European Sub-Regional Division</v>
          </cell>
          <cell r="G791" t="str">
            <v>Sweden Rep.Office</v>
          </cell>
          <cell r="H791" t="str">
            <v>3614</v>
          </cell>
          <cell r="I791" t="str">
            <v>挪威</v>
          </cell>
          <cell r="J791" t="str">
            <v>Norway</v>
          </cell>
          <cell r="K791" t="str">
            <v>Chinese employees</v>
          </cell>
          <cell r="L791" t="str">
            <v>L1</v>
          </cell>
          <cell r="M791" t="str">
            <v>ALL</v>
          </cell>
          <cell r="N791" t="str">
            <v>FLPC(含奖金)</v>
          </cell>
          <cell r="O791" t="str">
            <v>USD/小时</v>
          </cell>
          <cell r="P791">
            <v>107.11</v>
          </cell>
        </row>
        <row r="792">
          <cell r="A792" t="str">
            <v>Norway - Chinese employees - L2</v>
          </cell>
          <cell r="B792" t="str">
            <v>Current version</v>
          </cell>
          <cell r="C792" t="str">
            <v>V2009R2</v>
          </cell>
          <cell r="D792" t="str">
            <v>Labor Rate</v>
          </cell>
          <cell r="E792" t="str">
            <v>EU</v>
          </cell>
          <cell r="F792" t="str">
            <v>CEE&amp;Nordic European Sub-Regional Division</v>
          </cell>
          <cell r="G792" t="str">
            <v>Sweden Rep.Office</v>
          </cell>
          <cell r="H792" t="str">
            <v>3614</v>
          </cell>
          <cell r="I792" t="str">
            <v>挪威</v>
          </cell>
          <cell r="J792" t="str">
            <v>Norway</v>
          </cell>
          <cell r="K792" t="str">
            <v>Chinese employees</v>
          </cell>
          <cell r="L792" t="str">
            <v>L2</v>
          </cell>
          <cell r="M792" t="str">
            <v>ALL</v>
          </cell>
          <cell r="N792" t="str">
            <v>FLPC(含奖金)</v>
          </cell>
          <cell r="O792" t="str">
            <v>USD/小时</v>
          </cell>
          <cell r="P792">
            <v>115.65</v>
          </cell>
        </row>
        <row r="793">
          <cell r="A793" t="str">
            <v>Norway - Chinese employees - L3</v>
          </cell>
          <cell r="B793" t="str">
            <v>Current version</v>
          </cell>
          <cell r="C793" t="str">
            <v>V2009R2</v>
          </cell>
          <cell r="D793" t="str">
            <v>Labor Rate</v>
          </cell>
          <cell r="E793" t="str">
            <v>EU</v>
          </cell>
          <cell r="F793" t="str">
            <v>CEE&amp;Nordic European Sub-Regional Division</v>
          </cell>
          <cell r="G793" t="str">
            <v>Sweden Rep.Office</v>
          </cell>
          <cell r="H793" t="str">
            <v>3614</v>
          </cell>
          <cell r="I793" t="str">
            <v>挪威</v>
          </cell>
          <cell r="J793" t="str">
            <v>Norway</v>
          </cell>
          <cell r="K793" t="str">
            <v>Chinese employees</v>
          </cell>
          <cell r="L793" t="str">
            <v>L3</v>
          </cell>
          <cell r="M793" t="str">
            <v>ALL</v>
          </cell>
          <cell r="N793" t="str">
            <v>FLPC(含奖金)</v>
          </cell>
          <cell r="O793" t="str">
            <v>USD/小时</v>
          </cell>
          <cell r="P793">
            <v>127.87</v>
          </cell>
        </row>
        <row r="794">
          <cell r="A794" t="str">
            <v>Norway - Chinese employees - L4</v>
          </cell>
          <cell r="B794" t="str">
            <v>Current version</v>
          </cell>
          <cell r="C794" t="str">
            <v>V2009R2</v>
          </cell>
          <cell r="D794" t="str">
            <v>Labor Rate</v>
          </cell>
          <cell r="E794" t="str">
            <v>EU</v>
          </cell>
          <cell r="F794" t="str">
            <v>CEE&amp;Nordic European Sub-Regional Division</v>
          </cell>
          <cell r="G794" t="str">
            <v>Sweden Rep.Office</v>
          </cell>
          <cell r="H794" t="str">
            <v>3614</v>
          </cell>
          <cell r="I794" t="str">
            <v>挪威</v>
          </cell>
          <cell r="J794" t="str">
            <v>Norway</v>
          </cell>
          <cell r="K794" t="str">
            <v>Chinese employees</v>
          </cell>
          <cell r="L794" t="str">
            <v>L4</v>
          </cell>
          <cell r="M794" t="str">
            <v>ALL</v>
          </cell>
          <cell r="N794" t="str">
            <v>FLPC(含奖金)</v>
          </cell>
          <cell r="O794" t="str">
            <v>USD/小时</v>
          </cell>
          <cell r="P794">
            <v>171.89</v>
          </cell>
        </row>
        <row r="795">
          <cell r="A795" t="str">
            <v>Iceland - Chinese employees - L0</v>
          </cell>
          <cell r="B795" t="str">
            <v>Current version</v>
          </cell>
          <cell r="C795" t="str">
            <v>V2009R2</v>
          </cell>
          <cell r="D795" t="str">
            <v>Labor Rate</v>
          </cell>
          <cell r="E795" t="str">
            <v>EU</v>
          </cell>
          <cell r="F795" t="str">
            <v>CEE&amp;Nordic European Sub-Regional Division</v>
          </cell>
          <cell r="G795" t="str">
            <v>Sweden Rep.Office</v>
          </cell>
          <cell r="H795" t="str">
            <v>3619</v>
          </cell>
          <cell r="I795" t="str">
            <v>冰岛</v>
          </cell>
          <cell r="J795" t="str">
            <v>Iceland</v>
          </cell>
          <cell r="K795" t="str">
            <v>Chinese employees</v>
          </cell>
          <cell r="L795" t="str">
            <v>L0</v>
          </cell>
          <cell r="M795" t="str">
            <v>ALL</v>
          </cell>
          <cell r="N795" t="str">
            <v>FLPC(含奖金)</v>
          </cell>
          <cell r="O795" t="str">
            <v>USD/小时</v>
          </cell>
          <cell r="P795">
            <v>71.739999999999995</v>
          </cell>
        </row>
        <row r="796">
          <cell r="A796" t="str">
            <v>Iceland - Chinese employees - L1</v>
          </cell>
          <cell r="B796" t="str">
            <v>Current version</v>
          </cell>
          <cell r="C796" t="str">
            <v>V2009R2</v>
          </cell>
          <cell r="D796" t="str">
            <v>Labor Rate</v>
          </cell>
          <cell r="E796" t="str">
            <v>EU</v>
          </cell>
          <cell r="F796" t="str">
            <v>CEE&amp;Nordic European Sub-Regional Division</v>
          </cell>
          <cell r="G796" t="str">
            <v>Sweden Rep.Office</v>
          </cell>
          <cell r="H796" t="str">
            <v>3619</v>
          </cell>
          <cell r="I796" t="str">
            <v>冰岛</v>
          </cell>
          <cell r="J796" t="str">
            <v>Iceland</v>
          </cell>
          <cell r="K796" t="str">
            <v>Chinese employees</v>
          </cell>
          <cell r="L796" t="str">
            <v>L1</v>
          </cell>
          <cell r="M796" t="str">
            <v>ALL</v>
          </cell>
          <cell r="N796" t="str">
            <v>FLPC(含奖金)</v>
          </cell>
          <cell r="O796" t="str">
            <v>USD/小时</v>
          </cell>
          <cell r="P796">
            <v>80.31</v>
          </cell>
        </row>
        <row r="797">
          <cell r="A797" t="str">
            <v>Iceland - Chinese employees - L2</v>
          </cell>
          <cell r="B797" t="str">
            <v>Current version</v>
          </cell>
          <cell r="C797" t="str">
            <v>V2009R2</v>
          </cell>
          <cell r="D797" t="str">
            <v>Labor Rate</v>
          </cell>
          <cell r="E797" t="str">
            <v>EU</v>
          </cell>
          <cell r="F797" t="str">
            <v>CEE&amp;Nordic European Sub-Regional Division</v>
          </cell>
          <cell r="G797" t="str">
            <v>Sweden Rep.Office</v>
          </cell>
          <cell r="H797" t="str">
            <v>3619</v>
          </cell>
          <cell r="I797" t="str">
            <v>冰岛</v>
          </cell>
          <cell r="J797" t="str">
            <v>Iceland</v>
          </cell>
          <cell r="K797" t="str">
            <v>Chinese employees</v>
          </cell>
          <cell r="L797" t="str">
            <v>L2</v>
          </cell>
          <cell r="M797" t="str">
            <v>ALL</v>
          </cell>
          <cell r="N797" t="str">
            <v>FLPC(含奖金)</v>
          </cell>
          <cell r="O797" t="str">
            <v>USD/小时</v>
          </cell>
          <cell r="P797">
            <v>91.85</v>
          </cell>
        </row>
        <row r="798">
          <cell r="A798" t="str">
            <v>Iceland - Chinese employees - L3</v>
          </cell>
          <cell r="B798" t="str">
            <v>Current version</v>
          </cell>
          <cell r="C798" t="str">
            <v>V2009R2</v>
          </cell>
          <cell r="D798" t="str">
            <v>Labor Rate</v>
          </cell>
          <cell r="E798" t="str">
            <v>EU</v>
          </cell>
          <cell r="F798" t="str">
            <v>CEE&amp;Nordic European Sub-Regional Division</v>
          </cell>
          <cell r="G798" t="str">
            <v>Sweden Rep.Office</v>
          </cell>
          <cell r="H798" t="str">
            <v>3619</v>
          </cell>
          <cell r="I798" t="str">
            <v>冰岛</v>
          </cell>
          <cell r="J798" t="str">
            <v>Iceland</v>
          </cell>
          <cell r="K798" t="str">
            <v>Chinese employees</v>
          </cell>
          <cell r="L798" t="str">
            <v>L3</v>
          </cell>
          <cell r="M798" t="str">
            <v>ALL</v>
          </cell>
          <cell r="N798" t="str">
            <v>FLPC(含奖金)</v>
          </cell>
          <cell r="O798" t="str">
            <v>USD/小时</v>
          </cell>
          <cell r="P798">
            <v>104.16</v>
          </cell>
        </row>
        <row r="799">
          <cell r="A799" t="str">
            <v>Iceland - Chinese employees - L4</v>
          </cell>
          <cell r="B799" t="str">
            <v>Current version</v>
          </cell>
          <cell r="C799" t="str">
            <v>V2009R2</v>
          </cell>
          <cell r="D799" t="str">
            <v>Labor Rate</v>
          </cell>
          <cell r="E799" t="str">
            <v>EU</v>
          </cell>
          <cell r="F799" t="str">
            <v>CEE&amp;Nordic European Sub-Regional Division</v>
          </cell>
          <cell r="G799" t="str">
            <v>Sweden Rep.Office</v>
          </cell>
          <cell r="H799" t="str">
            <v>3619</v>
          </cell>
          <cell r="I799" t="str">
            <v>冰岛</v>
          </cell>
          <cell r="J799" t="str">
            <v>Iceland</v>
          </cell>
          <cell r="K799" t="str">
            <v>Chinese employees</v>
          </cell>
          <cell r="L799" t="str">
            <v>L4</v>
          </cell>
          <cell r="M799" t="str">
            <v>ALL</v>
          </cell>
          <cell r="N799" t="str">
            <v>FLPC(含奖金)</v>
          </cell>
          <cell r="O799" t="str">
            <v>USD/小时</v>
          </cell>
          <cell r="P799">
            <v>148.55000000000001</v>
          </cell>
        </row>
        <row r="800">
          <cell r="A800" t="str">
            <v>Denmark - Chinese employees - L0</v>
          </cell>
          <cell r="B800" t="str">
            <v>Current version</v>
          </cell>
          <cell r="C800" t="str">
            <v>V2009R2</v>
          </cell>
          <cell r="D800" t="str">
            <v>Labor Rate</v>
          </cell>
          <cell r="E800" t="str">
            <v>EU</v>
          </cell>
          <cell r="F800" t="str">
            <v>CEE&amp;Nordic European Sub-Regional Division</v>
          </cell>
          <cell r="G800" t="str">
            <v>Sweden Rep.Office</v>
          </cell>
          <cell r="H800" t="str">
            <v>3620</v>
          </cell>
          <cell r="I800" t="str">
            <v>丹麦</v>
          </cell>
          <cell r="J800" t="str">
            <v>Denmark</v>
          </cell>
          <cell r="K800" t="str">
            <v>Chinese employees</v>
          </cell>
          <cell r="L800" t="str">
            <v>L0</v>
          </cell>
          <cell r="M800" t="str">
            <v>ALL</v>
          </cell>
          <cell r="N800" t="str">
            <v>FLPC(含奖金)</v>
          </cell>
          <cell r="O800" t="str">
            <v>USD/小时</v>
          </cell>
          <cell r="P800">
            <v>79.459999999999994</v>
          </cell>
        </row>
        <row r="801">
          <cell r="A801" t="str">
            <v>Denmark - Chinese employees - L1</v>
          </cell>
          <cell r="B801" t="str">
            <v>Current version</v>
          </cell>
          <cell r="C801" t="str">
            <v>V2009R2</v>
          </cell>
          <cell r="D801" t="str">
            <v>Labor Rate</v>
          </cell>
          <cell r="E801" t="str">
            <v>EU</v>
          </cell>
          <cell r="F801" t="str">
            <v>CEE&amp;Nordic European Sub-Regional Division</v>
          </cell>
          <cell r="G801" t="str">
            <v>Sweden Rep.Office</v>
          </cell>
          <cell r="H801" t="str">
            <v>3620</v>
          </cell>
          <cell r="I801" t="str">
            <v>丹麦</v>
          </cell>
          <cell r="J801" t="str">
            <v>Denmark</v>
          </cell>
          <cell r="K801" t="str">
            <v>Chinese employees</v>
          </cell>
          <cell r="L801" t="str">
            <v>L1</v>
          </cell>
          <cell r="M801" t="str">
            <v>ALL</v>
          </cell>
          <cell r="N801" t="str">
            <v>FLPC(含奖金)</v>
          </cell>
          <cell r="O801" t="str">
            <v>USD/小时</v>
          </cell>
          <cell r="P801">
            <v>86.07</v>
          </cell>
        </row>
        <row r="802">
          <cell r="A802" t="str">
            <v>Denmark - Chinese employees - L2</v>
          </cell>
          <cell r="B802" t="str">
            <v>Current version</v>
          </cell>
          <cell r="C802" t="str">
            <v>V2009R2</v>
          </cell>
          <cell r="D802" t="str">
            <v>Labor Rate</v>
          </cell>
          <cell r="E802" t="str">
            <v>EU</v>
          </cell>
          <cell r="F802" t="str">
            <v>CEE&amp;Nordic European Sub-Regional Division</v>
          </cell>
          <cell r="G802" t="str">
            <v>Sweden Rep.Office</v>
          </cell>
          <cell r="H802" t="str">
            <v>3620</v>
          </cell>
          <cell r="I802" t="str">
            <v>丹麦</v>
          </cell>
          <cell r="J802" t="str">
            <v>Denmark</v>
          </cell>
          <cell r="K802" t="str">
            <v>Chinese employees</v>
          </cell>
          <cell r="L802" t="str">
            <v>L2</v>
          </cell>
          <cell r="M802" t="str">
            <v>ALL</v>
          </cell>
          <cell r="N802" t="str">
            <v>FLPC(含奖金)</v>
          </cell>
          <cell r="O802" t="str">
            <v>USD/小时</v>
          </cell>
          <cell r="P802">
            <v>94.65</v>
          </cell>
        </row>
        <row r="803">
          <cell r="A803" t="str">
            <v>Denmark - Chinese employees - L3</v>
          </cell>
          <cell r="B803" t="str">
            <v>Current version</v>
          </cell>
          <cell r="C803" t="str">
            <v>V2009R2</v>
          </cell>
          <cell r="D803" t="str">
            <v>Labor Rate</v>
          </cell>
          <cell r="E803" t="str">
            <v>EU</v>
          </cell>
          <cell r="F803" t="str">
            <v>CEE&amp;Nordic European Sub-Regional Division</v>
          </cell>
          <cell r="G803" t="str">
            <v>Sweden Rep.Office</v>
          </cell>
          <cell r="H803" t="str">
            <v>3620</v>
          </cell>
          <cell r="I803" t="str">
            <v>丹麦</v>
          </cell>
          <cell r="J803" t="str">
            <v>Denmark</v>
          </cell>
          <cell r="K803" t="str">
            <v>Chinese employees</v>
          </cell>
          <cell r="L803" t="str">
            <v>L3</v>
          </cell>
          <cell r="M803" t="str">
            <v>ALL</v>
          </cell>
          <cell r="N803" t="str">
            <v>FLPC(含奖金)</v>
          </cell>
          <cell r="O803" t="str">
            <v>USD/小时</v>
          </cell>
          <cell r="P803">
            <v>106.91</v>
          </cell>
        </row>
        <row r="804">
          <cell r="A804" t="str">
            <v>Denmark - Chinese employees - L4</v>
          </cell>
          <cell r="B804" t="str">
            <v>Current version</v>
          </cell>
          <cell r="C804" t="str">
            <v>V2009R2</v>
          </cell>
          <cell r="D804" t="str">
            <v>Labor Rate</v>
          </cell>
          <cell r="E804" t="str">
            <v>EU</v>
          </cell>
          <cell r="F804" t="str">
            <v>CEE&amp;Nordic European Sub-Regional Division</v>
          </cell>
          <cell r="G804" t="str">
            <v>Sweden Rep.Office</v>
          </cell>
          <cell r="H804" t="str">
            <v>3620</v>
          </cell>
          <cell r="I804" t="str">
            <v>丹麦</v>
          </cell>
          <cell r="J804" t="str">
            <v>Denmark</v>
          </cell>
          <cell r="K804" t="str">
            <v>Chinese employees</v>
          </cell>
          <cell r="L804" t="str">
            <v>L4</v>
          </cell>
          <cell r="M804" t="str">
            <v>ALL</v>
          </cell>
          <cell r="N804" t="str">
            <v>FLPC(含奖金)</v>
          </cell>
          <cell r="O804" t="str">
            <v>USD/小时</v>
          </cell>
          <cell r="P804">
            <v>151.12</v>
          </cell>
        </row>
        <row r="805">
          <cell r="A805" t="str">
            <v>Serbia and Montenegro - Chinese employees - L0</v>
          </cell>
          <cell r="B805" t="str">
            <v>Current version</v>
          </cell>
          <cell r="C805" t="str">
            <v>V2009R2</v>
          </cell>
          <cell r="D805" t="str">
            <v>Labor Rate</v>
          </cell>
          <cell r="E805" t="str">
            <v>EU</v>
          </cell>
          <cell r="F805" t="str">
            <v>CEE&amp;Nordic European Sub-Regional Division</v>
          </cell>
          <cell r="G805" t="str">
            <v>Serbia Rep.Office</v>
          </cell>
          <cell r="H805" t="str">
            <v>3310</v>
          </cell>
          <cell r="I805" t="str">
            <v>塞黑</v>
          </cell>
          <cell r="J805" t="str">
            <v>Serbia and Montenegro</v>
          </cell>
          <cell r="K805" t="str">
            <v>Chinese employees</v>
          </cell>
          <cell r="L805" t="str">
            <v>L0</v>
          </cell>
          <cell r="M805" t="str">
            <v>ALL</v>
          </cell>
          <cell r="N805" t="str">
            <v>FLPC(含奖金)</v>
          </cell>
          <cell r="O805" t="str">
            <v>USD/小时</v>
          </cell>
          <cell r="P805">
            <v>60.73</v>
          </cell>
        </row>
        <row r="806">
          <cell r="A806" t="str">
            <v>Serbia and Montenegro - Chinese employees - L1</v>
          </cell>
          <cell r="B806" t="str">
            <v>Current version</v>
          </cell>
          <cell r="C806" t="str">
            <v>V2009R2</v>
          </cell>
          <cell r="D806" t="str">
            <v>Labor Rate</v>
          </cell>
          <cell r="E806" t="str">
            <v>EU</v>
          </cell>
          <cell r="F806" t="str">
            <v>CEE&amp;Nordic European Sub-Regional Division</v>
          </cell>
          <cell r="G806" t="str">
            <v>Serbia Rep.Office</v>
          </cell>
          <cell r="H806" t="str">
            <v>3310</v>
          </cell>
          <cell r="I806" t="str">
            <v>塞黑</v>
          </cell>
          <cell r="J806" t="str">
            <v>Serbia and Montenegro</v>
          </cell>
          <cell r="K806" t="str">
            <v>Chinese employees</v>
          </cell>
          <cell r="L806" t="str">
            <v>L1</v>
          </cell>
          <cell r="M806" t="str">
            <v>ALL</v>
          </cell>
          <cell r="N806" t="str">
            <v>FLPC(含奖金)</v>
          </cell>
          <cell r="O806" t="str">
            <v>USD/小时</v>
          </cell>
          <cell r="P806">
            <v>67.290000000000006</v>
          </cell>
        </row>
        <row r="807">
          <cell r="A807" t="str">
            <v>Serbia and Montenegro - Chinese employees - L2</v>
          </cell>
          <cell r="B807" t="str">
            <v>Current version</v>
          </cell>
          <cell r="C807" t="str">
            <v>V2009R2</v>
          </cell>
          <cell r="D807" t="str">
            <v>Labor Rate</v>
          </cell>
          <cell r="E807" t="str">
            <v>EU</v>
          </cell>
          <cell r="F807" t="str">
            <v>CEE&amp;Nordic European Sub-Regional Division</v>
          </cell>
          <cell r="G807" t="str">
            <v>Serbia Rep.Office</v>
          </cell>
          <cell r="H807" t="str">
            <v>3310</v>
          </cell>
          <cell r="I807" t="str">
            <v>塞黑</v>
          </cell>
          <cell r="J807" t="str">
            <v>Serbia and Montenegro</v>
          </cell>
          <cell r="K807" t="str">
            <v>Chinese employees</v>
          </cell>
          <cell r="L807" t="str">
            <v>L2</v>
          </cell>
          <cell r="M807" t="str">
            <v>ALL</v>
          </cell>
          <cell r="N807" t="str">
            <v>FLPC(含奖金)</v>
          </cell>
          <cell r="O807" t="str">
            <v>USD/小时</v>
          </cell>
          <cell r="P807">
            <v>75.75</v>
          </cell>
        </row>
        <row r="808">
          <cell r="A808" t="str">
            <v>Serbia and Montenegro - Chinese employees - L3</v>
          </cell>
          <cell r="B808" t="str">
            <v>Current version</v>
          </cell>
          <cell r="C808" t="str">
            <v>V2009R2</v>
          </cell>
          <cell r="D808" t="str">
            <v>Labor Rate</v>
          </cell>
          <cell r="E808" t="str">
            <v>EU</v>
          </cell>
          <cell r="F808" t="str">
            <v>CEE&amp;Nordic European Sub-Regional Division</v>
          </cell>
          <cell r="G808" t="str">
            <v>Serbia Rep.Office</v>
          </cell>
          <cell r="H808" t="str">
            <v>3310</v>
          </cell>
          <cell r="I808" t="str">
            <v>塞黑</v>
          </cell>
          <cell r="J808" t="str">
            <v>Serbia and Montenegro</v>
          </cell>
          <cell r="K808" t="str">
            <v>Chinese employees</v>
          </cell>
          <cell r="L808" t="str">
            <v>L3</v>
          </cell>
          <cell r="M808" t="str">
            <v>ALL</v>
          </cell>
          <cell r="N808" t="str">
            <v>FLPC(含奖金)</v>
          </cell>
          <cell r="O808" t="str">
            <v>USD/小时</v>
          </cell>
          <cell r="P808">
            <v>87.78</v>
          </cell>
        </row>
        <row r="809">
          <cell r="A809" t="str">
            <v>Serbia and Montenegro - Chinese employees - L4</v>
          </cell>
          <cell r="B809" t="str">
            <v>Current version</v>
          </cell>
          <cell r="C809" t="str">
            <v>V2009R2</v>
          </cell>
          <cell r="D809" t="str">
            <v>Labor Rate</v>
          </cell>
          <cell r="E809" t="str">
            <v>EU</v>
          </cell>
          <cell r="F809" t="str">
            <v>CEE&amp;Nordic European Sub-Regional Division</v>
          </cell>
          <cell r="G809" t="str">
            <v>Serbia Rep.Office</v>
          </cell>
          <cell r="H809" t="str">
            <v>3310</v>
          </cell>
          <cell r="I809" t="str">
            <v>塞黑</v>
          </cell>
          <cell r="J809" t="str">
            <v>Serbia and Montenegro</v>
          </cell>
          <cell r="K809" t="str">
            <v>Chinese employees</v>
          </cell>
          <cell r="L809" t="str">
            <v>L4</v>
          </cell>
          <cell r="M809" t="str">
            <v>ALL</v>
          </cell>
          <cell r="N809" t="str">
            <v>FLPC(含奖金)</v>
          </cell>
          <cell r="O809" t="str">
            <v>USD/小时</v>
          </cell>
          <cell r="P809">
            <v>131.44999999999999</v>
          </cell>
        </row>
        <row r="810">
          <cell r="A810" t="str">
            <v>Bosnia-And-Herzegirina - Chinese employees - L0</v>
          </cell>
          <cell r="B810" t="str">
            <v>Current version</v>
          </cell>
          <cell r="C810" t="str">
            <v>V2009R2</v>
          </cell>
          <cell r="D810" t="str">
            <v>Labor Rate</v>
          </cell>
          <cell r="E810" t="str">
            <v>EU</v>
          </cell>
          <cell r="F810" t="str">
            <v>CEE&amp;Nordic European Sub-Regional Division</v>
          </cell>
          <cell r="G810" t="str">
            <v>Serbia Rep.Office</v>
          </cell>
          <cell r="H810" t="str">
            <v>3316</v>
          </cell>
          <cell r="I810" t="str">
            <v>波黑</v>
          </cell>
          <cell r="J810" t="str">
            <v>Bosnia-And-Herzegirina</v>
          </cell>
          <cell r="K810" t="str">
            <v>Chinese employees</v>
          </cell>
          <cell r="L810" t="str">
            <v>L0</v>
          </cell>
          <cell r="M810" t="str">
            <v>ALL</v>
          </cell>
          <cell r="N810" t="str">
            <v>FLPC(含奖金)</v>
          </cell>
          <cell r="O810" t="str">
            <v>USD/小时</v>
          </cell>
          <cell r="P810">
            <v>63.87</v>
          </cell>
        </row>
        <row r="811">
          <cell r="A811" t="str">
            <v>Bosnia-And-Herzegirina - Chinese employees - L1</v>
          </cell>
          <cell r="B811" t="str">
            <v>Current version</v>
          </cell>
          <cell r="C811" t="str">
            <v>V2009R2</v>
          </cell>
          <cell r="D811" t="str">
            <v>Labor Rate</v>
          </cell>
          <cell r="E811" t="str">
            <v>EU</v>
          </cell>
          <cell r="F811" t="str">
            <v>CEE&amp;Nordic European Sub-Regional Division</v>
          </cell>
          <cell r="G811" t="str">
            <v>Serbia Rep.Office</v>
          </cell>
          <cell r="H811" t="str">
            <v>3316</v>
          </cell>
          <cell r="I811" t="str">
            <v>波黑</v>
          </cell>
          <cell r="J811" t="str">
            <v>Bosnia-And-Herzegirina</v>
          </cell>
          <cell r="K811" t="str">
            <v>Chinese employees</v>
          </cell>
          <cell r="L811" t="str">
            <v>L1</v>
          </cell>
          <cell r="M811" t="str">
            <v>ALL</v>
          </cell>
          <cell r="N811" t="str">
            <v>FLPC(含奖金)</v>
          </cell>
          <cell r="O811" t="str">
            <v>USD/小时</v>
          </cell>
          <cell r="P811">
            <v>70.430000000000007</v>
          </cell>
        </row>
        <row r="812">
          <cell r="A812" t="str">
            <v>Bosnia-And-Herzegirina - Chinese employees - L2</v>
          </cell>
          <cell r="B812" t="str">
            <v>Current version</v>
          </cell>
          <cell r="C812" t="str">
            <v>V2009R2</v>
          </cell>
          <cell r="D812" t="str">
            <v>Labor Rate</v>
          </cell>
          <cell r="E812" t="str">
            <v>EU</v>
          </cell>
          <cell r="F812" t="str">
            <v>CEE&amp;Nordic European Sub-Regional Division</v>
          </cell>
          <cell r="G812" t="str">
            <v>Serbia Rep.Office</v>
          </cell>
          <cell r="H812" t="str">
            <v>3316</v>
          </cell>
          <cell r="I812" t="str">
            <v>波黑</v>
          </cell>
          <cell r="J812" t="str">
            <v>Bosnia-And-Herzegirina</v>
          </cell>
          <cell r="K812" t="str">
            <v>Chinese employees</v>
          </cell>
          <cell r="L812" t="str">
            <v>L2</v>
          </cell>
          <cell r="M812" t="str">
            <v>ALL</v>
          </cell>
          <cell r="N812" t="str">
            <v>FLPC(含奖金)</v>
          </cell>
          <cell r="O812" t="str">
            <v>USD/小时</v>
          </cell>
          <cell r="P812">
            <v>78.89</v>
          </cell>
        </row>
        <row r="813">
          <cell r="A813" t="str">
            <v>Bosnia-And-Herzegirina - Chinese employees - L3</v>
          </cell>
          <cell r="B813" t="str">
            <v>Current version</v>
          </cell>
          <cell r="C813" t="str">
            <v>V2009R2</v>
          </cell>
          <cell r="D813" t="str">
            <v>Labor Rate</v>
          </cell>
          <cell r="E813" t="str">
            <v>EU</v>
          </cell>
          <cell r="F813" t="str">
            <v>CEE&amp;Nordic European Sub-Regional Division</v>
          </cell>
          <cell r="G813" t="str">
            <v>Serbia Rep.Office</v>
          </cell>
          <cell r="H813" t="str">
            <v>3316</v>
          </cell>
          <cell r="I813" t="str">
            <v>波黑</v>
          </cell>
          <cell r="J813" t="str">
            <v>Bosnia-And-Herzegirina</v>
          </cell>
          <cell r="K813" t="str">
            <v>Chinese employees</v>
          </cell>
          <cell r="L813" t="str">
            <v>L3</v>
          </cell>
          <cell r="M813" t="str">
            <v>ALL</v>
          </cell>
          <cell r="N813" t="str">
            <v>FLPC(含奖金)</v>
          </cell>
          <cell r="O813" t="str">
            <v>USD/小时</v>
          </cell>
          <cell r="P813">
            <v>90.92</v>
          </cell>
        </row>
        <row r="814">
          <cell r="A814" t="str">
            <v>Bosnia-And-Herzegirina - Chinese employees - L4</v>
          </cell>
          <cell r="B814" t="str">
            <v>Current version</v>
          </cell>
          <cell r="C814" t="str">
            <v>V2009R2</v>
          </cell>
          <cell r="D814" t="str">
            <v>Labor Rate</v>
          </cell>
          <cell r="E814" t="str">
            <v>EU</v>
          </cell>
          <cell r="F814" t="str">
            <v>CEE&amp;Nordic European Sub-Regional Division</v>
          </cell>
          <cell r="G814" t="str">
            <v>Serbia Rep.Office</v>
          </cell>
          <cell r="H814" t="str">
            <v>3316</v>
          </cell>
          <cell r="I814" t="str">
            <v>波黑</v>
          </cell>
          <cell r="J814" t="str">
            <v>Bosnia-And-Herzegirina</v>
          </cell>
          <cell r="K814" t="str">
            <v>Chinese employees</v>
          </cell>
          <cell r="L814" t="str">
            <v>L4</v>
          </cell>
          <cell r="M814" t="str">
            <v>ALL</v>
          </cell>
          <cell r="N814" t="str">
            <v>FLPC(含奖金)</v>
          </cell>
          <cell r="O814" t="str">
            <v>USD/小时</v>
          </cell>
          <cell r="P814">
            <v>134.59</v>
          </cell>
        </row>
        <row r="815">
          <cell r="A815" t="str">
            <v>Romania - Chinese employees - L0</v>
          </cell>
          <cell r="B815" t="str">
            <v>Current version</v>
          </cell>
          <cell r="C815" t="str">
            <v>V2009R2</v>
          </cell>
          <cell r="D815" t="str">
            <v>Labor Rate</v>
          </cell>
          <cell r="E815" t="str">
            <v>EU</v>
          </cell>
          <cell r="F815" t="str">
            <v>CEE&amp;Nordic European Sub-Regional Division</v>
          </cell>
          <cell r="G815" t="str">
            <v>Romania Rep.Office</v>
          </cell>
          <cell r="H815" t="str">
            <v>3301</v>
          </cell>
          <cell r="I815" t="str">
            <v>罗马尼亚</v>
          </cell>
          <cell r="J815" t="str">
            <v>Romania</v>
          </cell>
          <cell r="K815" t="str">
            <v>Chinese employees</v>
          </cell>
          <cell r="L815" t="str">
            <v>L0</v>
          </cell>
          <cell r="M815" t="str">
            <v>ALL</v>
          </cell>
          <cell r="N815" t="str">
            <v>FLPC(含奖金)</v>
          </cell>
          <cell r="O815" t="str">
            <v>USD/小时</v>
          </cell>
          <cell r="P815">
            <v>49.93</v>
          </cell>
        </row>
        <row r="816">
          <cell r="A816" t="str">
            <v>Romania - Chinese employees - L1</v>
          </cell>
          <cell r="B816" t="str">
            <v>Current version</v>
          </cell>
          <cell r="C816" t="str">
            <v>V2009R2</v>
          </cell>
          <cell r="D816" t="str">
            <v>Labor Rate</v>
          </cell>
          <cell r="E816" t="str">
            <v>EU</v>
          </cell>
          <cell r="F816" t="str">
            <v>CEE&amp;Nordic European Sub-Regional Division</v>
          </cell>
          <cell r="G816" t="str">
            <v>Romania Rep.Office</v>
          </cell>
          <cell r="H816" t="str">
            <v>3301</v>
          </cell>
          <cell r="I816" t="str">
            <v>罗马尼亚</v>
          </cell>
          <cell r="J816" t="str">
            <v>Romania</v>
          </cell>
          <cell r="K816" t="str">
            <v>Chinese employees</v>
          </cell>
          <cell r="L816" t="str">
            <v>L1</v>
          </cell>
          <cell r="M816" t="str">
            <v>ALL</v>
          </cell>
          <cell r="N816" t="str">
            <v>FLPC(含奖金)</v>
          </cell>
          <cell r="O816" t="str">
            <v>USD/小时</v>
          </cell>
          <cell r="P816">
            <v>56.43</v>
          </cell>
        </row>
        <row r="817">
          <cell r="A817" t="str">
            <v>Romania - Chinese employees - L2</v>
          </cell>
          <cell r="B817" t="str">
            <v>Current version</v>
          </cell>
          <cell r="C817" t="str">
            <v>V2009R2</v>
          </cell>
          <cell r="D817" t="str">
            <v>Labor Rate</v>
          </cell>
          <cell r="E817" t="str">
            <v>EU</v>
          </cell>
          <cell r="F817" t="str">
            <v>CEE&amp;Nordic European Sub-Regional Division</v>
          </cell>
          <cell r="G817" t="str">
            <v>Romania Rep.Office</v>
          </cell>
          <cell r="H817" t="str">
            <v>3301</v>
          </cell>
          <cell r="I817" t="str">
            <v>罗马尼亚</v>
          </cell>
          <cell r="J817" t="str">
            <v>Romania</v>
          </cell>
          <cell r="K817" t="str">
            <v>Chinese employees</v>
          </cell>
          <cell r="L817" t="str">
            <v>L2</v>
          </cell>
          <cell r="M817" t="str">
            <v>ALL</v>
          </cell>
          <cell r="N817" t="str">
            <v>FLPC(含奖金)</v>
          </cell>
          <cell r="O817" t="str">
            <v>USD/小时</v>
          </cell>
          <cell r="P817">
            <v>64.819999999999993</v>
          </cell>
        </row>
        <row r="818">
          <cell r="A818" t="str">
            <v>Romania - Chinese employees - L3</v>
          </cell>
          <cell r="B818" t="str">
            <v>Current version</v>
          </cell>
          <cell r="C818" t="str">
            <v>V2009R2</v>
          </cell>
          <cell r="D818" t="str">
            <v>Labor Rate</v>
          </cell>
          <cell r="E818" t="str">
            <v>EU</v>
          </cell>
          <cell r="F818" t="str">
            <v>CEE&amp;Nordic European Sub-Regional Division</v>
          </cell>
          <cell r="G818" t="str">
            <v>Romania Rep.Office</v>
          </cell>
          <cell r="H818" t="str">
            <v>3301</v>
          </cell>
          <cell r="I818" t="str">
            <v>罗马尼亚</v>
          </cell>
          <cell r="J818" t="str">
            <v>Romania</v>
          </cell>
          <cell r="K818" t="str">
            <v>Chinese employees</v>
          </cell>
          <cell r="L818" t="str">
            <v>L3</v>
          </cell>
          <cell r="M818" t="str">
            <v>ALL</v>
          </cell>
          <cell r="N818" t="str">
            <v>FLPC(含奖金)</v>
          </cell>
          <cell r="O818" t="str">
            <v>USD/小时</v>
          </cell>
          <cell r="P818">
            <v>76.739999999999995</v>
          </cell>
        </row>
        <row r="819">
          <cell r="A819" t="str">
            <v>Romania - Chinese employees - L4</v>
          </cell>
          <cell r="B819" t="str">
            <v>Current version</v>
          </cell>
          <cell r="C819" t="str">
            <v>V2009R2</v>
          </cell>
          <cell r="D819" t="str">
            <v>Labor Rate</v>
          </cell>
          <cell r="E819" t="str">
            <v>EU</v>
          </cell>
          <cell r="F819" t="str">
            <v>CEE&amp;Nordic European Sub-Regional Division</v>
          </cell>
          <cell r="G819" t="str">
            <v>Romania Rep.Office</v>
          </cell>
          <cell r="H819" t="str">
            <v>3301</v>
          </cell>
          <cell r="I819" t="str">
            <v>罗马尼亚</v>
          </cell>
          <cell r="J819" t="str">
            <v>Romania</v>
          </cell>
          <cell r="K819" t="str">
            <v>Chinese employees</v>
          </cell>
          <cell r="L819" t="str">
            <v>L4</v>
          </cell>
          <cell r="M819" t="str">
            <v>ALL</v>
          </cell>
          <cell r="N819" t="str">
            <v>FLPC(含奖金)</v>
          </cell>
          <cell r="O819" t="str">
            <v>USD/小时</v>
          </cell>
          <cell r="P819">
            <v>119.11</v>
          </cell>
        </row>
        <row r="820">
          <cell r="A820" t="str">
            <v>Moldova - Chinese employees - L0</v>
          </cell>
          <cell r="B820" t="str">
            <v>Current version</v>
          </cell>
          <cell r="C820" t="str">
            <v>V2009R2</v>
          </cell>
          <cell r="D820" t="str">
            <v>Labor Rate</v>
          </cell>
          <cell r="E820" t="str">
            <v>EU</v>
          </cell>
          <cell r="F820" t="str">
            <v>CEE&amp;Nordic European Sub-Regional Division</v>
          </cell>
          <cell r="G820" t="str">
            <v>Romania Rep.Office</v>
          </cell>
          <cell r="H820" t="str">
            <v>3308</v>
          </cell>
          <cell r="I820" t="str">
            <v>摩尔多瓦</v>
          </cell>
          <cell r="J820" t="str">
            <v>Moldova</v>
          </cell>
          <cell r="K820" t="str">
            <v>Chinese employees</v>
          </cell>
          <cell r="L820" t="str">
            <v>L0</v>
          </cell>
          <cell r="M820" t="str">
            <v>ALL</v>
          </cell>
          <cell r="N820" t="str">
            <v>FLPC(含奖金)</v>
          </cell>
          <cell r="O820" t="str">
            <v>USD/小时</v>
          </cell>
          <cell r="P820">
            <v>52.98</v>
          </cell>
        </row>
        <row r="821">
          <cell r="A821" t="str">
            <v>Moldova - Chinese employees - L1</v>
          </cell>
          <cell r="B821" t="str">
            <v>Current version</v>
          </cell>
          <cell r="C821" t="str">
            <v>V2009R2</v>
          </cell>
          <cell r="D821" t="str">
            <v>Labor Rate</v>
          </cell>
          <cell r="E821" t="str">
            <v>EU</v>
          </cell>
          <cell r="F821" t="str">
            <v>CEE&amp;Nordic European Sub-Regional Division</v>
          </cell>
          <cell r="G821" t="str">
            <v>Romania Rep.Office</v>
          </cell>
          <cell r="H821" t="str">
            <v>3308</v>
          </cell>
          <cell r="I821" t="str">
            <v>摩尔多瓦</v>
          </cell>
          <cell r="J821" t="str">
            <v>Moldova</v>
          </cell>
          <cell r="K821" t="str">
            <v>Chinese employees</v>
          </cell>
          <cell r="L821" t="str">
            <v>L1</v>
          </cell>
          <cell r="M821" t="str">
            <v>ALL</v>
          </cell>
          <cell r="N821" t="str">
            <v>FLPC(含奖金)</v>
          </cell>
          <cell r="O821" t="str">
            <v>USD/小时</v>
          </cell>
          <cell r="P821">
            <v>59.72</v>
          </cell>
        </row>
        <row r="822">
          <cell r="A822" t="str">
            <v>Moldova - Chinese employees - L2</v>
          </cell>
          <cell r="B822" t="str">
            <v>Current version</v>
          </cell>
          <cell r="C822" t="str">
            <v>V2009R2</v>
          </cell>
          <cell r="D822" t="str">
            <v>Labor Rate</v>
          </cell>
          <cell r="E822" t="str">
            <v>EU</v>
          </cell>
          <cell r="F822" t="str">
            <v>CEE&amp;Nordic European Sub-Regional Division</v>
          </cell>
          <cell r="G822" t="str">
            <v>Romania Rep.Office</v>
          </cell>
          <cell r="H822" t="str">
            <v>3308</v>
          </cell>
          <cell r="I822" t="str">
            <v>摩尔多瓦</v>
          </cell>
          <cell r="J822" t="str">
            <v>Moldova</v>
          </cell>
          <cell r="K822" t="str">
            <v>Chinese employees</v>
          </cell>
          <cell r="L822" t="str">
            <v>L2</v>
          </cell>
          <cell r="M822" t="str">
            <v>ALL</v>
          </cell>
          <cell r="N822" t="str">
            <v>FLPC(含奖金)</v>
          </cell>
          <cell r="O822" t="str">
            <v>USD/小时</v>
          </cell>
          <cell r="P822">
            <v>68.42</v>
          </cell>
        </row>
        <row r="823">
          <cell r="A823" t="str">
            <v>Moldova - Chinese employees - L3</v>
          </cell>
          <cell r="B823" t="str">
            <v>Current version</v>
          </cell>
          <cell r="C823" t="str">
            <v>V2009R2</v>
          </cell>
          <cell r="D823" t="str">
            <v>Labor Rate</v>
          </cell>
          <cell r="E823" t="str">
            <v>EU</v>
          </cell>
          <cell r="F823" t="str">
            <v>CEE&amp;Nordic European Sub-Regional Division</v>
          </cell>
          <cell r="G823" t="str">
            <v>Romania Rep.Office</v>
          </cell>
          <cell r="H823" t="str">
            <v>3308</v>
          </cell>
          <cell r="I823" t="str">
            <v>摩尔多瓦</v>
          </cell>
          <cell r="J823" t="str">
            <v>Moldova</v>
          </cell>
          <cell r="K823" t="str">
            <v>Chinese employees</v>
          </cell>
          <cell r="L823" t="str">
            <v>L3</v>
          </cell>
          <cell r="M823" t="str">
            <v>ALL</v>
          </cell>
          <cell r="N823" t="str">
            <v>FLPC(含奖金)</v>
          </cell>
          <cell r="O823" t="str">
            <v>USD/小时</v>
          </cell>
          <cell r="P823">
            <v>80.78</v>
          </cell>
        </row>
        <row r="824">
          <cell r="A824" t="str">
            <v>Moldova - Chinese employees - L4</v>
          </cell>
          <cell r="B824" t="str">
            <v>Current version</v>
          </cell>
          <cell r="C824" t="str">
            <v>V2009R2</v>
          </cell>
          <cell r="D824" t="str">
            <v>Labor Rate</v>
          </cell>
          <cell r="E824" t="str">
            <v>EU</v>
          </cell>
          <cell r="F824" t="str">
            <v>CEE&amp;Nordic European Sub-Regional Division</v>
          </cell>
          <cell r="G824" t="str">
            <v>Romania Rep.Office</v>
          </cell>
          <cell r="H824" t="str">
            <v>3308</v>
          </cell>
          <cell r="I824" t="str">
            <v>摩尔多瓦</v>
          </cell>
          <cell r="J824" t="str">
            <v>Moldova</v>
          </cell>
          <cell r="K824" t="str">
            <v>Chinese employees</v>
          </cell>
          <cell r="L824" t="str">
            <v>L4</v>
          </cell>
          <cell r="M824" t="str">
            <v>ALL</v>
          </cell>
          <cell r="N824" t="str">
            <v>FLPC(含奖金)</v>
          </cell>
          <cell r="O824" t="str">
            <v>USD/小时</v>
          </cell>
          <cell r="P824">
            <v>124.71</v>
          </cell>
        </row>
        <row r="825">
          <cell r="A825" t="str">
            <v>Poland - Chinese employees - L0</v>
          </cell>
          <cell r="B825" t="str">
            <v>Current version</v>
          </cell>
          <cell r="C825" t="str">
            <v>V2009R2</v>
          </cell>
          <cell r="D825" t="str">
            <v>Labor Rate</v>
          </cell>
          <cell r="E825" t="str">
            <v>EU</v>
          </cell>
          <cell r="F825" t="str">
            <v>CEE&amp;Nordic European Sub-Regional Division</v>
          </cell>
          <cell r="G825" t="str">
            <v>Poland Rep.Office</v>
          </cell>
          <cell r="H825" t="str">
            <v>3302</v>
          </cell>
          <cell r="I825" t="str">
            <v>波兰</v>
          </cell>
          <cell r="J825" t="str">
            <v>Poland</v>
          </cell>
          <cell r="K825" t="str">
            <v>Chinese employees</v>
          </cell>
          <cell r="L825" t="str">
            <v>L0</v>
          </cell>
          <cell r="M825" t="str">
            <v>ALL</v>
          </cell>
          <cell r="N825" t="str">
            <v>FLPC(含奖金)</v>
          </cell>
          <cell r="O825" t="str">
            <v>USD/小时</v>
          </cell>
          <cell r="P825">
            <v>61.07</v>
          </cell>
        </row>
        <row r="826">
          <cell r="A826" t="str">
            <v>Poland - Chinese employees - L1</v>
          </cell>
          <cell r="B826" t="str">
            <v>Current version</v>
          </cell>
          <cell r="C826" t="str">
            <v>V2009R2</v>
          </cell>
          <cell r="D826" t="str">
            <v>Labor Rate</v>
          </cell>
          <cell r="E826" t="str">
            <v>EU</v>
          </cell>
          <cell r="F826" t="str">
            <v>CEE&amp;Nordic European Sub-Regional Division</v>
          </cell>
          <cell r="G826" t="str">
            <v>Poland Rep.Office</v>
          </cell>
          <cell r="H826" t="str">
            <v>3302</v>
          </cell>
          <cell r="I826" t="str">
            <v>波兰</v>
          </cell>
          <cell r="J826" t="str">
            <v>Poland</v>
          </cell>
          <cell r="K826" t="str">
            <v>Chinese employees</v>
          </cell>
          <cell r="L826" t="str">
            <v>L1</v>
          </cell>
          <cell r="M826" t="str">
            <v>ALL</v>
          </cell>
          <cell r="N826" t="str">
            <v>FLPC(含奖金)</v>
          </cell>
          <cell r="O826" t="str">
            <v>USD/小时</v>
          </cell>
          <cell r="P826">
            <v>67.56</v>
          </cell>
        </row>
        <row r="827">
          <cell r="A827" t="str">
            <v>Poland - Chinese employees - L2</v>
          </cell>
          <cell r="B827" t="str">
            <v>Current version</v>
          </cell>
          <cell r="C827" t="str">
            <v>V2009R2</v>
          </cell>
          <cell r="D827" t="str">
            <v>Labor Rate</v>
          </cell>
          <cell r="E827" t="str">
            <v>EU</v>
          </cell>
          <cell r="F827" t="str">
            <v>CEE&amp;Nordic European Sub-Regional Division</v>
          </cell>
          <cell r="G827" t="str">
            <v>Poland Rep.Office</v>
          </cell>
          <cell r="H827" t="str">
            <v>3302</v>
          </cell>
          <cell r="I827" t="str">
            <v>波兰</v>
          </cell>
          <cell r="J827" t="str">
            <v>Poland</v>
          </cell>
          <cell r="K827" t="str">
            <v>Chinese employees</v>
          </cell>
          <cell r="L827" t="str">
            <v>L2</v>
          </cell>
          <cell r="M827" t="str">
            <v>ALL</v>
          </cell>
          <cell r="N827" t="str">
            <v>FLPC(含奖金)</v>
          </cell>
          <cell r="O827" t="str">
            <v>USD/小时</v>
          </cell>
          <cell r="P827">
            <v>75.959999999999994</v>
          </cell>
        </row>
        <row r="828">
          <cell r="A828" t="str">
            <v>Poland - Chinese employees - L3</v>
          </cell>
          <cell r="B828" t="str">
            <v>Current version</v>
          </cell>
          <cell r="C828" t="str">
            <v>V2009R2</v>
          </cell>
          <cell r="D828" t="str">
            <v>Labor Rate</v>
          </cell>
          <cell r="E828" t="str">
            <v>EU</v>
          </cell>
          <cell r="F828" t="str">
            <v>CEE&amp;Nordic European Sub-Regional Division</v>
          </cell>
          <cell r="G828" t="str">
            <v>Poland Rep.Office</v>
          </cell>
          <cell r="H828" t="str">
            <v>3302</v>
          </cell>
          <cell r="I828" t="str">
            <v>波兰</v>
          </cell>
          <cell r="J828" t="str">
            <v>Poland</v>
          </cell>
          <cell r="K828" t="str">
            <v>Chinese employees</v>
          </cell>
          <cell r="L828" t="str">
            <v>L3</v>
          </cell>
          <cell r="M828" t="str">
            <v>ALL</v>
          </cell>
          <cell r="N828" t="str">
            <v>FLPC(含奖金)</v>
          </cell>
          <cell r="O828" t="str">
            <v>USD/小时</v>
          </cell>
          <cell r="P828">
            <v>88.13</v>
          </cell>
        </row>
        <row r="829">
          <cell r="A829" t="str">
            <v>Poland - Chinese employees - L4</v>
          </cell>
          <cell r="B829" t="str">
            <v>Current version</v>
          </cell>
          <cell r="C829" t="str">
            <v>V2009R2</v>
          </cell>
          <cell r="D829" t="str">
            <v>Labor Rate</v>
          </cell>
          <cell r="E829" t="str">
            <v>EU</v>
          </cell>
          <cell r="F829" t="str">
            <v>CEE&amp;Nordic European Sub-Regional Division</v>
          </cell>
          <cell r="G829" t="str">
            <v>Poland Rep.Office</v>
          </cell>
          <cell r="H829" t="str">
            <v>3302</v>
          </cell>
          <cell r="I829" t="str">
            <v>波兰</v>
          </cell>
          <cell r="J829" t="str">
            <v>Poland</v>
          </cell>
          <cell r="K829" t="str">
            <v>Chinese employees</v>
          </cell>
          <cell r="L829" t="str">
            <v>L4</v>
          </cell>
          <cell r="M829" t="str">
            <v>ALL</v>
          </cell>
          <cell r="N829" t="str">
            <v>FLPC(含奖金)</v>
          </cell>
          <cell r="O829" t="str">
            <v>USD/小时</v>
          </cell>
          <cell r="P829">
            <v>132.91</v>
          </cell>
        </row>
        <row r="830">
          <cell r="A830" t="str">
            <v>Hungary - Chinese employees - L0</v>
          </cell>
          <cell r="B830" t="str">
            <v>Current version</v>
          </cell>
          <cell r="C830" t="str">
            <v>V2009R2</v>
          </cell>
          <cell r="D830" t="str">
            <v>Labor Rate</v>
          </cell>
          <cell r="E830" t="str">
            <v>EU</v>
          </cell>
          <cell r="F830" t="str">
            <v>CEE&amp;Nordic European Sub-Regional Division</v>
          </cell>
          <cell r="G830" t="str">
            <v>Hungary Rep.Office</v>
          </cell>
          <cell r="H830" t="str">
            <v>3311</v>
          </cell>
          <cell r="I830" t="str">
            <v>匈牙利</v>
          </cell>
          <cell r="J830" t="str">
            <v>Hungary</v>
          </cell>
          <cell r="K830" t="str">
            <v>Chinese employees</v>
          </cell>
          <cell r="L830" t="str">
            <v>L0</v>
          </cell>
          <cell r="M830" t="str">
            <v>ALL</v>
          </cell>
          <cell r="N830" t="str">
            <v>FLPC(含奖金)</v>
          </cell>
          <cell r="O830" t="str">
            <v>USD/小时</v>
          </cell>
          <cell r="P830">
            <v>67.540000000000006</v>
          </cell>
        </row>
        <row r="831">
          <cell r="A831" t="str">
            <v>Hungary - Chinese employees - L1</v>
          </cell>
          <cell r="B831" t="str">
            <v>Current version</v>
          </cell>
          <cell r="C831" t="str">
            <v>V2009R2</v>
          </cell>
          <cell r="D831" t="str">
            <v>Labor Rate</v>
          </cell>
          <cell r="E831" t="str">
            <v>EU</v>
          </cell>
          <cell r="F831" t="str">
            <v>CEE&amp;Nordic European Sub-Regional Division</v>
          </cell>
          <cell r="G831" t="str">
            <v>Hungary Rep.Office</v>
          </cell>
          <cell r="H831" t="str">
            <v>3311</v>
          </cell>
          <cell r="I831" t="str">
            <v>匈牙利</v>
          </cell>
          <cell r="J831" t="str">
            <v>Hungary</v>
          </cell>
          <cell r="K831" t="str">
            <v>Chinese employees</v>
          </cell>
          <cell r="L831" t="str">
            <v>L1</v>
          </cell>
          <cell r="M831" t="str">
            <v>ALL</v>
          </cell>
          <cell r="N831" t="str">
            <v>FLPC(含奖金)</v>
          </cell>
          <cell r="O831" t="str">
            <v>USD/小时</v>
          </cell>
          <cell r="P831">
            <v>74.02</v>
          </cell>
        </row>
        <row r="832">
          <cell r="A832" t="str">
            <v>Hungary - Chinese employees - L2</v>
          </cell>
          <cell r="B832" t="str">
            <v>Current version</v>
          </cell>
          <cell r="C832" t="str">
            <v>V2009R2</v>
          </cell>
          <cell r="D832" t="str">
            <v>Labor Rate</v>
          </cell>
          <cell r="E832" t="str">
            <v>EU</v>
          </cell>
          <cell r="F832" t="str">
            <v>CEE&amp;Nordic European Sub-Regional Division</v>
          </cell>
          <cell r="G832" t="str">
            <v>Hungary Rep.Office</v>
          </cell>
          <cell r="H832" t="str">
            <v>3311</v>
          </cell>
          <cell r="I832" t="str">
            <v>匈牙利</v>
          </cell>
          <cell r="J832" t="str">
            <v>Hungary</v>
          </cell>
          <cell r="K832" t="str">
            <v>Chinese employees</v>
          </cell>
          <cell r="L832" t="str">
            <v>L2</v>
          </cell>
          <cell r="M832" t="str">
            <v>ALL</v>
          </cell>
          <cell r="N832" t="str">
            <v>FLPC(含奖金)</v>
          </cell>
          <cell r="O832" t="str">
            <v>USD/小时</v>
          </cell>
          <cell r="P832">
            <v>82.39</v>
          </cell>
        </row>
        <row r="833">
          <cell r="A833" t="str">
            <v>Hungary - Chinese employees - L3</v>
          </cell>
          <cell r="B833" t="str">
            <v>Current version</v>
          </cell>
          <cell r="C833" t="str">
            <v>V2009R2</v>
          </cell>
          <cell r="D833" t="str">
            <v>Labor Rate</v>
          </cell>
          <cell r="E833" t="str">
            <v>EU</v>
          </cell>
          <cell r="F833" t="str">
            <v>CEE&amp;Nordic European Sub-Regional Division</v>
          </cell>
          <cell r="G833" t="str">
            <v>Hungary Rep.Office</v>
          </cell>
          <cell r="H833" t="str">
            <v>3311</v>
          </cell>
          <cell r="I833" t="str">
            <v>匈牙利</v>
          </cell>
          <cell r="J833" t="str">
            <v>Hungary</v>
          </cell>
          <cell r="K833" t="str">
            <v>Chinese employees</v>
          </cell>
          <cell r="L833" t="str">
            <v>L3</v>
          </cell>
          <cell r="M833" t="str">
            <v>ALL</v>
          </cell>
          <cell r="N833" t="str">
            <v>FLPC(含奖金)</v>
          </cell>
          <cell r="O833" t="str">
            <v>USD/小时</v>
          </cell>
          <cell r="P833">
            <v>94.17</v>
          </cell>
        </row>
        <row r="834">
          <cell r="A834" t="str">
            <v>Hungary - Chinese employees - L4</v>
          </cell>
          <cell r="B834" t="str">
            <v>Current version</v>
          </cell>
          <cell r="C834" t="str">
            <v>V2009R2</v>
          </cell>
          <cell r="D834" t="str">
            <v>Labor Rate</v>
          </cell>
          <cell r="E834" t="str">
            <v>EU</v>
          </cell>
          <cell r="F834" t="str">
            <v>CEE&amp;Nordic European Sub-Regional Division</v>
          </cell>
          <cell r="G834" t="str">
            <v>Hungary Rep.Office</v>
          </cell>
          <cell r="H834" t="str">
            <v>3311</v>
          </cell>
          <cell r="I834" t="str">
            <v>匈牙利</v>
          </cell>
          <cell r="J834" t="str">
            <v>Hungary</v>
          </cell>
          <cell r="K834" t="str">
            <v>Chinese employees</v>
          </cell>
          <cell r="L834" t="str">
            <v>L4</v>
          </cell>
          <cell r="M834" t="str">
            <v>ALL</v>
          </cell>
          <cell r="N834" t="str">
            <v>FLPC(含奖金)</v>
          </cell>
          <cell r="O834" t="str">
            <v>USD/小时</v>
          </cell>
          <cell r="P834">
            <v>139.4</v>
          </cell>
        </row>
        <row r="835">
          <cell r="A835" t="str">
            <v>Croatia - Chinese employees - L0</v>
          </cell>
          <cell r="B835" t="str">
            <v>Current version</v>
          </cell>
          <cell r="C835" t="str">
            <v>V2009R2</v>
          </cell>
          <cell r="D835" t="str">
            <v>Labor Rate</v>
          </cell>
          <cell r="E835" t="str">
            <v>EU</v>
          </cell>
          <cell r="F835" t="str">
            <v>CEE&amp;Nordic European Sub-Regional Division</v>
          </cell>
          <cell r="G835" t="str">
            <v>Hungary Rep.Office</v>
          </cell>
          <cell r="H835" t="str">
            <v>3315</v>
          </cell>
          <cell r="I835" t="str">
            <v>克罗地亚</v>
          </cell>
          <cell r="J835" t="str">
            <v>Croatia</v>
          </cell>
          <cell r="K835" t="str">
            <v>Chinese employees</v>
          </cell>
          <cell r="L835" t="str">
            <v>L0</v>
          </cell>
          <cell r="M835" t="str">
            <v>ALL</v>
          </cell>
          <cell r="N835" t="str">
            <v>FLPC(含奖金)</v>
          </cell>
          <cell r="O835" t="str">
            <v>USD/小时</v>
          </cell>
          <cell r="P835">
            <v>57.26</v>
          </cell>
        </row>
        <row r="836">
          <cell r="A836" t="str">
            <v>Croatia - Chinese employees - L1</v>
          </cell>
          <cell r="B836" t="str">
            <v>Current version</v>
          </cell>
          <cell r="C836" t="str">
            <v>V2009R2</v>
          </cell>
          <cell r="D836" t="str">
            <v>Labor Rate</v>
          </cell>
          <cell r="E836" t="str">
            <v>EU</v>
          </cell>
          <cell r="F836" t="str">
            <v>CEE&amp;Nordic European Sub-Regional Division</v>
          </cell>
          <cell r="G836" t="str">
            <v>Hungary Rep.Office</v>
          </cell>
          <cell r="H836" t="str">
            <v>3315</v>
          </cell>
          <cell r="I836" t="str">
            <v>克罗地亚</v>
          </cell>
          <cell r="J836" t="str">
            <v>Croatia</v>
          </cell>
          <cell r="K836" t="str">
            <v>Chinese employees</v>
          </cell>
          <cell r="L836" t="str">
            <v>L1</v>
          </cell>
          <cell r="M836" t="str">
            <v>ALL</v>
          </cell>
          <cell r="N836" t="str">
            <v>FLPC(含奖金)</v>
          </cell>
          <cell r="O836" t="str">
            <v>USD/小时</v>
          </cell>
          <cell r="P836">
            <v>63.69</v>
          </cell>
        </row>
        <row r="837">
          <cell r="A837" t="str">
            <v>Croatia - Chinese employees - L2</v>
          </cell>
          <cell r="B837" t="str">
            <v>Current version</v>
          </cell>
          <cell r="C837" t="str">
            <v>V2009R2</v>
          </cell>
          <cell r="D837" t="str">
            <v>Labor Rate</v>
          </cell>
          <cell r="E837" t="str">
            <v>EU</v>
          </cell>
          <cell r="F837" t="str">
            <v>CEE&amp;Nordic European Sub-Regional Division</v>
          </cell>
          <cell r="G837" t="str">
            <v>Hungary Rep.Office</v>
          </cell>
          <cell r="H837" t="str">
            <v>3315</v>
          </cell>
          <cell r="I837" t="str">
            <v>克罗地亚</v>
          </cell>
          <cell r="J837" t="str">
            <v>Croatia</v>
          </cell>
          <cell r="K837" t="str">
            <v>Chinese employees</v>
          </cell>
          <cell r="L837" t="str">
            <v>L2</v>
          </cell>
          <cell r="M837" t="str">
            <v>ALL</v>
          </cell>
          <cell r="N837" t="str">
            <v>FLPC(含奖金)</v>
          </cell>
          <cell r="O837" t="str">
            <v>USD/小时</v>
          </cell>
          <cell r="P837">
            <v>72.02</v>
          </cell>
        </row>
        <row r="838">
          <cell r="A838" t="str">
            <v>Croatia - Chinese employees - L3</v>
          </cell>
          <cell r="B838" t="str">
            <v>Current version</v>
          </cell>
          <cell r="C838" t="str">
            <v>V2009R2</v>
          </cell>
          <cell r="D838" t="str">
            <v>Labor Rate</v>
          </cell>
          <cell r="E838" t="str">
            <v>EU</v>
          </cell>
          <cell r="F838" t="str">
            <v>CEE&amp;Nordic European Sub-Regional Division</v>
          </cell>
          <cell r="G838" t="str">
            <v>Hungary Rep.Office</v>
          </cell>
          <cell r="H838" t="str">
            <v>3315</v>
          </cell>
          <cell r="I838" t="str">
            <v>克罗地亚</v>
          </cell>
          <cell r="J838" t="str">
            <v>Croatia</v>
          </cell>
          <cell r="K838" t="str">
            <v>Chinese employees</v>
          </cell>
          <cell r="L838" t="str">
            <v>L3</v>
          </cell>
          <cell r="M838" t="str">
            <v>ALL</v>
          </cell>
          <cell r="N838" t="str">
            <v>FLPC(含奖金)</v>
          </cell>
          <cell r="O838" t="str">
            <v>USD/小时</v>
          </cell>
          <cell r="P838">
            <v>83.94</v>
          </cell>
        </row>
        <row r="839">
          <cell r="A839" t="str">
            <v>Croatia - Chinese employees - L4</v>
          </cell>
          <cell r="B839" t="str">
            <v>Current version</v>
          </cell>
          <cell r="C839" t="str">
            <v>V2009R2</v>
          </cell>
          <cell r="D839" t="str">
            <v>Labor Rate</v>
          </cell>
          <cell r="E839" t="str">
            <v>EU</v>
          </cell>
          <cell r="F839" t="str">
            <v>CEE&amp;Nordic European Sub-Regional Division</v>
          </cell>
          <cell r="G839" t="str">
            <v>Hungary Rep.Office</v>
          </cell>
          <cell r="H839" t="str">
            <v>3315</v>
          </cell>
          <cell r="I839" t="str">
            <v>克罗地亚</v>
          </cell>
          <cell r="J839" t="str">
            <v>Croatia</v>
          </cell>
          <cell r="K839" t="str">
            <v>Chinese employees</v>
          </cell>
          <cell r="L839" t="str">
            <v>L4</v>
          </cell>
          <cell r="M839" t="str">
            <v>ALL</v>
          </cell>
          <cell r="N839" t="str">
            <v>FLPC(含奖金)</v>
          </cell>
          <cell r="O839" t="str">
            <v>USD/小时</v>
          </cell>
          <cell r="P839">
            <v>126.9</v>
          </cell>
        </row>
        <row r="840">
          <cell r="A840" t="str">
            <v>Slovenia - Chinese employees - L0</v>
          </cell>
          <cell r="B840" t="str">
            <v>Current version</v>
          </cell>
          <cell r="C840" t="str">
            <v>V2009R2</v>
          </cell>
          <cell r="D840" t="str">
            <v>Labor Rate</v>
          </cell>
          <cell r="E840" t="str">
            <v>EU</v>
          </cell>
          <cell r="F840" t="str">
            <v>CEE&amp;Nordic European Sub-Regional Division</v>
          </cell>
          <cell r="G840" t="str">
            <v>Hungary Rep.Office</v>
          </cell>
          <cell r="H840" t="str">
            <v>3319</v>
          </cell>
          <cell r="I840" t="str">
            <v>斯洛文尼亚</v>
          </cell>
          <cell r="J840" t="str">
            <v>Slovenia</v>
          </cell>
          <cell r="K840" t="str">
            <v>Chinese employees</v>
          </cell>
          <cell r="L840" t="str">
            <v>L0</v>
          </cell>
          <cell r="M840" t="str">
            <v>ALL</v>
          </cell>
          <cell r="N840" t="str">
            <v>FLPC(含奖金)</v>
          </cell>
          <cell r="O840" t="str">
            <v>USD/小时</v>
          </cell>
          <cell r="P840">
            <v>58.96</v>
          </cell>
        </row>
        <row r="841">
          <cell r="A841" t="str">
            <v>Slovenia - Chinese employees - L1</v>
          </cell>
          <cell r="B841" t="str">
            <v>Current version</v>
          </cell>
          <cell r="C841" t="str">
            <v>V2009R2</v>
          </cell>
          <cell r="D841" t="str">
            <v>Labor Rate</v>
          </cell>
          <cell r="E841" t="str">
            <v>EU</v>
          </cell>
          <cell r="F841" t="str">
            <v>CEE&amp;Nordic European Sub-Regional Division</v>
          </cell>
          <cell r="G841" t="str">
            <v>Hungary Rep.Office</v>
          </cell>
          <cell r="H841" t="str">
            <v>3319</v>
          </cell>
          <cell r="I841" t="str">
            <v>斯洛文尼亚</v>
          </cell>
          <cell r="J841" t="str">
            <v>Slovenia</v>
          </cell>
          <cell r="K841" t="str">
            <v>Chinese employees</v>
          </cell>
          <cell r="L841" t="str">
            <v>L1</v>
          </cell>
          <cell r="M841" t="str">
            <v>ALL</v>
          </cell>
          <cell r="N841" t="str">
            <v>FLPC(含奖金)</v>
          </cell>
          <cell r="O841" t="str">
            <v>USD/小时</v>
          </cell>
          <cell r="P841">
            <v>65.34</v>
          </cell>
        </row>
        <row r="842">
          <cell r="A842" t="str">
            <v>Slovenia - Chinese employees - L2</v>
          </cell>
          <cell r="B842" t="str">
            <v>Current version</v>
          </cell>
          <cell r="C842" t="str">
            <v>V2009R2</v>
          </cell>
          <cell r="D842" t="str">
            <v>Labor Rate</v>
          </cell>
          <cell r="E842" t="str">
            <v>EU</v>
          </cell>
          <cell r="F842" t="str">
            <v>CEE&amp;Nordic European Sub-Regional Division</v>
          </cell>
          <cell r="G842" t="str">
            <v>Hungary Rep.Office</v>
          </cell>
          <cell r="H842" t="str">
            <v>3319</v>
          </cell>
          <cell r="I842" t="str">
            <v>斯洛文尼亚</v>
          </cell>
          <cell r="J842" t="str">
            <v>Slovenia</v>
          </cell>
          <cell r="K842" t="str">
            <v>Chinese employees</v>
          </cell>
          <cell r="L842" t="str">
            <v>L2</v>
          </cell>
          <cell r="M842" t="str">
            <v>ALL</v>
          </cell>
          <cell r="N842" t="str">
            <v>FLPC(含奖金)</v>
          </cell>
          <cell r="O842" t="str">
            <v>USD/小时</v>
          </cell>
          <cell r="P842">
            <v>73.599999999999994</v>
          </cell>
        </row>
        <row r="843">
          <cell r="A843" t="str">
            <v>Slovenia - Chinese employees - L3</v>
          </cell>
          <cell r="B843" t="str">
            <v>Current version</v>
          </cell>
          <cell r="C843" t="str">
            <v>V2009R2</v>
          </cell>
          <cell r="D843" t="str">
            <v>Labor Rate</v>
          </cell>
          <cell r="E843" t="str">
            <v>EU</v>
          </cell>
          <cell r="F843" t="str">
            <v>CEE&amp;Nordic European Sub-Regional Division</v>
          </cell>
          <cell r="G843" t="str">
            <v>Hungary Rep.Office</v>
          </cell>
          <cell r="H843" t="str">
            <v>3319</v>
          </cell>
          <cell r="I843" t="str">
            <v>斯洛文尼亚</v>
          </cell>
          <cell r="J843" t="str">
            <v>Slovenia</v>
          </cell>
          <cell r="K843" t="str">
            <v>Chinese employees</v>
          </cell>
          <cell r="L843" t="str">
            <v>L3</v>
          </cell>
          <cell r="M843" t="str">
            <v>ALL</v>
          </cell>
          <cell r="N843" t="str">
            <v>FLPC(含奖金)</v>
          </cell>
          <cell r="O843" t="str">
            <v>USD/小时</v>
          </cell>
          <cell r="P843">
            <v>85.43</v>
          </cell>
        </row>
        <row r="844">
          <cell r="A844" t="str">
            <v>Slovenia - Chinese employees - L4</v>
          </cell>
          <cell r="B844" t="str">
            <v>Current version</v>
          </cell>
          <cell r="C844" t="str">
            <v>V2009R2</v>
          </cell>
          <cell r="D844" t="str">
            <v>Labor Rate</v>
          </cell>
          <cell r="E844" t="str">
            <v>EU</v>
          </cell>
          <cell r="F844" t="str">
            <v>CEE&amp;Nordic European Sub-Regional Division</v>
          </cell>
          <cell r="G844" t="str">
            <v>Hungary Rep.Office</v>
          </cell>
          <cell r="H844" t="str">
            <v>3319</v>
          </cell>
          <cell r="I844" t="str">
            <v>斯洛文尼亚</v>
          </cell>
          <cell r="J844" t="str">
            <v>Slovenia</v>
          </cell>
          <cell r="K844" t="str">
            <v>Chinese employees</v>
          </cell>
          <cell r="L844" t="str">
            <v>L4</v>
          </cell>
          <cell r="M844" t="str">
            <v>ALL</v>
          </cell>
          <cell r="N844" t="str">
            <v>FLPC(含奖金)</v>
          </cell>
          <cell r="O844" t="str">
            <v>USD/小时</v>
          </cell>
          <cell r="P844">
            <v>128.04</v>
          </cell>
        </row>
        <row r="845">
          <cell r="A845" t="str">
            <v>Greece - Chinese employees - L0</v>
          </cell>
          <cell r="B845" t="str">
            <v>Current version</v>
          </cell>
          <cell r="C845" t="str">
            <v>V2009R2</v>
          </cell>
          <cell r="D845" t="str">
            <v>Labor Rate</v>
          </cell>
          <cell r="E845" t="str">
            <v>EU</v>
          </cell>
          <cell r="F845" t="str">
            <v>CEE&amp;Nordic European Sub-Regional Division</v>
          </cell>
          <cell r="G845" t="str">
            <v>Greece Rep.Office</v>
          </cell>
          <cell r="H845" t="str">
            <v>3309</v>
          </cell>
          <cell r="I845" t="str">
            <v>希腊</v>
          </cell>
          <cell r="J845" t="str">
            <v>Greece</v>
          </cell>
          <cell r="K845" t="str">
            <v>Chinese employees</v>
          </cell>
          <cell r="L845" t="str">
            <v>L0</v>
          </cell>
          <cell r="M845" t="str">
            <v>ALL</v>
          </cell>
          <cell r="N845" t="str">
            <v>FLPC(含奖金)</v>
          </cell>
          <cell r="O845" t="str">
            <v>USD/小时</v>
          </cell>
          <cell r="P845">
            <v>54.55</v>
          </cell>
        </row>
        <row r="846">
          <cell r="A846" t="str">
            <v>Greece - Chinese employees - L1</v>
          </cell>
          <cell r="B846" t="str">
            <v>Current version</v>
          </cell>
          <cell r="C846" t="str">
            <v>V2009R2</v>
          </cell>
          <cell r="D846" t="str">
            <v>Labor Rate</v>
          </cell>
          <cell r="E846" t="str">
            <v>EU</v>
          </cell>
          <cell r="F846" t="str">
            <v>CEE&amp;Nordic European Sub-Regional Division</v>
          </cell>
          <cell r="G846" t="str">
            <v>Greece Rep.Office</v>
          </cell>
          <cell r="H846" t="str">
            <v>3309</v>
          </cell>
          <cell r="I846" t="str">
            <v>希腊</v>
          </cell>
          <cell r="J846" t="str">
            <v>Greece</v>
          </cell>
          <cell r="K846" t="str">
            <v>Chinese employees</v>
          </cell>
          <cell r="L846" t="str">
            <v>L1</v>
          </cell>
          <cell r="M846" t="str">
            <v>ALL</v>
          </cell>
          <cell r="N846" t="str">
            <v>FLPC(含奖金)</v>
          </cell>
          <cell r="O846" t="str">
            <v>USD/小时</v>
          </cell>
          <cell r="P846">
            <v>62.09</v>
          </cell>
        </row>
        <row r="847">
          <cell r="A847" t="str">
            <v>Greece - Chinese employees - L2</v>
          </cell>
          <cell r="B847" t="str">
            <v>Current version</v>
          </cell>
          <cell r="C847" t="str">
            <v>V2009R2</v>
          </cell>
          <cell r="D847" t="str">
            <v>Labor Rate</v>
          </cell>
          <cell r="E847" t="str">
            <v>EU</v>
          </cell>
          <cell r="F847" t="str">
            <v>CEE&amp;Nordic European Sub-Regional Division</v>
          </cell>
          <cell r="G847" t="str">
            <v>Greece Rep.Office</v>
          </cell>
          <cell r="H847" t="str">
            <v>3309</v>
          </cell>
          <cell r="I847" t="str">
            <v>希腊</v>
          </cell>
          <cell r="J847" t="str">
            <v>Greece</v>
          </cell>
          <cell r="K847" t="str">
            <v>Chinese employees</v>
          </cell>
          <cell r="L847" t="str">
            <v>L2</v>
          </cell>
          <cell r="M847" t="str">
            <v>ALL</v>
          </cell>
          <cell r="N847" t="str">
            <v>FLPC(含奖金)</v>
          </cell>
          <cell r="O847" t="str">
            <v>USD/小时</v>
          </cell>
          <cell r="P847">
            <v>71.989999999999995</v>
          </cell>
        </row>
        <row r="848">
          <cell r="A848" t="str">
            <v>Greece - Chinese employees - L3</v>
          </cell>
          <cell r="B848" t="str">
            <v>Current version</v>
          </cell>
          <cell r="C848" t="str">
            <v>V2009R2</v>
          </cell>
          <cell r="D848" t="str">
            <v>Labor Rate</v>
          </cell>
          <cell r="E848" t="str">
            <v>EU</v>
          </cell>
          <cell r="F848" t="str">
            <v>CEE&amp;Nordic European Sub-Regional Division</v>
          </cell>
          <cell r="G848" t="str">
            <v>Greece Rep.Office</v>
          </cell>
          <cell r="H848" t="str">
            <v>3309</v>
          </cell>
          <cell r="I848" t="str">
            <v>希腊</v>
          </cell>
          <cell r="J848" t="str">
            <v>Greece</v>
          </cell>
          <cell r="K848" t="str">
            <v>Chinese employees</v>
          </cell>
          <cell r="L848" t="str">
            <v>L3</v>
          </cell>
          <cell r="M848" t="str">
            <v>ALL</v>
          </cell>
          <cell r="N848" t="str">
            <v>FLPC(含奖金)</v>
          </cell>
          <cell r="O848" t="str">
            <v>USD/小时</v>
          </cell>
          <cell r="P848">
            <v>89.25</v>
          </cell>
        </row>
        <row r="849">
          <cell r="A849" t="str">
            <v>Greece - Chinese employees - L4</v>
          </cell>
          <cell r="B849" t="str">
            <v>Current version</v>
          </cell>
          <cell r="C849" t="str">
            <v>V2009R2</v>
          </cell>
          <cell r="D849" t="str">
            <v>Labor Rate</v>
          </cell>
          <cell r="E849" t="str">
            <v>EU</v>
          </cell>
          <cell r="F849" t="str">
            <v>CEE&amp;Nordic European Sub-Regional Division</v>
          </cell>
          <cell r="G849" t="str">
            <v>Greece Rep.Office</v>
          </cell>
          <cell r="H849" t="str">
            <v>3309</v>
          </cell>
          <cell r="I849" t="str">
            <v>希腊</v>
          </cell>
          <cell r="J849" t="str">
            <v>Greece</v>
          </cell>
          <cell r="K849" t="str">
            <v>Chinese employees</v>
          </cell>
          <cell r="L849" t="str">
            <v>L4</v>
          </cell>
          <cell r="M849" t="str">
            <v>ALL</v>
          </cell>
          <cell r="N849" t="str">
            <v>FLPC(含奖金)</v>
          </cell>
          <cell r="O849" t="str">
            <v>USD/小时</v>
          </cell>
          <cell r="P849">
            <v>142.55000000000001</v>
          </cell>
        </row>
        <row r="850">
          <cell r="A850" t="str">
            <v>Kosovo - Chinese employees - L0</v>
          </cell>
          <cell r="B850" t="str">
            <v>Current version</v>
          </cell>
          <cell r="C850" t="str">
            <v>V2009R2</v>
          </cell>
          <cell r="D850" t="str">
            <v>Labor Rate</v>
          </cell>
          <cell r="E850" t="str">
            <v>EU</v>
          </cell>
          <cell r="F850" t="str">
            <v>CEE&amp;Nordic European Sub-Regional Division</v>
          </cell>
          <cell r="G850" t="str">
            <v>Greece Rep.Office</v>
          </cell>
          <cell r="H850" t="str">
            <v>3321</v>
          </cell>
          <cell r="I850" t="str">
            <v>科索沃</v>
          </cell>
          <cell r="J850" t="str">
            <v>Kosovo</v>
          </cell>
          <cell r="K850" t="str">
            <v>Chinese employees</v>
          </cell>
          <cell r="L850" t="str">
            <v>L0</v>
          </cell>
          <cell r="M850" t="str">
            <v>ALL</v>
          </cell>
          <cell r="N850" t="str">
            <v>FLPC(含奖金)</v>
          </cell>
          <cell r="O850" t="str">
            <v>USD/小时</v>
          </cell>
          <cell r="P850">
            <v>56.82</v>
          </cell>
        </row>
        <row r="851">
          <cell r="A851" t="str">
            <v>Kosovo - Chinese employees - L1</v>
          </cell>
          <cell r="B851" t="str">
            <v>Current version</v>
          </cell>
          <cell r="C851" t="str">
            <v>V2009R2</v>
          </cell>
          <cell r="D851" t="str">
            <v>Labor Rate</v>
          </cell>
          <cell r="E851" t="str">
            <v>EU</v>
          </cell>
          <cell r="F851" t="str">
            <v>CEE&amp;Nordic European Sub-Regional Division</v>
          </cell>
          <cell r="G851" t="str">
            <v>Greece Rep.Office</v>
          </cell>
          <cell r="H851" t="str">
            <v>3321</v>
          </cell>
          <cell r="I851" t="str">
            <v>科索沃</v>
          </cell>
          <cell r="J851" t="str">
            <v>Kosovo</v>
          </cell>
          <cell r="K851" t="str">
            <v>Chinese employees</v>
          </cell>
          <cell r="L851" t="str">
            <v>L1</v>
          </cell>
          <cell r="M851" t="str">
            <v>ALL</v>
          </cell>
          <cell r="N851" t="str">
            <v>FLPC(含奖金)</v>
          </cell>
          <cell r="O851" t="str">
            <v>USD/小时</v>
          </cell>
          <cell r="P851">
            <v>64.22</v>
          </cell>
        </row>
        <row r="852">
          <cell r="A852" t="str">
            <v>Kosovo - Chinese employees - L2</v>
          </cell>
          <cell r="B852" t="str">
            <v>Current version</v>
          </cell>
          <cell r="C852" t="str">
            <v>V2009R2</v>
          </cell>
          <cell r="D852" t="str">
            <v>Labor Rate</v>
          </cell>
          <cell r="E852" t="str">
            <v>EU</v>
          </cell>
          <cell r="F852" t="str">
            <v>CEE&amp;Nordic European Sub-Regional Division</v>
          </cell>
          <cell r="G852" t="str">
            <v>Greece Rep.Office</v>
          </cell>
          <cell r="H852" t="str">
            <v>3321</v>
          </cell>
          <cell r="I852" t="str">
            <v>科索沃</v>
          </cell>
          <cell r="J852" t="str">
            <v>Kosovo</v>
          </cell>
          <cell r="K852" t="str">
            <v>Chinese employees</v>
          </cell>
          <cell r="L852" t="str">
            <v>L2</v>
          </cell>
          <cell r="M852" t="str">
            <v>ALL</v>
          </cell>
          <cell r="N852" t="str">
            <v>FLPC(含奖金)</v>
          </cell>
          <cell r="O852" t="str">
            <v>USD/小时</v>
          </cell>
          <cell r="P852">
            <v>73.95</v>
          </cell>
        </row>
        <row r="853">
          <cell r="A853" t="str">
            <v>Kosovo - Chinese employees - L3</v>
          </cell>
          <cell r="B853" t="str">
            <v>Current version</v>
          </cell>
          <cell r="C853" t="str">
            <v>V2009R2</v>
          </cell>
          <cell r="D853" t="str">
            <v>Labor Rate</v>
          </cell>
          <cell r="E853" t="str">
            <v>EU</v>
          </cell>
          <cell r="F853" t="str">
            <v>CEE&amp;Nordic European Sub-Regional Division</v>
          </cell>
          <cell r="G853" t="str">
            <v>Greece Rep.Office</v>
          </cell>
          <cell r="H853" t="str">
            <v>3321</v>
          </cell>
          <cell r="I853" t="str">
            <v>科索沃</v>
          </cell>
          <cell r="J853" t="str">
            <v>Kosovo</v>
          </cell>
          <cell r="K853" t="str">
            <v>Chinese employees</v>
          </cell>
          <cell r="L853" t="str">
            <v>L3</v>
          </cell>
          <cell r="M853" t="str">
            <v>ALL</v>
          </cell>
          <cell r="N853" t="str">
            <v>FLPC(含奖金)</v>
          </cell>
          <cell r="O853" t="str">
            <v>USD/小时</v>
          </cell>
          <cell r="P853">
            <v>90.9</v>
          </cell>
        </row>
        <row r="854">
          <cell r="A854" t="str">
            <v>Kosovo - Chinese employees - L4</v>
          </cell>
          <cell r="B854" t="str">
            <v>Current version</v>
          </cell>
          <cell r="C854" t="str">
            <v>V2009R2</v>
          </cell>
          <cell r="D854" t="str">
            <v>Labor Rate</v>
          </cell>
          <cell r="E854" t="str">
            <v>EU</v>
          </cell>
          <cell r="F854" t="str">
            <v>CEE&amp;Nordic European Sub-Regional Division</v>
          </cell>
          <cell r="G854" t="str">
            <v>Greece Rep.Office</v>
          </cell>
          <cell r="H854" t="str">
            <v>3321</v>
          </cell>
          <cell r="I854" t="str">
            <v>科索沃</v>
          </cell>
          <cell r="J854" t="str">
            <v>Kosovo</v>
          </cell>
          <cell r="K854" t="str">
            <v>Chinese employees</v>
          </cell>
          <cell r="L854" t="str">
            <v>L4</v>
          </cell>
          <cell r="M854" t="str">
            <v>ALL</v>
          </cell>
          <cell r="N854" t="str">
            <v>FLPC(含奖金)</v>
          </cell>
          <cell r="O854" t="str">
            <v>USD/小时</v>
          </cell>
          <cell r="P854">
            <v>143.25</v>
          </cell>
        </row>
        <row r="855">
          <cell r="A855" t="str">
            <v>Czech - Chinese employees - L0</v>
          </cell>
          <cell r="B855" t="str">
            <v>Current version</v>
          </cell>
          <cell r="C855" t="str">
            <v>V2009R2</v>
          </cell>
          <cell r="D855" t="str">
            <v>Labor Rate</v>
          </cell>
          <cell r="E855" t="str">
            <v>EU</v>
          </cell>
          <cell r="F855" t="str">
            <v>CEE&amp;Nordic European Sub-Regional Division</v>
          </cell>
          <cell r="G855" t="str">
            <v>Czech Rep.Office</v>
          </cell>
          <cell r="H855" t="str">
            <v>3312</v>
          </cell>
          <cell r="I855" t="str">
            <v>捷克</v>
          </cell>
          <cell r="J855" t="str">
            <v>Czech</v>
          </cell>
          <cell r="K855" t="str">
            <v>Chinese employees</v>
          </cell>
          <cell r="L855" t="str">
            <v>L0</v>
          </cell>
          <cell r="M855" t="str">
            <v>ALL</v>
          </cell>
          <cell r="N855" t="str">
            <v>FLPC(含奖金)</v>
          </cell>
          <cell r="O855" t="str">
            <v>USD/小时</v>
          </cell>
          <cell r="P855">
            <v>57.55</v>
          </cell>
        </row>
        <row r="856">
          <cell r="A856" t="str">
            <v>Czech - Chinese employees - L1</v>
          </cell>
          <cell r="B856" t="str">
            <v>Current version</v>
          </cell>
          <cell r="C856" t="str">
            <v>V2009R2</v>
          </cell>
          <cell r="D856" t="str">
            <v>Labor Rate</v>
          </cell>
          <cell r="E856" t="str">
            <v>EU</v>
          </cell>
          <cell r="F856" t="str">
            <v>CEE&amp;Nordic European Sub-Regional Division</v>
          </cell>
          <cell r="G856" t="str">
            <v>Czech Rep.Office</v>
          </cell>
          <cell r="H856" t="str">
            <v>3312</v>
          </cell>
          <cell r="I856" t="str">
            <v>捷克</v>
          </cell>
          <cell r="J856" t="str">
            <v>Czech</v>
          </cell>
          <cell r="K856" t="str">
            <v>Chinese employees</v>
          </cell>
          <cell r="L856" t="str">
            <v>L1</v>
          </cell>
          <cell r="M856" t="str">
            <v>ALL</v>
          </cell>
          <cell r="N856" t="str">
            <v>FLPC(含奖金)</v>
          </cell>
          <cell r="O856" t="str">
            <v>USD/小时</v>
          </cell>
          <cell r="P856">
            <v>63.97</v>
          </cell>
        </row>
        <row r="857">
          <cell r="A857" t="str">
            <v>Czech - Chinese employees - L2</v>
          </cell>
          <cell r="B857" t="str">
            <v>Current version</v>
          </cell>
          <cell r="C857" t="str">
            <v>V2009R2</v>
          </cell>
          <cell r="D857" t="str">
            <v>Labor Rate</v>
          </cell>
          <cell r="E857" t="str">
            <v>EU</v>
          </cell>
          <cell r="F857" t="str">
            <v>CEE&amp;Nordic European Sub-Regional Division</v>
          </cell>
          <cell r="G857" t="str">
            <v>Czech Rep.Office</v>
          </cell>
          <cell r="H857" t="str">
            <v>3312</v>
          </cell>
          <cell r="I857" t="str">
            <v>捷克</v>
          </cell>
          <cell r="J857" t="str">
            <v>Czech</v>
          </cell>
          <cell r="K857" t="str">
            <v>Chinese employees</v>
          </cell>
          <cell r="L857" t="str">
            <v>L2</v>
          </cell>
          <cell r="M857" t="str">
            <v>ALL</v>
          </cell>
          <cell r="N857" t="str">
            <v>FLPC(含奖金)</v>
          </cell>
          <cell r="O857" t="str">
            <v>USD/小时</v>
          </cell>
          <cell r="P857">
            <v>71.989999999999995</v>
          </cell>
        </row>
        <row r="858">
          <cell r="A858" t="str">
            <v>Czech - Chinese employees - L3</v>
          </cell>
          <cell r="B858" t="str">
            <v>Current version</v>
          </cell>
          <cell r="C858" t="str">
            <v>V2009R2</v>
          </cell>
          <cell r="D858" t="str">
            <v>Labor Rate</v>
          </cell>
          <cell r="E858" t="str">
            <v>EU</v>
          </cell>
          <cell r="F858" t="str">
            <v>CEE&amp;Nordic European Sub-Regional Division</v>
          </cell>
          <cell r="G858" t="str">
            <v>Czech Rep.Office</v>
          </cell>
          <cell r="H858" t="str">
            <v>3312</v>
          </cell>
          <cell r="I858" t="str">
            <v>捷克</v>
          </cell>
          <cell r="J858" t="str">
            <v>Czech</v>
          </cell>
          <cell r="K858" t="str">
            <v>Chinese employees</v>
          </cell>
          <cell r="L858" t="str">
            <v>L3</v>
          </cell>
          <cell r="M858" t="str">
            <v>ALL</v>
          </cell>
          <cell r="N858" t="str">
            <v>FLPC(含奖金)</v>
          </cell>
          <cell r="O858" t="str">
            <v>USD/小时</v>
          </cell>
          <cell r="P858">
            <v>83.6</v>
          </cell>
        </row>
        <row r="859">
          <cell r="A859" t="str">
            <v>Czech - Chinese employees - L4</v>
          </cell>
          <cell r="B859" t="str">
            <v>Current version</v>
          </cell>
          <cell r="C859" t="str">
            <v>V2009R2</v>
          </cell>
          <cell r="D859" t="str">
            <v>Labor Rate</v>
          </cell>
          <cell r="E859" t="str">
            <v>EU</v>
          </cell>
          <cell r="F859" t="str">
            <v>CEE&amp;Nordic European Sub-Regional Division</v>
          </cell>
          <cell r="G859" t="str">
            <v>Czech Rep.Office</v>
          </cell>
          <cell r="H859" t="str">
            <v>3312</v>
          </cell>
          <cell r="I859" t="str">
            <v>捷克</v>
          </cell>
          <cell r="J859" t="str">
            <v>Czech</v>
          </cell>
          <cell r="K859" t="str">
            <v>Chinese employees</v>
          </cell>
          <cell r="L859" t="str">
            <v>L4</v>
          </cell>
          <cell r="M859" t="str">
            <v>ALL</v>
          </cell>
          <cell r="N859" t="str">
            <v>FLPC(含奖金)</v>
          </cell>
          <cell r="O859" t="str">
            <v>USD/小时</v>
          </cell>
          <cell r="P859">
            <v>126.56</v>
          </cell>
        </row>
        <row r="860">
          <cell r="A860" t="str">
            <v>Slovak - Chinese employees - L0</v>
          </cell>
          <cell r="B860" t="str">
            <v>Current version</v>
          </cell>
          <cell r="C860" t="str">
            <v>V2009R2</v>
          </cell>
          <cell r="D860" t="str">
            <v>Labor Rate</v>
          </cell>
          <cell r="E860" t="str">
            <v>EU</v>
          </cell>
          <cell r="F860" t="str">
            <v>CEE&amp;Nordic European Sub-Regional Division</v>
          </cell>
          <cell r="G860" t="str">
            <v>Czech Rep.Office</v>
          </cell>
          <cell r="H860" t="str">
            <v>3314</v>
          </cell>
          <cell r="I860" t="str">
            <v>斯洛伐克</v>
          </cell>
          <cell r="J860" t="str">
            <v>Slovak</v>
          </cell>
          <cell r="K860" t="str">
            <v>Chinese employees</v>
          </cell>
          <cell r="L860" t="str">
            <v>L0</v>
          </cell>
          <cell r="M860" t="str">
            <v>ALL</v>
          </cell>
          <cell r="N860" t="str">
            <v>FLPC(含奖金)</v>
          </cell>
          <cell r="O860" t="str">
            <v>USD/小时</v>
          </cell>
          <cell r="P860">
            <v>60.27</v>
          </cell>
        </row>
        <row r="861">
          <cell r="A861" t="str">
            <v>Slovak - Chinese employees - L1</v>
          </cell>
          <cell r="B861" t="str">
            <v>Current version</v>
          </cell>
          <cell r="C861" t="str">
            <v>V2009R2</v>
          </cell>
          <cell r="D861" t="str">
            <v>Labor Rate</v>
          </cell>
          <cell r="E861" t="str">
            <v>EU</v>
          </cell>
          <cell r="F861" t="str">
            <v>CEE&amp;Nordic European Sub-Regional Division</v>
          </cell>
          <cell r="G861" t="str">
            <v>Czech Rep.Office</v>
          </cell>
          <cell r="H861" t="str">
            <v>3314</v>
          </cell>
          <cell r="I861" t="str">
            <v>斯洛伐克</v>
          </cell>
          <cell r="J861" t="str">
            <v>Slovak</v>
          </cell>
          <cell r="K861" t="str">
            <v>Chinese employees</v>
          </cell>
          <cell r="L861" t="str">
            <v>L1</v>
          </cell>
          <cell r="M861" t="str">
            <v>ALL</v>
          </cell>
          <cell r="N861" t="str">
            <v>FLPC(含奖金)</v>
          </cell>
          <cell r="O861" t="str">
            <v>USD/小时</v>
          </cell>
          <cell r="P861">
            <v>66.790000000000006</v>
          </cell>
        </row>
        <row r="862">
          <cell r="A862" t="str">
            <v>Slovak - Chinese employees - L2</v>
          </cell>
          <cell r="B862" t="str">
            <v>Current version</v>
          </cell>
          <cell r="C862" t="str">
            <v>V2009R2</v>
          </cell>
          <cell r="D862" t="str">
            <v>Labor Rate</v>
          </cell>
          <cell r="E862" t="str">
            <v>EU</v>
          </cell>
          <cell r="F862" t="str">
            <v>CEE&amp;Nordic European Sub-Regional Division</v>
          </cell>
          <cell r="G862" t="str">
            <v>Czech Rep.Office</v>
          </cell>
          <cell r="H862" t="str">
            <v>3314</v>
          </cell>
          <cell r="I862" t="str">
            <v>斯洛伐克</v>
          </cell>
          <cell r="J862" t="str">
            <v>Slovak</v>
          </cell>
          <cell r="K862" t="str">
            <v>Chinese employees</v>
          </cell>
          <cell r="L862" t="str">
            <v>L2</v>
          </cell>
          <cell r="M862" t="str">
            <v>ALL</v>
          </cell>
          <cell r="N862" t="str">
            <v>FLPC(含奖金)</v>
          </cell>
          <cell r="O862" t="str">
            <v>USD/小时</v>
          </cell>
          <cell r="P862">
            <v>75.25</v>
          </cell>
        </row>
        <row r="863">
          <cell r="A863" t="str">
            <v>Slovak - Chinese employees - L3</v>
          </cell>
          <cell r="B863" t="str">
            <v>Current version</v>
          </cell>
          <cell r="C863" t="str">
            <v>V2009R2</v>
          </cell>
          <cell r="D863" t="str">
            <v>Labor Rate</v>
          </cell>
          <cell r="E863" t="str">
            <v>EU</v>
          </cell>
          <cell r="F863" t="str">
            <v>CEE&amp;Nordic European Sub-Regional Division</v>
          </cell>
          <cell r="G863" t="str">
            <v>Czech Rep.Office</v>
          </cell>
          <cell r="H863" t="str">
            <v>3314</v>
          </cell>
          <cell r="I863" t="str">
            <v>斯洛伐克</v>
          </cell>
          <cell r="J863" t="str">
            <v>Slovak</v>
          </cell>
          <cell r="K863" t="str">
            <v>Chinese employees</v>
          </cell>
          <cell r="L863" t="str">
            <v>L3</v>
          </cell>
          <cell r="M863" t="str">
            <v>ALL</v>
          </cell>
          <cell r="N863" t="str">
            <v>FLPC(含奖金)</v>
          </cell>
          <cell r="O863" t="str">
            <v>USD/小时</v>
          </cell>
          <cell r="P863">
            <v>87.09</v>
          </cell>
        </row>
        <row r="864">
          <cell r="A864" t="str">
            <v>Slovak - Chinese employees - L4</v>
          </cell>
          <cell r="B864" t="str">
            <v>Current version</v>
          </cell>
          <cell r="C864" t="str">
            <v>V2009R2</v>
          </cell>
          <cell r="D864" t="str">
            <v>Labor Rate</v>
          </cell>
          <cell r="E864" t="str">
            <v>EU</v>
          </cell>
          <cell r="F864" t="str">
            <v>CEE&amp;Nordic European Sub-Regional Division</v>
          </cell>
          <cell r="G864" t="str">
            <v>Czech Rep.Office</v>
          </cell>
          <cell r="H864" t="str">
            <v>3314</v>
          </cell>
          <cell r="I864" t="str">
            <v>斯洛伐克</v>
          </cell>
          <cell r="J864" t="str">
            <v>Slovak</v>
          </cell>
          <cell r="K864" t="str">
            <v>Chinese employees</v>
          </cell>
          <cell r="L864" t="str">
            <v>L4</v>
          </cell>
          <cell r="M864" t="str">
            <v>ALL</v>
          </cell>
          <cell r="N864" t="str">
            <v>FLPC(含奖金)</v>
          </cell>
          <cell r="O864" t="str">
            <v>USD/小时</v>
          </cell>
          <cell r="P864">
            <v>129.72999999999999</v>
          </cell>
        </row>
        <row r="865">
          <cell r="A865" t="str">
            <v>Austria - Chinese employees - L0</v>
          </cell>
          <cell r="B865" t="str">
            <v>Current version</v>
          </cell>
          <cell r="C865" t="str">
            <v>V2009R2</v>
          </cell>
          <cell r="D865" t="str">
            <v>Labor Rate</v>
          </cell>
          <cell r="E865" t="str">
            <v>EU</v>
          </cell>
          <cell r="F865" t="str">
            <v>CEE&amp;Nordic European Sub-Regional Division</v>
          </cell>
          <cell r="G865" t="str">
            <v>Czech Rep.Office</v>
          </cell>
          <cell r="H865" t="str">
            <v>3608</v>
          </cell>
          <cell r="I865" t="str">
            <v>奥地利</v>
          </cell>
          <cell r="J865" t="str">
            <v>Austria</v>
          </cell>
          <cell r="K865" t="str">
            <v>Chinese employees</v>
          </cell>
          <cell r="L865" t="str">
            <v>L0</v>
          </cell>
          <cell r="M865" t="str">
            <v>ALL</v>
          </cell>
          <cell r="N865" t="str">
            <v>FLPC(含奖金)</v>
          </cell>
          <cell r="O865" t="str">
            <v>USD/小时</v>
          </cell>
          <cell r="P865">
            <v>68.290000000000006</v>
          </cell>
        </row>
        <row r="866">
          <cell r="A866" t="str">
            <v>Austria - Chinese employees - L1</v>
          </cell>
          <cell r="B866" t="str">
            <v>Current version</v>
          </cell>
          <cell r="C866" t="str">
            <v>V2009R2</v>
          </cell>
          <cell r="D866" t="str">
            <v>Labor Rate</v>
          </cell>
          <cell r="E866" t="str">
            <v>EU</v>
          </cell>
          <cell r="F866" t="str">
            <v>CEE&amp;Nordic European Sub-Regional Division</v>
          </cell>
          <cell r="G866" t="str">
            <v>Czech Rep.Office</v>
          </cell>
          <cell r="H866" t="str">
            <v>3608</v>
          </cell>
          <cell r="I866" t="str">
            <v>奥地利</v>
          </cell>
          <cell r="J866" t="str">
            <v>Austria</v>
          </cell>
          <cell r="K866" t="str">
            <v>Chinese employees</v>
          </cell>
          <cell r="L866" t="str">
            <v>L1</v>
          </cell>
          <cell r="M866" t="str">
            <v>ALL</v>
          </cell>
          <cell r="N866" t="str">
            <v>FLPC(含奖金)</v>
          </cell>
          <cell r="O866" t="str">
            <v>USD/小时</v>
          </cell>
          <cell r="P866">
            <v>75.430000000000007</v>
          </cell>
        </row>
        <row r="867">
          <cell r="A867" t="str">
            <v>Austria - Chinese employees - L2</v>
          </cell>
          <cell r="B867" t="str">
            <v>Current version</v>
          </cell>
          <cell r="C867" t="str">
            <v>V2009R2</v>
          </cell>
          <cell r="D867" t="str">
            <v>Labor Rate</v>
          </cell>
          <cell r="E867" t="str">
            <v>EU</v>
          </cell>
          <cell r="F867" t="str">
            <v>CEE&amp;Nordic European Sub-Regional Division</v>
          </cell>
          <cell r="G867" t="str">
            <v>Czech Rep.Office</v>
          </cell>
          <cell r="H867" t="str">
            <v>3608</v>
          </cell>
          <cell r="I867" t="str">
            <v>奥地利</v>
          </cell>
          <cell r="J867" t="str">
            <v>Austria</v>
          </cell>
          <cell r="K867" t="str">
            <v>Chinese employees</v>
          </cell>
          <cell r="L867" t="str">
            <v>L2</v>
          </cell>
          <cell r="M867" t="str">
            <v>ALL</v>
          </cell>
          <cell r="N867" t="str">
            <v>FLPC(含奖金)</v>
          </cell>
          <cell r="O867" t="str">
            <v>USD/小时</v>
          </cell>
          <cell r="P867">
            <v>84.53</v>
          </cell>
        </row>
        <row r="868">
          <cell r="A868" t="str">
            <v>Austria - Chinese employees - L3</v>
          </cell>
          <cell r="B868" t="str">
            <v>Current version</v>
          </cell>
          <cell r="C868" t="str">
            <v>V2009R2</v>
          </cell>
          <cell r="D868" t="str">
            <v>Labor Rate</v>
          </cell>
          <cell r="E868" t="str">
            <v>EU</v>
          </cell>
          <cell r="F868" t="str">
            <v>CEE&amp;Nordic European Sub-Regional Division</v>
          </cell>
          <cell r="G868" t="str">
            <v>Czech Rep.Office</v>
          </cell>
          <cell r="H868" t="str">
            <v>3608</v>
          </cell>
          <cell r="I868" t="str">
            <v>奥地利</v>
          </cell>
          <cell r="J868" t="str">
            <v>Austria</v>
          </cell>
          <cell r="K868" t="str">
            <v>Chinese employees</v>
          </cell>
          <cell r="L868" t="str">
            <v>L3</v>
          </cell>
          <cell r="M868" t="str">
            <v>ALL</v>
          </cell>
          <cell r="N868" t="str">
            <v>FLPC(含奖金)</v>
          </cell>
          <cell r="O868" t="str">
            <v>USD/小时</v>
          </cell>
          <cell r="P868">
            <v>99.84</v>
          </cell>
        </row>
        <row r="869">
          <cell r="A869" t="str">
            <v>Austria - Chinese employees - L4</v>
          </cell>
          <cell r="B869" t="str">
            <v>Current version</v>
          </cell>
          <cell r="C869" t="str">
            <v>V2009R2</v>
          </cell>
          <cell r="D869" t="str">
            <v>Labor Rate</v>
          </cell>
          <cell r="E869" t="str">
            <v>EU</v>
          </cell>
          <cell r="F869" t="str">
            <v>CEE&amp;Nordic European Sub-Regional Division</v>
          </cell>
          <cell r="G869" t="str">
            <v>Czech Rep.Office</v>
          </cell>
          <cell r="H869" t="str">
            <v>3608</v>
          </cell>
          <cell r="I869" t="str">
            <v>奥地利</v>
          </cell>
          <cell r="J869" t="str">
            <v>Austria</v>
          </cell>
          <cell r="K869" t="str">
            <v>Chinese employees</v>
          </cell>
          <cell r="L869" t="str">
            <v>L4</v>
          </cell>
          <cell r="M869" t="str">
            <v>ALL</v>
          </cell>
          <cell r="N869" t="str">
            <v>FLPC(含奖金)</v>
          </cell>
          <cell r="O869" t="str">
            <v>USD/小时</v>
          </cell>
          <cell r="P869">
            <v>147.30000000000001</v>
          </cell>
        </row>
        <row r="870">
          <cell r="A870" t="str">
            <v>Macedon - Chinese employees - L0</v>
          </cell>
          <cell r="B870" t="str">
            <v>Current version</v>
          </cell>
          <cell r="C870" t="str">
            <v>V2009R2</v>
          </cell>
          <cell r="D870" t="str">
            <v>Labor Rate</v>
          </cell>
          <cell r="E870" t="str">
            <v>EU</v>
          </cell>
          <cell r="F870" t="str">
            <v>CEE&amp;Nordic European Sub-Regional Division</v>
          </cell>
          <cell r="G870" t="str">
            <v>Bulgaria Rep.Office</v>
          </cell>
          <cell r="H870" t="str">
            <v>3318</v>
          </cell>
          <cell r="I870" t="str">
            <v>马其顿</v>
          </cell>
          <cell r="J870" t="str">
            <v>Macedon</v>
          </cell>
          <cell r="K870" t="str">
            <v>Chinese employees</v>
          </cell>
          <cell r="L870" t="str">
            <v>L0</v>
          </cell>
          <cell r="M870" t="str">
            <v>ALL</v>
          </cell>
          <cell r="N870" t="str">
            <v>FLPC(含奖金)</v>
          </cell>
          <cell r="O870" t="str">
            <v>USD/小时</v>
          </cell>
          <cell r="P870">
            <v>54.2</v>
          </cell>
        </row>
        <row r="871">
          <cell r="A871" t="str">
            <v>Macedon - Chinese employees - L1</v>
          </cell>
          <cell r="B871" t="str">
            <v>Current version</v>
          </cell>
          <cell r="C871" t="str">
            <v>V2009R2</v>
          </cell>
          <cell r="D871" t="str">
            <v>Labor Rate</v>
          </cell>
          <cell r="E871" t="str">
            <v>EU</v>
          </cell>
          <cell r="F871" t="str">
            <v>CEE&amp;Nordic European Sub-Regional Division</v>
          </cell>
          <cell r="G871" t="str">
            <v>Bulgaria Rep.Office</v>
          </cell>
          <cell r="H871" t="str">
            <v>3318</v>
          </cell>
          <cell r="I871" t="str">
            <v>马其顿</v>
          </cell>
          <cell r="J871" t="str">
            <v>Macedon</v>
          </cell>
          <cell r="K871" t="str">
            <v>Chinese employees</v>
          </cell>
          <cell r="L871" t="str">
            <v>L1</v>
          </cell>
          <cell r="M871" t="str">
            <v>ALL</v>
          </cell>
          <cell r="N871" t="str">
            <v>FLPC(含奖金)</v>
          </cell>
          <cell r="O871" t="str">
            <v>USD/小时</v>
          </cell>
          <cell r="P871">
            <v>60.55</v>
          </cell>
        </row>
        <row r="872">
          <cell r="A872" t="str">
            <v>Macedon - Chinese employees - L2</v>
          </cell>
          <cell r="B872" t="str">
            <v>Current version</v>
          </cell>
          <cell r="C872" t="str">
            <v>V2009R2</v>
          </cell>
          <cell r="D872" t="str">
            <v>Labor Rate</v>
          </cell>
          <cell r="E872" t="str">
            <v>EU</v>
          </cell>
          <cell r="F872" t="str">
            <v>CEE&amp;Nordic European Sub-Regional Division</v>
          </cell>
          <cell r="G872" t="str">
            <v>Bulgaria Rep.Office</v>
          </cell>
          <cell r="H872" t="str">
            <v>3318</v>
          </cell>
          <cell r="I872" t="str">
            <v>马其顿</v>
          </cell>
          <cell r="J872" t="str">
            <v>Macedon</v>
          </cell>
          <cell r="K872" t="str">
            <v>Chinese employees</v>
          </cell>
          <cell r="L872" t="str">
            <v>L2</v>
          </cell>
          <cell r="M872" t="str">
            <v>ALL</v>
          </cell>
          <cell r="N872" t="str">
            <v>FLPC(含奖金)</v>
          </cell>
          <cell r="O872" t="str">
            <v>USD/小时</v>
          </cell>
          <cell r="P872">
            <v>68.77</v>
          </cell>
        </row>
        <row r="873">
          <cell r="A873" t="str">
            <v>Macedon - Chinese employees - L3</v>
          </cell>
          <cell r="B873" t="str">
            <v>Current version</v>
          </cell>
          <cell r="C873" t="str">
            <v>V2009R2</v>
          </cell>
          <cell r="D873" t="str">
            <v>Labor Rate</v>
          </cell>
          <cell r="E873" t="str">
            <v>EU</v>
          </cell>
          <cell r="F873" t="str">
            <v>CEE&amp;Nordic European Sub-Regional Division</v>
          </cell>
          <cell r="G873" t="str">
            <v>Bulgaria Rep.Office</v>
          </cell>
          <cell r="H873" t="str">
            <v>3318</v>
          </cell>
          <cell r="I873" t="str">
            <v>马其顿</v>
          </cell>
          <cell r="J873" t="str">
            <v>Macedon</v>
          </cell>
          <cell r="K873" t="str">
            <v>Chinese employees</v>
          </cell>
          <cell r="L873" t="str">
            <v>L3</v>
          </cell>
          <cell r="M873" t="str">
            <v>ALL</v>
          </cell>
          <cell r="N873" t="str">
            <v>FLPC(含奖金)</v>
          </cell>
          <cell r="O873" t="str">
            <v>USD/小时</v>
          </cell>
          <cell r="P873">
            <v>80.78</v>
          </cell>
        </row>
        <row r="874">
          <cell r="A874" t="str">
            <v>Macedon - Chinese employees - L4</v>
          </cell>
          <cell r="B874" t="str">
            <v>Current version</v>
          </cell>
          <cell r="C874" t="str">
            <v>V2009R2</v>
          </cell>
          <cell r="D874" t="str">
            <v>Labor Rate</v>
          </cell>
          <cell r="E874" t="str">
            <v>EU</v>
          </cell>
          <cell r="F874" t="str">
            <v>CEE&amp;Nordic European Sub-Regional Division</v>
          </cell>
          <cell r="G874" t="str">
            <v>Bulgaria Rep.Office</v>
          </cell>
          <cell r="H874" t="str">
            <v>3318</v>
          </cell>
          <cell r="I874" t="str">
            <v>马其顿</v>
          </cell>
          <cell r="J874" t="str">
            <v>Macedon</v>
          </cell>
          <cell r="K874" t="str">
            <v>Chinese employees</v>
          </cell>
          <cell r="L874" t="str">
            <v>L4</v>
          </cell>
          <cell r="M874" t="str">
            <v>ALL</v>
          </cell>
          <cell r="N874" t="str">
            <v>FLPC(含奖金)</v>
          </cell>
          <cell r="O874" t="str">
            <v>USD/小时</v>
          </cell>
          <cell r="P874">
            <v>123.43</v>
          </cell>
        </row>
        <row r="875">
          <cell r="A875" t="str">
            <v>Bulgaria - Chinese employees - L0</v>
          </cell>
          <cell r="B875" t="str">
            <v>Current version</v>
          </cell>
          <cell r="C875" t="str">
            <v>V2009R2</v>
          </cell>
          <cell r="D875" t="str">
            <v>Labor Rate</v>
          </cell>
          <cell r="E875" t="str">
            <v>EU</v>
          </cell>
          <cell r="F875" t="str">
            <v>CEE&amp;Nordic European Sub-Regional Division</v>
          </cell>
          <cell r="G875" t="str">
            <v>Bulgaria Rep.Office</v>
          </cell>
          <cell r="H875" t="str">
            <v>3313</v>
          </cell>
          <cell r="I875" t="str">
            <v>保加利亚</v>
          </cell>
          <cell r="J875" t="str">
            <v>Bulgaria</v>
          </cell>
          <cell r="K875" t="str">
            <v>Chinese employees</v>
          </cell>
          <cell r="L875" t="str">
            <v>L0</v>
          </cell>
          <cell r="M875" t="str">
            <v>ALL</v>
          </cell>
          <cell r="N875" t="str">
            <v>FLPC(含奖金)</v>
          </cell>
          <cell r="O875" t="str">
            <v>USD/小时</v>
          </cell>
          <cell r="P875">
            <v>47.62</v>
          </cell>
        </row>
        <row r="876">
          <cell r="A876" t="str">
            <v>Bulgaria - Chinese employees - L1</v>
          </cell>
          <cell r="B876" t="str">
            <v>Current version</v>
          </cell>
          <cell r="C876" t="str">
            <v>V2009R2</v>
          </cell>
          <cell r="D876" t="str">
            <v>Labor Rate</v>
          </cell>
          <cell r="E876" t="str">
            <v>EU</v>
          </cell>
          <cell r="F876" t="str">
            <v>CEE&amp;Nordic European Sub-Regional Division</v>
          </cell>
          <cell r="G876" t="str">
            <v>Bulgaria Rep.Office</v>
          </cell>
          <cell r="H876" t="str">
            <v>3313</v>
          </cell>
          <cell r="I876" t="str">
            <v>保加利亚</v>
          </cell>
          <cell r="J876" t="str">
            <v>Bulgaria</v>
          </cell>
          <cell r="K876" t="str">
            <v>Chinese employees</v>
          </cell>
          <cell r="L876" t="str">
            <v>L1</v>
          </cell>
          <cell r="M876" t="str">
            <v>ALL</v>
          </cell>
          <cell r="N876" t="str">
            <v>FLPC(含奖金)</v>
          </cell>
          <cell r="O876" t="str">
            <v>USD/小时</v>
          </cell>
          <cell r="P876">
            <v>54.09</v>
          </cell>
        </row>
        <row r="877">
          <cell r="A877" t="str">
            <v>Bulgaria - Chinese employees - L2</v>
          </cell>
          <cell r="B877" t="str">
            <v>Current version</v>
          </cell>
          <cell r="C877" t="str">
            <v>V2009R2</v>
          </cell>
          <cell r="D877" t="str">
            <v>Labor Rate</v>
          </cell>
          <cell r="E877" t="str">
            <v>EU</v>
          </cell>
          <cell r="F877" t="str">
            <v>CEE&amp;Nordic European Sub-Regional Division</v>
          </cell>
          <cell r="G877" t="str">
            <v>Bulgaria Rep.Office</v>
          </cell>
          <cell r="H877" t="str">
            <v>3313</v>
          </cell>
          <cell r="I877" t="str">
            <v>保加利亚</v>
          </cell>
          <cell r="J877" t="str">
            <v>Bulgaria</v>
          </cell>
          <cell r="K877" t="str">
            <v>Chinese employees</v>
          </cell>
          <cell r="L877" t="str">
            <v>L2</v>
          </cell>
          <cell r="M877" t="str">
            <v>ALL</v>
          </cell>
          <cell r="N877" t="str">
            <v>FLPC(含奖金)</v>
          </cell>
          <cell r="O877" t="str">
            <v>USD/小时</v>
          </cell>
          <cell r="P877">
            <v>62.48</v>
          </cell>
        </row>
        <row r="878">
          <cell r="A878" t="str">
            <v>Bulgaria - Chinese employees - L3</v>
          </cell>
          <cell r="B878" t="str">
            <v>Current version</v>
          </cell>
          <cell r="C878" t="str">
            <v>V2009R2</v>
          </cell>
          <cell r="D878" t="str">
            <v>Labor Rate</v>
          </cell>
          <cell r="E878" t="str">
            <v>EU</v>
          </cell>
          <cell r="F878" t="str">
            <v>CEE&amp;Nordic European Sub-Regional Division</v>
          </cell>
          <cell r="G878" t="str">
            <v>Bulgaria Rep.Office</v>
          </cell>
          <cell r="H878" t="str">
            <v>3313</v>
          </cell>
          <cell r="I878" t="str">
            <v>保加利亚</v>
          </cell>
          <cell r="J878" t="str">
            <v>Bulgaria</v>
          </cell>
          <cell r="K878" t="str">
            <v>Chinese employees</v>
          </cell>
          <cell r="L878" t="str">
            <v>L3</v>
          </cell>
          <cell r="M878" t="str">
            <v>ALL</v>
          </cell>
          <cell r="N878" t="str">
            <v>FLPC(含奖金)</v>
          </cell>
          <cell r="O878" t="str">
            <v>USD/小时</v>
          </cell>
          <cell r="P878">
            <v>74.739999999999995</v>
          </cell>
        </row>
        <row r="879">
          <cell r="A879" t="str">
            <v>Bulgaria - Chinese employees - L4</v>
          </cell>
          <cell r="B879" t="str">
            <v>Current version</v>
          </cell>
          <cell r="C879" t="str">
            <v>V2009R2</v>
          </cell>
          <cell r="D879" t="str">
            <v>Labor Rate</v>
          </cell>
          <cell r="E879" t="str">
            <v>EU</v>
          </cell>
          <cell r="F879" t="str">
            <v>CEE&amp;Nordic European Sub-Regional Division</v>
          </cell>
          <cell r="G879" t="str">
            <v>Bulgaria Rep.Office</v>
          </cell>
          <cell r="H879" t="str">
            <v>3313</v>
          </cell>
          <cell r="I879" t="str">
            <v>保加利亚</v>
          </cell>
          <cell r="J879" t="str">
            <v>Bulgaria</v>
          </cell>
          <cell r="K879" t="str">
            <v>Chinese employees</v>
          </cell>
          <cell r="L879" t="str">
            <v>L4</v>
          </cell>
          <cell r="M879" t="str">
            <v>ALL</v>
          </cell>
          <cell r="N879" t="str">
            <v>FLPC(含奖金)</v>
          </cell>
          <cell r="O879" t="str">
            <v>USD/小时</v>
          </cell>
          <cell r="P879">
            <v>118.24</v>
          </cell>
        </row>
        <row r="880">
          <cell r="A880" t="str">
            <v>Burkina - Chinese employees - L0</v>
          </cell>
          <cell r="B880" t="str">
            <v>Current version</v>
          </cell>
          <cell r="C880" t="str">
            <v>V2009R2</v>
          </cell>
          <cell r="D880" t="str">
            <v>Labor Rate</v>
          </cell>
          <cell r="E880" t="str">
            <v>SA</v>
          </cell>
          <cell r="F880" t="str">
            <v>Western Africa Sub-Regional Division</v>
          </cell>
          <cell r="G880" t="str">
            <v>Togo Rep.O.</v>
          </cell>
          <cell r="H880" t="str">
            <v>4026</v>
          </cell>
          <cell r="I880" t="str">
            <v>布基纳法索</v>
          </cell>
          <cell r="J880" t="str">
            <v>Burkina</v>
          </cell>
          <cell r="K880" t="str">
            <v>Chinese employees</v>
          </cell>
          <cell r="L880" t="str">
            <v>L0</v>
          </cell>
          <cell r="M880" t="str">
            <v>ALL</v>
          </cell>
          <cell r="N880" t="str">
            <v>FLPC(含奖金)</v>
          </cell>
          <cell r="O880" t="str">
            <v>USD/小时</v>
          </cell>
          <cell r="P880">
            <v>42.43</v>
          </cell>
        </row>
        <row r="881">
          <cell r="A881" t="str">
            <v>Burkina - Chinese employees - L1</v>
          </cell>
          <cell r="B881" t="str">
            <v>Current version</v>
          </cell>
          <cell r="C881" t="str">
            <v>V2009R2</v>
          </cell>
          <cell r="D881" t="str">
            <v>Labor Rate</v>
          </cell>
          <cell r="E881" t="str">
            <v>SA</v>
          </cell>
          <cell r="F881" t="str">
            <v>Western Africa Sub-Regional Division</v>
          </cell>
          <cell r="G881" t="str">
            <v>Togo Rep.O.</v>
          </cell>
          <cell r="H881" t="str">
            <v>4026</v>
          </cell>
          <cell r="I881" t="str">
            <v>布基纳法索</v>
          </cell>
          <cell r="J881" t="str">
            <v>Burkina</v>
          </cell>
          <cell r="K881" t="str">
            <v>Chinese employees</v>
          </cell>
          <cell r="L881" t="str">
            <v>L1</v>
          </cell>
          <cell r="M881" t="str">
            <v>ALL</v>
          </cell>
          <cell r="N881" t="str">
            <v>FLPC(含奖金)</v>
          </cell>
          <cell r="O881" t="str">
            <v>USD/小时</v>
          </cell>
          <cell r="P881">
            <v>50.59</v>
          </cell>
        </row>
        <row r="882">
          <cell r="A882" t="str">
            <v>Burkina - Chinese employees - L2</v>
          </cell>
          <cell r="B882" t="str">
            <v>Current version</v>
          </cell>
          <cell r="C882" t="str">
            <v>V2009R2</v>
          </cell>
          <cell r="D882" t="str">
            <v>Labor Rate</v>
          </cell>
          <cell r="E882" t="str">
            <v>SA</v>
          </cell>
          <cell r="F882" t="str">
            <v>Western Africa Sub-Regional Division</v>
          </cell>
          <cell r="G882" t="str">
            <v>Togo Rep.O.</v>
          </cell>
          <cell r="H882" t="str">
            <v>4026</v>
          </cell>
          <cell r="I882" t="str">
            <v>布基纳法索</v>
          </cell>
          <cell r="J882" t="str">
            <v>Burkina</v>
          </cell>
          <cell r="K882" t="str">
            <v>Chinese employees</v>
          </cell>
          <cell r="L882" t="str">
            <v>L2</v>
          </cell>
          <cell r="M882" t="str">
            <v>ALL</v>
          </cell>
          <cell r="N882" t="str">
            <v>FLPC(含奖金)</v>
          </cell>
          <cell r="O882" t="str">
            <v>USD/小时</v>
          </cell>
          <cell r="P882">
            <v>60.03</v>
          </cell>
        </row>
        <row r="883">
          <cell r="A883" t="str">
            <v>Burkina - Chinese employees - L3</v>
          </cell>
          <cell r="B883" t="str">
            <v>Current version</v>
          </cell>
          <cell r="C883" t="str">
            <v>V2009R2</v>
          </cell>
          <cell r="D883" t="str">
            <v>Labor Rate</v>
          </cell>
          <cell r="E883" t="str">
            <v>SA</v>
          </cell>
          <cell r="F883" t="str">
            <v>Western Africa Sub-Regional Division</v>
          </cell>
          <cell r="G883" t="str">
            <v>Togo Rep.O.</v>
          </cell>
          <cell r="H883" t="str">
            <v>4026</v>
          </cell>
          <cell r="I883" t="str">
            <v>布基纳法索</v>
          </cell>
          <cell r="J883" t="str">
            <v>Burkina</v>
          </cell>
          <cell r="K883" t="str">
            <v>Chinese employees</v>
          </cell>
          <cell r="L883" t="str">
            <v>L3</v>
          </cell>
          <cell r="M883" t="str">
            <v>ALL</v>
          </cell>
          <cell r="N883" t="str">
            <v>FLPC(含奖金)</v>
          </cell>
          <cell r="O883" t="str">
            <v>USD/小时</v>
          </cell>
          <cell r="P883">
            <v>74.17</v>
          </cell>
        </row>
        <row r="884">
          <cell r="A884" t="str">
            <v>Burkina - Chinese employees - L4</v>
          </cell>
          <cell r="B884" t="str">
            <v>Current version</v>
          </cell>
          <cell r="C884" t="str">
            <v>V2009R2</v>
          </cell>
          <cell r="D884" t="str">
            <v>Labor Rate</v>
          </cell>
          <cell r="E884" t="str">
            <v>SA</v>
          </cell>
          <cell r="F884" t="str">
            <v>Western Africa Sub-Regional Division</v>
          </cell>
          <cell r="G884" t="str">
            <v>Togo Rep.O.</v>
          </cell>
          <cell r="H884" t="str">
            <v>4026</v>
          </cell>
          <cell r="I884" t="str">
            <v>布基纳法索</v>
          </cell>
          <cell r="J884" t="str">
            <v>Burkina</v>
          </cell>
          <cell r="K884" t="str">
            <v>Chinese employees</v>
          </cell>
          <cell r="L884" t="str">
            <v>L4</v>
          </cell>
          <cell r="M884" t="str">
            <v>ALL</v>
          </cell>
          <cell r="N884" t="str">
            <v>FLPC(含奖金)</v>
          </cell>
          <cell r="O884" t="str">
            <v>USD/小时</v>
          </cell>
          <cell r="P884">
            <v>118.85</v>
          </cell>
        </row>
        <row r="885">
          <cell r="A885" t="str">
            <v>Benin - Chinese employees - L0</v>
          </cell>
          <cell r="B885" t="str">
            <v>Current version</v>
          </cell>
          <cell r="C885" t="str">
            <v>V2009R2</v>
          </cell>
          <cell r="D885" t="str">
            <v>Labor Rate</v>
          </cell>
          <cell r="E885" t="str">
            <v>SA</v>
          </cell>
          <cell r="F885" t="str">
            <v>Western Africa Sub-Regional Division</v>
          </cell>
          <cell r="G885" t="str">
            <v>Togo Rep.O.</v>
          </cell>
          <cell r="H885" t="str">
            <v>4028</v>
          </cell>
          <cell r="I885" t="str">
            <v>贝宁</v>
          </cell>
          <cell r="J885" t="str">
            <v>Benin</v>
          </cell>
          <cell r="K885" t="str">
            <v>Chinese employees</v>
          </cell>
          <cell r="L885" t="str">
            <v>L0</v>
          </cell>
          <cell r="M885" t="str">
            <v>ALL</v>
          </cell>
          <cell r="N885" t="str">
            <v>FLPC(含奖金)</v>
          </cell>
          <cell r="O885" t="str">
            <v>USD/小时</v>
          </cell>
          <cell r="P885">
            <v>41.76</v>
          </cell>
        </row>
        <row r="886">
          <cell r="A886" t="str">
            <v>Benin - Chinese employees - L1</v>
          </cell>
          <cell r="B886" t="str">
            <v>Current version</v>
          </cell>
          <cell r="C886" t="str">
            <v>V2009R2</v>
          </cell>
          <cell r="D886" t="str">
            <v>Labor Rate</v>
          </cell>
          <cell r="E886" t="str">
            <v>SA</v>
          </cell>
          <cell r="F886" t="str">
            <v>Western Africa Sub-Regional Division</v>
          </cell>
          <cell r="G886" t="str">
            <v>Togo Rep.O.</v>
          </cell>
          <cell r="H886" t="str">
            <v>4028</v>
          </cell>
          <cell r="I886" t="str">
            <v>贝宁</v>
          </cell>
          <cell r="J886" t="str">
            <v>Benin</v>
          </cell>
          <cell r="K886" t="str">
            <v>Chinese employees</v>
          </cell>
          <cell r="L886" t="str">
            <v>L1</v>
          </cell>
          <cell r="M886" t="str">
            <v>ALL</v>
          </cell>
          <cell r="N886" t="str">
            <v>FLPC(含奖金)</v>
          </cell>
          <cell r="O886" t="str">
            <v>USD/小时</v>
          </cell>
          <cell r="P886">
            <v>49.79</v>
          </cell>
        </row>
        <row r="887">
          <cell r="A887" t="str">
            <v>Benin - Chinese employees - L2</v>
          </cell>
          <cell r="B887" t="str">
            <v>Current version</v>
          </cell>
          <cell r="C887" t="str">
            <v>V2009R2</v>
          </cell>
          <cell r="D887" t="str">
            <v>Labor Rate</v>
          </cell>
          <cell r="E887" t="str">
            <v>SA</v>
          </cell>
          <cell r="F887" t="str">
            <v>Western Africa Sub-Regional Division</v>
          </cell>
          <cell r="G887" t="str">
            <v>Togo Rep.O.</v>
          </cell>
          <cell r="H887" t="str">
            <v>4028</v>
          </cell>
          <cell r="I887" t="str">
            <v>贝宁</v>
          </cell>
          <cell r="J887" t="str">
            <v>Benin</v>
          </cell>
          <cell r="K887" t="str">
            <v>Chinese employees</v>
          </cell>
          <cell r="L887" t="str">
            <v>L2</v>
          </cell>
          <cell r="M887" t="str">
            <v>ALL</v>
          </cell>
          <cell r="N887" t="str">
            <v>FLPC(含奖金)</v>
          </cell>
          <cell r="O887" t="str">
            <v>USD/小时</v>
          </cell>
          <cell r="P887">
            <v>59.09</v>
          </cell>
        </row>
        <row r="888">
          <cell r="A888" t="str">
            <v>Benin - Chinese employees - L3</v>
          </cell>
          <cell r="B888" t="str">
            <v>Current version</v>
          </cell>
          <cell r="C888" t="str">
            <v>V2009R2</v>
          </cell>
          <cell r="D888" t="str">
            <v>Labor Rate</v>
          </cell>
          <cell r="E888" t="str">
            <v>SA</v>
          </cell>
          <cell r="F888" t="str">
            <v>Western Africa Sub-Regional Division</v>
          </cell>
          <cell r="G888" t="str">
            <v>Togo Rep.O.</v>
          </cell>
          <cell r="H888" t="str">
            <v>4028</v>
          </cell>
          <cell r="I888" t="str">
            <v>贝宁</v>
          </cell>
          <cell r="J888" t="str">
            <v>Benin</v>
          </cell>
          <cell r="K888" t="str">
            <v>Chinese employees</v>
          </cell>
          <cell r="L888" t="str">
            <v>L3</v>
          </cell>
          <cell r="M888" t="str">
            <v>ALL</v>
          </cell>
          <cell r="N888" t="str">
            <v>FLPC(含奖金)</v>
          </cell>
          <cell r="O888" t="str">
            <v>USD/小时</v>
          </cell>
          <cell r="P888">
            <v>73</v>
          </cell>
        </row>
        <row r="889">
          <cell r="A889" t="str">
            <v>Benin - Chinese employees - L4</v>
          </cell>
          <cell r="B889" t="str">
            <v>Current version</v>
          </cell>
          <cell r="C889" t="str">
            <v>V2009R2</v>
          </cell>
          <cell r="D889" t="str">
            <v>Labor Rate</v>
          </cell>
          <cell r="E889" t="str">
            <v>SA</v>
          </cell>
          <cell r="F889" t="str">
            <v>Western Africa Sub-Regional Division</v>
          </cell>
          <cell r="G889" t="str">
            <v>Togo Rep.O.</v>
          </cell>
          <cell r="H889" t="str">
            <v>4028</v>
          </cell>
          <cell r="I889" t="str">
            <v>贝宁</v>
          </cell>
          <cell r="J889" t="str">
            <v>Benin</v>
          </cell>
          <cell r="K889" t="str">
            <v>Chinese employees</v>
          </cell>
          <cell r="L889" t="str">
            <v>L4</v>
          </cell>
          <cell r="M889" t="str">
            <v>ALL</v>
          </cell>
          <cell r="N889" t="str">
            <v>FLPC(含奖金)</v>
          </cell>
          <cell r="O889" t="str">
            <v>USD/小时</v>
          </cell>
          <cell r="P889">
            <v>115.45</v>
          </cell>
        </row>
        <row r="890">
          <cell r="A890" t="str">
            <v>Togo - Chinese employees - L0</v>
          </cell>
          <cell r="B890" t="str">
            <v>Current version</v>
          </cell>
          <cell r="C890" t="str">
            <v>V2009R2</v>
          </cell>
          <cell r="D890" t="str">
            <v>Labor Rate</v>
          </cell>
          <cell r="E890" t="str">
            <v>SA</v>
          </cell>
          <cell r="F890" t="str">
            <v>Western Africa Sub-Regional Division</v>
          </cell>
          <cell r="G890" t="str">
            <v>Togo Rep.O.</v>
          </cell>
          <cell r="H890" t="str">
            <v>4031</v>
          </cell>
          <cell r="I890" t="str">
            <v>多哥</v>
          </cell>
          <cell r="J890" t="str">
            <v>Togo</v>
          </cell>
          <cell r="K890" t="str">
            <v>Chinese employees</v>
          </cell>
          <cell r="L890" t="str">
            <v>L0</v>
          </cell>
          <cell r="M890" t="str">
            <v>ALL</v>
          </cell>
          <cell r="N890" t="str">
            <v>FLPC(含奖金)</v>
          </cell>
          <cell r="O890" t="str">
            <v>USD/小时</v>
          </cell>
          <cell r="P890">
            <v>41.76</v>
          </cell>
        </row>
        <row r="891">
          <cell r="A891" t="str">
            <v>Togo - Chinese employees - L1</v>
          </cell>
          <cell r="B891" t="str">
            <v>Current version</v>
          </cell>
          <cell r="C891" t="str">
            <v>V2009R2</v>
          </cell>
          <cell r="D891" t="str">
            <v>Labor Rate</v>
          </cell>
          <cell r="E891" t="str">
            <v>SA</v>
          </cell>
          <cell r="F891" t="str">
            <v>Western Africa Sub-Regional Division</v>
          </cell>
          <cell r="G891" t="str">
            <v>Togo Rep.O.</v>
          </cell>
          <cell r="H891" t="str">
            <v>4031</v>
          </cell>
          <cell r="I891" t="str">
            <v>多哥</v>
          </cell>
          <cell r="J891" t="str">
            <v>Togo</v>
          </cell>
          <cell r="K891" t="str">
            <v>Chinese employees</v>
          </cell>
          <cell r="L891" t="str">
            <v>L1</v>
          </cell>
          <cell r="M891" t="str">
            <v>ALL</v>
          </cell>
          <cell r="N891" t="str">
            <v>FLPC(含奖金)</v>
          </cell>
          <cell r="O891" t="str">
            <v>USD/小时</v>
          </cell>
          <cell r="P891">
            <v>49.79</v>
          </cell>
        </row>
        <row r="892">
          <cell r="A892" t="str">
            <v>Togo - Chinese employees - L2</v>
          </cell>
          <cell r="B892" t="str">
            <v>Current version</v>
          </cell>
          <cell r="C892" t="str">
            <v>V2009R2</v>
          </cell>
          <cell r="D892" t="str">
            <v>Labor Rate</v>
          </cell>
          <cell r="E892" t="str">
            <v>SA</v>
          </cell>
          <cell r="F892" t="str">
            <v>Western Africa Sub-Regional Division</v>
          </cell>
          <cell r="G892" t="str">
            <v>Togo Rep.O.</v>
          </cell>
          <cell r="H892" t="str">
            <v>4031</v>
          </cell>
          <cell r="I892" t="str">
            <v>多哥</v>
          </cell>
          <cell r="J892" t="str">
            <v>Togo</v>
          </cell>
          <cell r="K892" t="str">
            <v>Chinese employees</v>
          </cell>
          <cell r="L892" t="str">
            <v>L2</v>
          </cell>
          <cell r="M892" t="str">
            <v>ALL</v>
          </cell>
          <cell r="N892" t="str">
            <v>FLPC(含奖金)</v>
          </cell>
          <cell r="O892" t="str">
            <v>USD/小时</v>
          </cell>
          <cell r="P892">
            <v>59.09</v>
          </cell>
        </row>
        <row r="893">
          <cell r="A893" t="str">
            <v>Togo - Chinese employees - L3</v>
          </cell>
          <cell r="B893" t="str">
            <v>Current version</v>
          </cell>
          <cell r="C893" t="str">
            <v>V2009R2</v>
          </cell>
          <cell r="D893" t="str">
            <v>Labor Rate</v>
          </cell>
          <cell r="E893" t="str">
            <v>SA</v>
          </cell>
          <cell r="F893" t="str">
            <v>Western Africa Sub-Regional Division</v>
          </cell>
          <cell r="G893" t="str">
            <v>Togo Rep.O.</v>
          </cell>
          <cell r="H893" t="str">
            <v>4031</v>
          </cell>
          <cell r="I893" t="str">
            <v>多哥</v>
          </cell>
          <cell r="J893" t="str">
            <v>Togo</v>
          </cell>
          <cell r="K893" t="str">
            <v>Chinese employees</v>
          </cell>
          <cell r="L893" t="str">
            <v>L3</v>
          </cell>
          <cell r="M893" t="str">
            <v>ALL</v>
          </cell>
          <cell r="N893" t="str">
            <v>FLPC(含奖金)</v>
          </cell>
          <cell r="O893" t="str">
            <v>USD/小时</v>
          </cell>
          <cell r="P893">
            <v>73</v>
          </cell>
        </row>
        <row r="894">
          <cell r="A894" t="str">
            <v>Togo - Chinese employees - L4</v>
          </cell>
          <cell r="B894" t="str">
            <v>Current version</v>
          </cell>
          <cell r="C894" t="str">
            <v>V2009R2</v>
          </cell>
          <cell r="D894" t="str">
            <v>Labor Rate</v>
          </cell>
          <cell r="E894" t="str">
            <v>SA</v>
          </cell>
          <cell r="F894" t="str">
            <v>Western Africa Sub-Regional Division</v>
          </cell>
          <cell r="G894" t="str">
            <v>Togo Rep.O.</v>
          </cell>
          <cell r="H894" t="str">
            <v>4031</v>
          </cell>
          <cell r="I894" t="str">
            <v>多哥</v>
          </cell>
          <cell r="J894" t="str">
            <v>Togo</v>
          </cell>
          <cell r="K894" t="str">
            <v>Chinese employees</v>
          </cell>
          <cell r="L894" t="str">
            <v>L4</v>
          </cell>
          <cell r="M894" t="str">
            <v>ALL</v>
          </cell>
          <cell r="N894" t="str">
            <v>FLPC(含奖金)</v>
          </cell>
          <cell r="O894" t="str">
            <v>USD/小时</v>
          </cell>
          <cell r="P894">
            <v>115.45</v>
          </cell>
        </row>
        <row r="895">
          <cell r="A895" t="str">
            <v>Lagos,Nigeria - Chinese employees - L0</v>
          </cell>
          <cell r="B895" t="str">
            <v>Current version</v>
          </cell>
          <cell r="C895" t="str">
            <v>V2009R2</v>
          </cell>
          <cell r="D895" t="str">
            <v>Labor Rate</v>
          </cell>
          <cell r="E895" t="str">
            <v>SA</v>
          </cell>
          <cell r="F895" t="str">
            <v>Western Africa Sub-Regional Division</v>
          </cell>
          <cell r="G895" t="str">
            <v>Nigeria Rep.O.</v>
          </cell>
          <cell r="H895" t="str">
            <v>4004</v>
          </cell>
          <cell r="I895" t="str">
            <v>尼日利亚拉各斯</v>
          </cell>
          <cell r="J895" t="str">
            <v>Lagos,Nigeria</v>
          </cell>
          <cell r="K895" t="str">
            <v>Chinese employees</v>
          </cell>
          <cell r="L895" t="str">
            <v>L0</v>
          </cell>
          <cell r="M895" t="str">
            <v>ALL</v>
          </cell>
          <cell r="N895" t="str">
            <v>FLPC(含奖金)</v>
          </cell>
          <cell r="O895" t="str">
            <v>USD/小时</v>
          </cell>
          <cell r="P895">
            <v>71.900000000000006</v>
          </cell>
        </row>
        <row r="896">
          <cell r="A896" t="str">
            <v>Lagos,Nigeria - Chinese employees - L1</v>
          </cell>
          <cell r="B896" t="str">
            <v>Current version</v>
          </cell>
          <cell r="C896" t="str">
            <v>V2009R2</v>
          </cell>
          <cell r="D896" t="str">
            <v>Labor Rate</v>
          </cell>
          <cell r="E896" t="str">
            <v>SA</v>
          </cell>
          <cell r="F896" t="str">
            <v>Western Africa Sub-Regional Division</v>
          </cell>
          <cell r="G896" t="str">
            <v>Nigeria Rep.O.</v>
          </cell>
          <cell r="H896" t="str">
            <v>4004</v>
          </cell>
          <cell r="I896" t="str">
            <v>尼日利亚拉各斯</v>
          </cell>
          <cell r="J896" t="str">
            <v>Lagos,Nigeria</v>
          </cell>
          <cell r="K896" t="str">
            <v>Chinese employees</v>
          </cell>
          <cell r="L896" t="str">
            <v>L1</v>
          </cell>
          <cell r="M896" t="str">
            <v>ALL</v>
          </cell>
          <cell r="N896" t="str">
            <v>FLPC(含奖金)</v>
          </cell>
          <cell r="O896" t="str">
            <v>USD/小时</v>
          </cell>
          <cell r="P896">
            <v>79.92</v>
          </cell>
        </row>
        <row r="897">
          <cell r="A897" t="str">
            <v>Lagos,Nigeria - Chinese employees - L2</v>
          </cell>
          <cell r="B897" t="str">
            <v>Current version</v>
          </cell>
          <cell r="C897" t="str">
            <v>V2009R2</v>
          </cell>
          <cell r="D897" t="str">
            <v>Labor Rate</v>
          </cell>
          <cell r="E897" t="str">
            <v>SA</v>
          </cell>
          <cell r="F897" t="str">
            <v>Western Africa Sub-Regional Division</v>
          </cell>
          <cell r="G897" t="str">
            <v>Nigeria Rep.O.</v>
          </cell>
          <cell r="H897" t="str">
            <v>4004</v>
          </cell>
          <cell r="I897" t="str">
            <v>尼日利亚拉各斯</v>
          </cell>
          <cell r="J897" t="str">
            <v>Lagos,Nigeria</v>
          </cell>
          <cell r="K897" t="str">
            <v>Chinese employees</v>
          </cell>
          <cell r="L897" t="str">
            <v>L2</v>
          </cell>
          <cell r="M897" t="str">
            <v>ALL</v>
          </cell>
          <cell r="N897" t="str">
            <v>FLPC(含奖金)</v>
          </cell>
          <cell r="O897" t="str">
            <v>USD/小时</v>
          </cell>
          <cell r="P897">
            <v>89.63</v>
          </cell>
        </row>
        <row r="898">
          <cell r="A898" t="str">
            <v>Lagos,Nigeria - Chinese employees - L3</v>
          </cell>
          <cell r="B898" t="str">
            <v>Current version</v>
          </cell>
          <cell r="C898" t="str">
            <v>V2009R2</v>
          </cell>
          <cell r="D898" t="str">
            <v>Labor Rate</v>
          </cell>
          <cell r="E898" t="str">
            <v>SA</v>
          </cell>
          <cell r="F898" t="str">
            <v>Western Africa Sub-Regional Division</v>
          </cell>
          <cell r="G898" t="str">
            <v>Nigeria Rep.O.</v>
          </cell>
          <cell r="H898" t="str">
            <v>4004</v>
          </cell>
          <cell r="I898" t="str">
            <v>尼日利亚拉各斯</v>
          </cell>
          <cell r="J898" t="str">
            <v>Lagos,Nigeria</v>
          </cell>
          <cell r="K898" t="str">
            <v>Chinese employees</v>
          </cell>
          <cell r="L898" t="str">
            <v>L3</v>
          </cell>
          <cell r="M898" t="str">
            <v>ALL</v>
          </cell>
          <cell r="N898" t="str">
            <v>FLPC(含奖金)</v>
          </cell>
          <cell r="O898" t="str">
            <v>USD/小时</v>
          </cell>
          <cell r="P898">
            <v>102.92</v>
          </cell>
        </row>
        <row r="899">
          <cell r="A899" t="str">
            <v>Lagos,Nigeria - Chinese employees - L4</v>
          </cell>
          <cell r="B899" t="str">
            <v>Current version</v>
          </cell>
          <cell r="C899" t="str">
            <v>V2009R2</v>
          </cell>
          <cell r="D899" t="str">
            <v>Labor Rate</v>
          </cell>
          <cell r="E899" t="str">
            <v>SA</v>
          </cell>
          <cell r="F899" t="str">
            <v>Western Africa Sub-Regional Division</v>
          </cell>
          <cell r="G899" t="str">
            <v>Nigeria Rep.O.</v>
          </cell>
          <cell r="H899" t="str">
            <v>4004</v>
          </cell>
          <cell r="I899" t="str">
            <v>尼日利亚拉各斯</v>
          </cell>
          <cell r="J899" t="str">
            <v>Lagos,Nigeria</v>
          </cell>
          <cell r="K899" t="str">
            <v>Chinese employees</v>
          </cell>
          <cell r="L899" t="str">
            <v>L4</v>
          </cell>
          <cell r="M899" t="str">
            <v>ALL</v>
          </cell>
          <cell r="N899" t="str">
            <v>FLPC(含奖金)</v>
          </cell>
          <cell r="O899" t="str">
            <v>USD/小时</v>
          </cell>
          <cell r="P899">
            <v>151.97999999999999</v>
          </cell>
        </row>
        <row r="900">
          <cell r="A900" t="str">
            <v>Abuja，Nigeria - Chinese employees - L0</v>
          </cell>
          <cell r="B900" t="str">
            <v>Current version</v>
          </cell>
          <cell r="C900" t="str">
            <v>V2009R2</v>
          </cell>
          <cell r="D900" t="str">
            <v>Labor Rate</v>
          </cell>
          <cell r="E900" t="str">
            <v>SA</v>
          </cell>
          <cell r="F900" t="str">
            <v>Western Africa Sub-Regional Division</v>
          </cell>
          <cell r="G900" t="str">
            <v>Nigeria Rep.O.</v>
          </cell>
          <cell r="H900" t="str">
            <v>4032</v>
          </cell>
          <cell r="I900" t="str">
            <v>尼日利亚阿布贾</v>
          </cell>
          <cell r="J900" t="str">
            <v>Abuja，Nigeria</v>
          </cell>
          <cell r="K900" t="str">
            <v>Chinese employees</v>
          </cell>
          <cell r="L900" t="str">
            <v>L0</v>
          </cell>
          <cell r="M900" t="str">
            <v>ALL</v>
          </cell>
          <cell r="N900" t="str">
            <v>FLPC(含奖金)</v>
          </cell>
          <cell r="O900" t="str">
            <v>USD/小时</v>
          </cell>
          <cell r="P900">
            <v>71.900000000000006</v>
          </cell>
        </row>
        <row r="901">
          <cell r="A901" t="str">
            <v>Abuja，Nigeria - Chinese employees - L1</v>
          </cell>
          <cell r="B901" t="str">
            <v>Current version</v>
          </cell>
          <cell r="C901" t="str">
            <v>V2009R2</v>
          </cell>
          <cell r="D901" t="str">
            <v>Labor Rate</v>
          </cell>
          <cell r="E901" t="str">
            <v>SA</v>
          </cell>
          <cell r="F901" t="str">
            <v>Western Africa Sub-Regional Division</v>
          </cell>
          <cell r="G901" t="str">
            <v>Nigeria Rep.O.</v>
          </cell>
          <cell r="H901" t="str">
            <v>4032</v>
          </cell>
          <cell r="I901" t="str">
            <v>尼日利亚阿布贾</v>
          </cell>
          <cell r="J901" t="str">
            <v>Abuja，Nigeria</v>
          </cell>
          <cell r="K901" t="str">
            <v>Chinese employees</v>
          </cell>
          <cell r="L901" t="str">
            <v>L1</v>
          </cell>
          <cell r="M901" t="str">
            <v>ALL</v>
          </cell>
          <cell r="N901" t="str">
            <v>FLPC(含奖金)</v>
          </cell>
          <cell r="O901" t="str">
            <v>USD/小时</v>
          </cell>
          <cell r="P901">
            <v>79.92</v>
          </cell>
        </row>
        <row r="902">
          <cell r="A902" t="str">
            <v>Abuja，Nigeria - Chinese employees - L2</v>
          </cell>
          <cell r="B902" t="str">
            <v>Current version</v>
          </cell>
          <cell r="C902" t="str">
            <v>V2009R2</v>
          </cell>
          <cell r="D902" t="str">
            <v>Labor Rate</v>
          </cell>
          <cell r="E902" t="str">
            <v>SA</v>
          </cell>
          <cell r="F902" t="str">
            <v>Western Africa Sub-Regional Division</v>
          </cell>
          <cell r="G902" t="str">
            <v>Nigeria Rep.O.</v>
          </cell>
          <cell r="H902" t="str">
            <v>4032</v>
          </cell>
          <cell r="I902" t="str">
            <v>尼日利亚阿布贾</v>
          </cell>
          <cell r="J902" t="str">
            <v>Abuja，Nigeria</v>
          </cell>
          <cell r="K902" t="str">
            <v>Chinese employees</v>
          </cell>
          <cell r="L902" t="str">
            <v>L2</v>
          </cell>
          <cell r="M902" t="str">
            <v>ALL</v>
          </cell>
          <cell r="N902" t="str">
            <v>FLPC(含奖金)</v>
          </cell>
          <cell r="O902" t="str">
            <v>USD/小时</v>
          </cell>
          <cell r="P902">
            <v>89.63</v>
          </cell>
        </row>
        <row r="903">
          <cell r="A903" t="str">
            <v>Abuja，Nigeria - Chinese employees - L3</v>
          </cell>
          <cell r="B903" t="str">
            <v>Current version</v>
          </cell>
          <cell r="C903" t="str">
            <v>V2009R2</v>
          </cell>
          <cell r="D903" t="str">
            <v>Labor Rate</v>
          </cell>
          <cell r="E903" t="str">
            <v>SA</v>
          </cell>
          <cell r="F903" t="str">
            <v>Western Africa Sub-Regional Division</v>
          </cell>
          <cell r="G903" t="str">
            <v>Nigeria Rep.O.</v>
          </cell>
          <cell r="H903" t="str">
            <v>4032</v>
          </cell>
          <cell r="I903" t="str">
            <v>尼日利亚阿布贾</v>
          </cell>
          <cell r="J903" t="str">
            <v>Abuja，Nigeria</v>
          </cell>
          <cell r="K903" t="str">
            <v>Chinese employees</v>
          </cell>
          <cell r="L903" t="str">
            <v>L3</v>
          </cell>
          <cell r="M903" t="str">
            <v>ALL</v>
          </cell>
          <cell r="N903" t="str">
            <v>FLPC(含奖金)</v>
          </cell>
          <cell r="O903" t="str">
            <v>USD/小时</v>
          </cell>
          <cell r="P903">
            <v>102.92</v>
          </cell>
        </row>
        <row r="904">
          <cell r="A904" t="str">
            <v>Abuja，Nigeria - Chinese employees - L4</v>
          </cell>
          <cell r="B904" t="str">
            <v>Current version</v>
          </cell>
          <cell r="C904" t="str">
            <v>V2009R2</v>
          </cell>
          <cell r="D904" t="str">
            <v>Labor Rate</v>
          </cell>
          <cell r="E904" t="str">
            <v>SA</v>
          </cell>
          <cell r="F904" t="str">
            <v>Western Africa Sub-Regional Division</v>
          </cell>
          <cell r="G904" t="str">
            <v>Nigeria Rep.O.</v>
          </cell>
          <cell r="H904" t="str">
            <v>4032</v>
          </cell>
          <cell r="I904" t="str">
            <v>尼日利亚阿布贾</v>
          </cell>
          <cell r="J904" t="str">
            <v>Abuja，Nigeria</v>
          </cell>
          <cell r="K904" t="str">
            <v>Chinese employees</v>
          </cell>
          <cell r="L904" t="str">
            <v>L4</v>
          </cell>
          <cell r="M904" t="str">
            <v>ALL</v>
          </cell>
          <cell r="N904" t="str">
            <v>FLPC(含奖金)</v>
          </cell>
          <cell r="O904" t="str">
            <v>USD/小时</v>
          </cell>
          <cell r="P904">
            <v>151.97999999999999</v>
          </cell>
        </row>
        <row r="905">
          <cell r="A905" t="str">
            <v>Nigeria - Chinese employees - L0</v>
          </cell>
          <cell r="B905" t="str">
            <v>Current version</v>
          </cell>
          <cell r="C905" t="str">
            <v>V2009R2</v>
          </cell>
          <cell r="D905" t="str">
            <v>Labor Rate</v>
          </cell>
          <cell r="E905" t="str">
            <v>SA</v>
          </cell>
          <cell r="F905" t="str">
            <v>Western Africa Sub-Regional Division</v>
          </cell>
          <cell r="G905" t="str">
            <v>Nigeria Rep.O.</v>
          </cell>
          <cell r="H905" t="str">
            <v>4049</v>
          </cell>
          <cell r="I905" t="str">
            <v>尼日利亚</v>
          </cell>
          <cell r="J905" t="str">
            <v>Nigeria</v>
          </cell>
          <cell r="K905" t="str">
            <v>Chinese employees</v>
          </cell>
          <cell r="L905" t="str">
            <v>L0</v>
          </cell>
          <cell r="M905" t="str">
            <v>ALL</v>
          </cell>
          <cell r="N905" t="str">
            <v>FLPC(含奖金)</v>
          </cell>
          <cell r="O905" t="str">
            <v>USD/小时</v>
          </cell>
          <cell r="P905">
            <v>71.900000000000006</v>
          </cell>
        </row>
        <row r="906">
          <cell r="A906" t="str">
            <v>Nigeria - Chinese employees - L1</v>
          </cell>
          <cell r="B906" t="str">
            <v>Current version</v>
          </cell>
          <cell r="C906" t="str">
            <v>V2009R2</v>
          </cell>
          <cell r="D906" t="str">
            <v>Labor Rate</v>
          </cell>
          <cell r="E906" t="str">
            <v>SA</v>
          </cell>
          <cell r="F906" t="str">
            <v>Western Africa Sub-Regional Division</v>
          </cell>
          <cell r="G906" t="str">
            <v>Nigeria Rep.O.</v>
          </cell>
          <cell r="H906" t="str">
            <v>4049</v>
          </cell>
          <cell r="I906" t="str">
            <v>尼日利亚</v>
          </cell>
          <cell r="J906" t="str">
            <v>Nigeria</v>
          </cell>
          <cell r="K906" t="str">
            <v>Chinese employees</v>
          </cell>
          <cell r="L906" t="str">
            <v>L1</v>
          </cell>
          <cell r="M906" t="str">
            <v>ALL</v>
          </cell>
          <cell r="N906" t="str">
            <v>FLPC(含奖金)</v>
          </cell>
          <cell r="O906" t="str">
            <v>USD/小时</v>
          </cell>
          <cell r="P906">
            <v>79.92</v>
          </cell>
        </row>
        <row r="907">
          <cell r="A907" t="str">
            <v>Nigeria - Chinese employees - L2</v>
          </cell>
          <cell r="B907" t="str">
            <v>Current version</v>
          </cell>
          <cell r="C907" t="str">
            <v>V2009R2</v>
          </cell>
          <cell r="D907" t="str">
            <v>Labor Rate</v>
          </cell>
          <cell r="E907" t="str">
            <v>SA</v>
          </cell>
          <cell r="F907" t="str">
            <v>Western Africa Sub-Regional Division</v>
          </cell>
          <cell r="G907" t="str">
            <v>Nigeria Rep.O.</v>
          </cell>
          <cell r="H907" t="str">
            <v>4049</v>
          </cell>
          <cell r="I907" t="str">
            <v>尼日利亚</v>
          </cell>
          <cell r="J907" t="str">
            <v>Nigeria</v>
          </cell>
          <cell r="K907" t="str">
            <v>Chinese employees</v>
          </cell>
          <cell r="L907" t="str">
            <v>L2</v>
          </cell>
          <cell r="M907" t="str">
            <v>ALL</v>
          </cell>
          <cell r="N907" t="str">
            <v>FLPC(含奖金)</v>
          </cell>
          <cell r="O907" t="str">
            <v>USD/小时</v>
          </cell>
          <cell r="P907">
            <v>89.63</v>
          </cell>
        </row>
        <row r="908">
          <cell r="A908" t="str">
            <v>Nigeria - Chinese employees - L3</v>
          </cell>
          <cell r="B908" t="str">
            <v>Current version</v>
          </cell>
          <cell r="C908" t="str">
            <v>V2009R2</v>
          </cell>
          <cell r="D908" t="str">
            <v>Labor Rate</v>
          </cell>
          <cell r="E908" t="str">
            <v>SA</v>
          </cell>
          <cell r="F908" t="str">
            <v>Western Africa Sub-Regional Division</v>
          </cell>
          <cell r="G908" t="str">
            <v>Nigeria Rep.O.</v>
          </cell>
          <cell r="H908" t="str">
            <v>4049</v>
          </cell>
          <cell r="I908" t="str">
            <v>尼日利亚</v>
          </cell>
          <cell r="J908" t="str">
            <v>Nigeria</v>
          </cell>
          <cell r="K908" t="str">
            <v>Chinese employees</v>
          </cell>
          <cell r="L908" t="str">
            <v>L3</v>
          </cell>
          <cell r="M908" t="str">
            <v>ALL</v>
          </cell>
          <cell r="N908" t="str">
            <v>FLPC(含奖金)</v>
          </cell>
          <cell r="O908" t="str">
            <v>USD/小时</v>
          </cell>
          <cell r="P908">
            <v>102.92</v>
          </cell>
        </row>
        <row r="909">
          <cell r="A909" t="str">
            <v>Nigeria - Chinese employees - L4</v>
          </cell>
          <cell r="B909" t="str">
            <v>Current version</v>
          </cell>
          <cell r="C909" t="str">
            <v>V2009R2</v>
          </cell>
          <cell r="D909" t="str">
            <v>Labor Rate</v>
          </cell>
          <cell r="E909" t="str">
            <v>SA</v>
          </cell>
          <cell r="F909" t="str">
            <v>Western Africa Sub-Regional Division</v>
          </cell>
          <cell r="G909" t="str">
            <v>Nigeria Rep.O.</v>
          </cell>
          <cell r="H909" t="str">
            <v>4049</v>
          </cell>
          <cell r="I909" t="str">
            <v>尼日利亚</v>
          </cell>
          <cell r="J909" t="str">
            <v>Nigeria</v>
          </cell>
          <cell r="K909" t="str">
            <v>Chinese employees</v>
          </cell>
          <cell r="L909" t="str">
            <v>L4</v>
          </cell>
          <cell r="M909" t="str">
            <v>ALL</v>
          </cell>
          <cell r="N909" t="str">
            <v>FLPC(含奖金)</v>
          </cell>
          <cell r="O909" t="str">
            <v>USD/小时</v>
          </cell>
          <cell r="P909">
            <v>151.97999999999999</v>
          </cell>
        </row>
        <row r="910">
          <cell r="A910" t="str">
            <v>Ghana - Chinese employees - L0</v>
          </cell>
          <cell r="B910" t="str">
            <v>Current version</v>
          </cell>
          <cell r="C910" t="str">
            <v>V2009R2</v>
          </cell>
          <cell r="D910" t="str">
            <v>Labor Rate</v>
          </cell>
          <cell r="E910" t="str">
            <v>SA</v>
          </cell>
          <cell r="F910" t="str">
            <v>Western Africa Sub-Regional Division</v>
          </cell>
          <cell r="G910" t="str">
            <v>Ghana Rep.O.</v>
          </cell>
          <cell r="H910" t="str">
            <v>4005</v>
          </cell>
          <cell r="I910" t="str">
            <v>加纳</v>
          </cell>
          <cell r="J910" t="str">
            <v>Ghana</v>
          </cell>
          <cell r="K910" t="str">
            <v>Chinese employees</v>
          </cell>
          <cell r="L910" t="str">
            <v>L0</v>
          </cell>
          <cell r="M910" t="str">
            <v>ALL</v>
          </cell>
          <cell r="N910" t="str">
            <v>FLPC(含奖金)</v>
          </cell>
          <cell r="O910" t="str">
            <v>USD/小时</v>
          </cell>
          <cell r="P910">
            <v>55.65</v>
          </cell>
        </row>
        <row r="911">
          <cell r="A911" t="str">
            <v>Ghana - Chinese employees - L1</v>
          </cell>
          <cell r="B911" t="str">
            <v>Current version</v>
          </cell>
          <cell r="C911" t="str">
            <v>V2009R2</v>
          </cell>
          <cell r="D911" t="str">
            <v>Labor Rate</v>
          </cell>
          <cell r="E911" t="str">
            <v>SA</v>
          </cell>
          <cell r="F911" t="str">
            <v>Western Africa Sub-Regional Division</v>
          </cell>
          <cell r="G911" t="str">
            <v>Ghana Rep.O.</v>
          </cell>
          <cell r="H911" t="str">
            <v>4005</v>
          </cell>
          <cell r="I911" t="str">
            <v>加纳</v>
          </cell>
          <cell r="J911" t="str">
            <v>Ghana</v>
          </cell>
          <cell r="K911" t="str">
            <v>Chinese employees</v>
          </cell>
          <cell r="L911" t="str">
            <v>L1</v>
          </cell>
          <cell r="M911" t="str">
            <v>ALL</v>
          </cell>
          <cell r="N911" t="str">
            <v>FLPC(含奖金)</v>
          </cell>
          <cell r="O911" t="str">
            <v>USD/小时</v>
          </cell>
          <cell r="P911">
            <v>62.8</v>
          </cell>
        </row>
        <row r="912">
          <cell r="A912" t="str">
            <v>Ghana - Chinese employees - L2</v>
          </cell>
          <cell r="B912" t="str">
            <v>Current version</v>
          </cell>
          <cell r="C912" t="str">
            <v>V2009R2</v>
          </cell>
          <cell r="D912" t="str">
            <v>Labor Rate</v>
          </cell>
          <cell r="E912" t="str">
            <v>SA</v>
          </cell>
          <cell r="F912" t="str">
            <v>Western Africa Sub-Regional Division</v>
          </cell>
          <cell r="G912" t="str">
            <v>Ghana Rep.O.</v>
          </cell>
          <cell r="H912" t="str">
            <v>4005</v>
          </cell>
          <cell r="I912" t="str">
            <v>加纳</v>
          </cell>
          <cell r="J912" t="str">
            <v>Ghana</v>
          </cell>
          <cell r="K912" t="str">
            <v>Chinese employees</v>
          </cell>
          <cell r="L912" t="str">
            <v>L2</v>
          </cell>
          <cell r="M912" t="str">
            <v>ALL</v>
          </cell>
          <cell r="N912" t="str">
            <v>FLPC(含奖金)</v>
          </cell>
          <cell r="O912" t="str">
            <v>USD/小时</v>
          </cell>
          <cell r="P912">
            <v>71.61</v>
          </cell>
        </row>
        <row r="913">
          <cell r="A913" t="str">
            <v>Ghana - Chinese employees - L3</v>
          </cell>
          <cell r="B913" t="str">
            <v>Current version</v>
          </cell>
          <cell r="C913" t="str">
            <v>V2009R2</v>
          </cell>
          <cell r="D913" t="str">
            <v>Labor Rate</v>
          </cell>
          <cell r="E913" t="str">
            <v>SA</v>
          </cell>
          <cell r="F913" t="str">
            <v>Western Africa Sub-Regional Division</v>
          </cell>
          <cell r="G913" t="str">
            <v>Ghana Rep.O.</v>
          </cell>
          <cell r="H913" t="str">
            <v>4005</v>
          </cell>
          <cell r="I913" t="str">
            <v>加纳</v>
          </cell>
          <cell r="J913" t="str">
            <v>Ghana</v>
          </cell>
          <cell r="K913" t="str">
            <v>Chinese employees</v>
          </cell>
          <cell r="L913" t="str">
            <v>L3</v>
          </cell>
          <cell r="M913" t="str">
            <v>ALL</v>
          </cell>
          <cell r="N913" t="str">
            <v>FLPC(含奖金)</v>
          </cell>
          <cell r="O913" t="str">
            <v>USD/小时</v>
          </cell>
          <cell r="P913">
            <v>84.91</v>
          </cell>
        </row>
        <row r="914">
          <cell r="A914" t="str">
            <v>Ghana - Chinese employees - L4</v>
          </cell>
          <cell r="B914" t="str">
            <v>Current version</v>
          </cell>
          <cell r="C914" t="str">
            <v>V2009R2</v>
          </cell>
          <cell r="D914" t="str">
            <v>Labor Rate</v>
          </cell>
          <cell r="E914" t="str">
            <v>SA</v>
          </cell>
          <cell r="F914" t="str">
            <v>Western Africa Sub-Regional Division</v>
          </cell>
          <cell r="G914" t="str">
            <v>Ghana Rep.O.</v>
          </cell>
          <cell r="H914" t="str">
            <v>4005</v>
          </cell>
          <cell r="I914" t="str">
            <v>加纳</v>
          </cell>
          <cell r="J914" t="str">
            <v>Ghana</v>
          </cell>
          <cell r="K914" t="str">
            <v>Chinese employees</v>
          </cell>
          <cell r="L914" t="str">
            <v>L4</v>
          </cell>
          <cell r="M914" t="str">
            <v>ALL</v>
          </cell>
          <cell r="N914" t="str">
            <v>FLPC(含奖金)</v>
          </cell>
          <cell r="O914" t="str">
            <v>USD/小时</v>
          </cell>
          <cell r="P914">
            <v>130.88999999999999</v>
          </cell>
        </row>
        <row r="915">
          <cell r="A915" t="str">
            <v>Sierra Leone - Chinese employees - L0</v>
          </cell>
          <cell r="B915" t="str">
            <v>Current version</v>
          </cell>
          <cell r="C915" t="str">
            <v>V2009R2</v>
          </cell>
          <cell r="D915" t="str">
            <v>Labor Rate</v>
          </cell>
          <cell r="E915" t="str">
            <v>SA</v>
          </cell>
          <cell r="F915" t="str">
            <v>Western Africa Sub-Regional Division</v>
          </cell>
          <cell r="G915" t="str">
            <v>Ghana Rep.O.</v>
          </cell>
          <cell r="H915" t="str">
            <v>4029</v>
          </cell>
          <cell r="I915" t="str">
            <v>塞拉里昂</v>
          </cell>
          <cell r="J915" t="str">
            <v>Sierra Leone</v>
          </cell>
          <cell r="K915" t="str">
            <v>Chinese employees</v>
          </cell>
          <cell r="L915" t="str">
            <v>L0</v>
          </cell>
          <cell r="M915" t="str">
            <v>ALL</v>
          </cell>
          <cell r="N915" t="str">
            <v>FLPC(含奖金)</v>
          </cell>
          <cell r="O915" t="str">
            <v>USD/小时</v>
          </cell>
          <cell r="P915">
            <v>55.65</v>
          </cell>
        </row>
        <row r="916">
          <cell r="A916" t="str">
            <v>Sierra Leone - Chinese employees - L1</v>
          </cell>
          <cell r="B916" t="str">
            <v>Current version</v>
          </cell>
          <cell r="C916" t="str">
            <v>V2009R2</v>
          </cell>
          <cell r="D916" t="str">
            <v>Labor Rate</v>
          </cell>
          <cell r="E916" t="str">
            <v>SA</v>
          </cell>
          <cell r="F916" t="str">
            <v>Western Africa Sub-Regional Division</v>
          </cell>
          <cell r="G916" t="str">
            <v>Ghana Rep.O.</v>
          </cell>
          <cell r="H916" t="str">
            <v>4029</v>
          </cell>
          <cell r="I916" t="str">
            <v>塞拉里昂</v>
          </cell>
          <cell r="J916" t="str">
            <v>Sierra Leone</v>
          </cell>
          <cell r="K916" t="str">
            <v>Chinese employees</v>
          </cell>
          <cell r="L916" t="str">
            <v>L1</v>
          </cell>
          <cell r="M916" t="str">
            <v>ALL</v>
          </cell>
          <cell r="N916" t="str">
            <v>FLPC(含奖金)</v>
          </cell>
          <cell r="O916" t="str">
            <v>USD/小时</v>
          </cell>
          <cell r="P916">
            <v>63.13</v>
          </cell>
        </row>
        <row r="917">
          <cell r="A917" t="str">
            <v>Sierra Leone - Chinese employees - L2</v>
          </cell>
          <cell r="B917" t="str">
            <v>Current version</v>
          </cell>
          <cell r="C917" t="str">
            <v>V2009R2</v>
          </cell>
          <cell r="D917" t="str">
            <v>Labor Rate</v>
          </cell>
          <cell r="E917" t="str">
            <v>SA</v>
          </cell>
          <cell r="F917" t="str">
            <v>Western Africa Sub-Regional Division</v>
          </cell>
          <cell r="G917" t="str">
            <v>Ghana Rep.O.</v>
          </cell>
          <cell r="H917" t="str">
            <v>4029</v>
          </cell>
          <cell r="I917" t="str">
            <v>塞拉里昂</v>
          </cell>
          <cell r="J917" t="str">
            <v>Sierra Leone</v>
          </cell>
          <cell r="K917" t="str">
            <v>Chinese employees</v>
          </cell>
          <cell r="L917" t="str">
            <v>L2</v>
          </cell>
          <cell r="M917" t="str">
            <v>ALL</v>
          </cell>
          <cell r="N917" t="str">
            <v>FLPC(含奖金)</v>
          </cell>
          <cell r="O917" t="str">
            <v>USD/小时</v>
          </cell>
          <cell r="P917">
            <v>72.14</v>
          </cell>
        </row>
        <row r="918">
          <cell r="A918" t="str">
            <v>Sierra Leone - Chinese employees - L3</v>
          </cell>
          <cell r="B918" t="str">
            <v>Current version</v>
          </cell>
          <cell r="C918" t="str">
            <v>V2009R2</v>
          </cell>
          <cell r="D918" t="str">
            <v>Labor Rate</v>
          </cell>
          <cell r="E918" t="str">
            <v>SA</v>
          </cell>
          <cell r="F918" t="str">
            <v>Western Africa Sub-Regional Division</v>
          </cell>
          <cell r="G918" t="str">
            <v>Ghana Rep.O.</v>
          </cell>
          <cell r="H918" t="str">
            <v>4029</v>
          </cell>
          <cell r="I918" t="str">
            <v>塞拉里昂</v>
          </cell>
          <cell r="J918" t="str">
            <v>Sierra Leone</v>
          </cell>
          <cell r="K918" t="str">
            <v>Chinese employees</v>
          </cell>
          <cell r="L918" t="str">
            <v>L3</v>
          </cell>
          <cell r="M918" t="str">
            <v>ALL</v>
          </cell>
          <cell r="N918" t="str">
            <v>FLPC(含奖金)</v>
          </cell>
          <cell r="O918" t="str">
            <v>USD/小时</v>
          </cell>
          <cell r="P918">
            <v>86.04</v>
          </cell>
        </row>
        <row r="919">
          <cell r="A919" t="str">
            <v>Sierra Leone - Chinese employees - L4</v>
          </cell>
          <cell r="B919" t="str">
            <v>Current version</v>
          </cell>
          <cell r="C919" t="str">
            <v>V2009R2</v>
          </cell>
          <cell r="D919" t="str">
            <v>Labor Rate</v>
          </cell>
          <cell r="E919" t="str">
            <v>SA</v>
          </cell>
          <cell r="F919" t="str">
            <v>Western Africa Sub-Regional Division</v>
          </cell>
          <cell r="G919" t="str">
            <v>Ghana Rep.O.</v>
          </cell>
          <cell r="H919" t="str">
            <v>4029</v>
          </cell>
          <cell r="I919" t="str">
            <v>塞拉里昂</v>
          </cell>
          <cell r="J919" t="str">
            <v>Sierra Leone</v>
          </cell>
          <cell r="K919" t="str">
            <v>Chinese employees</v>
          </cell>
          <cell r="L919" t="str">
            <v>L4</v>
          </cell>
          <cell r="M919" t="str">
            <v>ALL</v>
          </cell>
          <cell r="N919" t="str">
            <v>FLPC(含奖金)</v>
          </cell>
          <cell r="O919" t="str">
            <v>USD/小时</v>
          </cell>
          <cell r="P919">
            <v>133.34</v>
          </cell>
        </row>
        <row r="920">
          <cell r="A920" t="str">
            <v>Liberia - Chinese employees - L0</v>
          </cell>
          <cell r="B920" t="str">
            <v>Current version</v>
          </cell>
          <cell r="C920" t="str">
            <v>V2009R2</v>
          </cell>
          <cell r="D920" t="str">
            <v>Labor Rate</v>
          </cell>
          <cell r="E920" t="str">
            <v>SA</v>
          </cell>
          <cell r="F920" t="str">
            <v>Western Africa Sub-Regional Division</v>
          </cell>
          <cell r="G920" t="str">
            <v>Ghana Rep.O.</v>
          </cell>
          <cell r="H920" t="str">
            <v>4991</v>
          </cell>
          <cell r="I920" t="str">
            <v>利比里亚</v>
          </cell>
          <cell r="J920" t="str">
            <v>Liberia</v>
          </cell>
          <cell r="K920" t="str">
            <v>Chinese employees</v>
          </cell>
          <cell r="L920" t="str">
            <v>L0</v>
          </cell>
          <cell r="M920" t="str">
            <v>ALL</v>
          </cell>
          <cell r="N920" t="str">
            <v>FLPC(含奖金)</v>
          </cell>
          <cell r="O920" t="str">
            <v>USD/小时</v>
          </cell>
          <cell r="P920">
            <v>55.65</v>
          </cell>
        </row>
        <row r="921">
          <cell r="A921" t="str">
            <v>Liberia - Chinese employees - L1</v>
          </cell>
          <cell r="B921" t="str">
            <v>Current version</v>
          </cell>
          <cell r="C921" t="str">
            <v>V2009R2</v>
          </cell>
          <cell r="D921" t="str">
            <v>Labor Rate</v>
          </cell>
          <cell r="E921" t="str">
            <v>SA</v>
          </cell>
          <cell r="F921" t="str">
            <v>Western Africa Sub-Regional Division</v>
          </cell>
          <cell r="G921" t="str">
            <v>Ghana Rep.O.</v>
          </cell>
          <cell r="H921" t="str">
            <v>4991</v>
          </cell>
          <cell r="I921" t="str">
            <v>利比里亚</v>
          </cell>
          <cell r="J921" t="str">
            <v>Liberia</v>
          </cell>
          <cell r="K921" t="str">
            <v>Chinese employees</v>
          </cell>
          <cell r="L921" t="str">
            <v>L1</v>
          </cell>
          <cell r="M921" t="str">
            <v>ALL</v>
          </cell>
          <cell r="N921" t="str">
            <v>FLPC(含奖金)</v>
          </cell>
          <cell r="O921" t="str">
            <v>USD/小时</v>
          </cell>
          <cell r="P921">
            <v>63.13</v>
          </cell>
        </row>
        <row r="922">
          <cell r="A922" t="str">
            <v>Liberia - Chinese employees - L2</v>
          </cell>
          <cell r="B922" t="str">
            <v>Current version</v>
          </cell>
          <cell r="C922" t="str">
            <v>V2009R2</v>
          </cell>
          <cell r="D922" t="str">
            <v>Labor Rate</v>
          </cell>
          <cell r="E922" t="str">
            <v>SA</v>
          </cell>
          <cell r="F922" t="str">
            <v>Western Africa Sub-Regional Division</v>
          </cell>
          <cell r="G922" t="str">
            <v>Ghana Rep.O.</v>
          </cell>
          <cell r="H922" t="str">
            <v>4991</v>
          </cell>
          <cell r="I922" t="str">
            <v>利比里亚</v>
          </cell>
          <cell r="J922" t="str">
            <v>Liberia</v>
          </cell>
          <cell r="K922" t="str">
            <v>Chinese employees</v>
          </cell>
          <cell r="L922" t="str">
            <v>L2</v>
          </cell>
          <cell r="M922" t="str">
            <v>ALL</v>
          </cell>
          <cell r="N922" t="str">
            <v>FLPC(含奖金)</v>
          </cell>
          <cell r="O922" t="str">
            <v>USD/小时</v>
          </cell>
          <cell r="P922">
            <v>72.14</v>
          </cell>
        </row>
        <row r="923">
          <cell r="A923" t="str">
            <v>Liberia - Chinese employees - L3</v>
          </cell>
          <cell r="B923" t="str">
            <v>Current version</v>
          </cell>
          <cell r="C923" t="str">
            <v>V2009R2</v>
          </cell>
          <cell r="D923" t="str">
            <v>Labor Rate</v>
          </cell>
          <cell r="E923" t="str">
            <v>SA</v>
          </cell>
          <cell r="F923" t="str">
            <v>Western Africa Sub-Regional Division</v>
          </cell>
          <cell r="G923" t="str">
            <v>Ghana Rep.O.</v>
          </cell>
          <cell r="H923" t="str">
            <v>4991</v>
          </cell>
          <cell r="I923" t="str">
            <v>利比里亚</v>
          </cell>
          <cell r="J923" t="str">
            <v>Liberia</v>
          </cell>
          <cell r="K923" t="str">
            <v>Chinese employees</v>
          </cell>
          <cell r="L923" t="str">
            <v>L3</v>
          </cell>
          <cell r="M923" t="str">
            <v>ALL</v>
          </cell>
          <cell r="N923" t="str">
            <v>FLPC(含奖金)</v>
          </cell>
          <cell r="O923" t="str">
            <v>USD/小时</v>
          </cell>
          <cell r="P923">
            <v>86.04</v>
          </cell>
        </row>
        <row r="924">
          <cell r="A924" t="str">
            <v>Liberia - Chinese employees - L4</v>
          </cell>
          <cell r="B924" t="str">
            <v>Current version</v>
          </cell>
          <cell r="C924" t="str">
            <v>V2009R2</v>
          </cell>
          <cell r="D924" t="str">
            <v>Labor Rate</v>
          </cell>
          <cell r="E924" t="str">
            <v>SA</v>
          </cell>
          <cell r="F924" t="str">
            <v>Western Africa Sub-Regional Division</v>
          </cell>
          <cell r="G924" t="str">
            <v>Ghana Rep.O.</v>
          </cell>
          <cell r="H924" t="str">
            <v>4991</v>
          </cell>
          <cell r="I924" t="str">
            <v>利比里亚</v>
          </cell>
          <cell r="J924" t="str">
            <v>Liberia</v>
          </cell>
          <cell r="K924" t="str">
            <v>Chinese employees</v>
          </cell>
          <cell r="L924" t="str">
            <v>L4</v>
          </cell>
          <cell r="M924" t="str">
            <v>ALL</v>
          </cell>
          <cell r="N924" t="str">
            <v>FLPC(含奖金)</v>
          </cell>
          <cell r="O924" t="str">
            <v>USD/小时</v>
          </cell>
          <cell r="P924">
            <v>133.34</v>
          </cell>
        </row>
        <row r="925">
          <cell r="A925" t="str">
            <v>China - Chinese employees - L0</v>
          </cell>
          <cell r="B925" t="str">
            <v>Current version</v>
          </cell>
          <cell r="C925" t="str">
            <v>V2009R2</v>
          </cell>
          <cell r="D925" t="str">
            <v>Labor Rate</v>
          </cell>
          <cell r="E925" t="str">
            <v>China</v>
          </cell>
          <cell r="F925" t="str">
            <v>China</v>
          </cell>
          <cell r="G925" t="str">
            <v>中国</v>
          </cell>
          <cell r="H925" t="str">
            <v>China</v>
          </cell>
          <cell r="I925" t="str">
            <v>中国</v>
          </cell>
          <cell r="J925" t="str">
            <v>China</v>
          </cell>
          <cell r="K925" t="str">
            <v>Chinese employees</v>
          </cell>
          <cell r="L925" t="str">
            <v>L0</v>
          </cell>
          <cell r="M925" t="str">
            <v>ALL</v>
          </cell>
          <cell r="N925" t="str">
            <v>FLPC(含奖金)</v>
          </cell>
          <cell r="O925" t="str">
            <v>USD/小时</v>
          </cell>
          <cell r="P925">
            <v>11.56</v>
          </cell>
        </row>
        <row r="926">
          <cell r="A926" t="str">
            <v>China - Chinese employees - L1</v>
          </cell>
          <cell r="B926" t="str">
            <v>Current version</v>
          </cell>
          <cell r="C926" t="str">
            <v>V2009R2</v>
          </cell>
          <cell r="D926" t="str">
            <v>Labor Rate</v>
          </cell>
          <cell r="E926" t="str">
            <v>China</v>
          </cell>
          <cell r="F926" t="str">
            <v>China</v>
          </cell>
          <cell r="G926" t="str">
            <v>中国</v>
          </cell>
          <cell r="H926" t="str">
            <v>China</v>
          </cell>
          <cell r="I926" t="str">
            <v>中国</v>
          </cell>
          <cell r="J926" t="str">
            <v>China</v>
          </cell>
          <cell r="K926" t="str">
            <v>Chinese employees</v>
          </cell>
          <cell r="L926" t="str">
            <v>L1</v>
          </cell>
          <cell r="M926" t="str">
            <v>ALL</v>
          </cell>
          <cell r="N926" t="str">
            <v>FLPC(含奖金)</v>
          </cell>
          <cell r="O926" t="str">
            <v>USD/小时</v>
          </cell>
          <cell r="P926">
            <v>16.82</v>
          </cell>
        </row>
        <row r="927">
          <cell r="A927" t="str">
            <v>China - Chinese employees - L2</v>
          </cell>
          <cell r="B927" t="str">
            <v>Current version</v>
          </cell>
          <cell r="C927" t="str">
            <v>V2009R2</v>
          </cell>
          <cell r="D927" t="str">
            <v>Labor Rate</v>
          </cell>
          <cell r="E927" t="str">
            <v>China</v>
          </cell>
          <cell r="F927" t="str">
            <v>China</v>
          </cell>
          <cell r="G927" t="str">
            <v>中国</v>
          </cell>
          <cell r="H927" t="str">
            <v>China</v>
          </cell>
          <cell r="I927" t="str">
            <v>中国</v>
          </cell>
          <cell r="J927" t="str">
            <v>China</v>
          </cell>
          <cell r="K927" t="str">
            <v>Chinese employees</v>
          </cell>
          <cell r="L927" t="str">
            <v>L2</v>
          </cell>
          <cell r="M927" t="str">
            <v>ALL</v>
          </cell>
          <cell r="N927" t="str">
            <v>FLPC(含奖金)</v>
          </cell>
          <cell r="O927" t="str">
            <v>USD/小时</v>
          </cell>
          <cell r="P927">
            <v>23.63</v>
          </cell>
        </row>
        <row r="928">
          <cell r="A928" t="str">
            <v>China - Chinese employees - L3</v>
          </cell>
          <cell r="B928" t="str">
            <v>Current version</v>
          </cell>
          <cell r="C928" t="str">
            <v>V2009R2</v>
          </cell>
          <cell r="D928" t="str">
            <v>Labor Rate</v>
          </cell>
          <cell r="E928" t="str">
            <v>China</v>
          </cell>
          <cell r="F928" t="str">
            <v>China</v>
          </cell>
          <cell r="G928" t="str">
            <v>中国</v>
          </cell>
          <cell r="H928" t="str">
            <v>China</v>
          </cell>
          <cell r="I928" t="str">
            <v>中国</v>
          </cell>
          <cell r="J928" t="str">
            <v>China</v>
          </cell>
          <cell r="K928" t="str">
            <v>Chinese employees</v>
          </cell>
          <cell r="L928" t="str">
            <v>L3</v>
          </cell>
          <cell r="M928" t="str">
            <v>ALL</v>
          </cell>
          <cell r="N928" t="str">
            <v>FLPC(含奖金)</v>
          </cell>
          <cell r="O928" t="str">
            <v>USD/小时</v>
          </cell>
          <cell r="P928">
            <v>32.57</v>
          </cell>
        </row>
        <row r="929">
          <cell r="A929" t="str">
            <v>China - Chinese employees - L4</v>
          </cell>
          <cell r="B929" t="str">
            <v>Current version</v>
          </cell>
          <cell r="C929" t="str">
            <v>V2009R2</v>
          </cell>
          <cell r="D929" t="str">
            <v>Labor Rate</v>
          </cell>
          <cell r="E929" t="str">
            <v>China</v>
          </cell>
          <cell r="F929" t="str">
            <v>China</v>
          </cell>
          <cell r="G929" t="str">
            <v>中国</v>
          </cell>
          <cell r="H929" t="str">
            <v>China</v>
          </cell>
          <cell r="I929" t="str">
            <v>中国</v>
          </cell>
          <cell r="J929" t="str">
            <v>China</v>
          </cell>
          <cell r="K929" t="str">
            <v>Chinese employees</v>
          </cell>
          <cell r="L929" t="str">
            <v>L4</v>
          </cell>
          <cell r="M929" t="str">
            <v>ALL</v>
          </cell>
          <cell r="N929" t="str">
            <v>FLPC(含奖金)</v>
          </cell>
          <cell r="O929" t="str">
            <v>USD/小时</v>
          </cell>
          <cell r="P929">
            <v>56.75</v>
          </cell>
        </row>
        <row r="930">
          <cell r="A930" t="str">
            <v>United Arab Emirates - Chinese employees - L0</v>
          </cell>
          <cell r="B930" t="str">
            <v>Current version</v>
          </cell>
          <cell r="C930" t="str">
            <v>V2009R2</v>
          </cell>
          <cell r="D930" t="str">
            <v>Labor Rate</v>
          </cell>
          <cell r="E930" t="str">
            <v>MENA</v>
          </cell>
          <cell r="F930" t="str">
            <v>Middle East Sub-Regional Division</v>
          </cell>
          <cell r="G930" t="str">
            <v>Uae</v>
          </cell>
          <cell r="H930" t="str">
            <v>5010</v>
          </cell>
          <cell r="I930" t="str">
            <v>阿联酋</v>
          </cell>
          <cell r="J930" t="str">
            <v>United Arab Emirates</v>
          </cell>
          <cell r="K930" t="str">
            <v>Chinese employees</v>
          </cell>
          <cell r="L930" t="str">
            <v>L0</v>
          </cell>
          <cell r="M930" t="str">
            <v>ALL</v>
          </cell>
          <cell r="N930" t="str">
            <v>FLPC(含奖金)</v>
          </cell>
          <cell r="O930" t="str">
            <v>USD/小时</v>
          </cell>
          <cell r="P930">
            <v>41.3</v>
          </cell>
        </row>
        <row r="931">
          <cell r="A931" t="str">
            <v>United Arab Emirates - Chinese employees - L1</v>
          </cell>
          <cell r="B931" t="str">
            <v>Current version</v>
          </cell>
          <cell r="C931" t="str">
            <v>V2009R2</v>
          </cell>
          <cell r="D931" t="str">
            <v>Labor Rate</v>
          </cell>
          <cell r="E931" t="str">
            <v>MENA</v>
          </cell>
          <cell r="F931" t="str">
            <v>Middle East Sub-Regional Division</v>
          </cell>
          <cell r="G931" t="str">
            <v>Uae</v>
          </cell>
          <cell r="H931" t="str">
            <v>5010</v>
          </cell>
          <cell r="I931" t="str">
            <v>阿联酋</v>
          </cell>
          <cell r="J931" t="str">
            <v>United Arab Emirates</v>
          </cell>
          <cell r="K931" t="str">
            <v>Chinese employees</v>
          </cell>
          <cell r="L931" t="str">
            <v>L1</v>
          </cell>
          <cell r="M931" t="str">
            <v>ALL</v>
          </cell>
          <cell r="N931" t="str">
            <v>FLPC(含奖金)</v>
          </cell>
          <cell r="O931" t="str">
            <v>USD/小时</v>
          </cell>
          <cell r="P931">
            <v>47.28</v>
          </cell>
        </row>
        <row r="932">
          <cell r="A932" t="str">
            <v>United Arab Emirates - Chinese employees - L2</v>
          </cell>
          <cell r="B932" t="str">
            <v>Current version</v>
          </cell>
          <cell r="C932" t="str">
            <v>V2009R2</v>
          </cell>
          <cell r="D932" t="str">
            <v>Labor Rate</v>
          </cell>
          <cell r="E932" t="str">
            <v>MENA</v>
          </cell>
          <cell r="F932" t="str">
            <v>Middle East Sub-Regional Division</v>
          </cell>
          <cell r="G932" t="str">
            <v>Uae</v>
          </cell>
          <cell r="H932" t="str">
            <v>5010</v>
          </cell>
          <cell r="I932" t="str">
            <v>阿联酋</v>
          </cell>
          <cell r="J932" t="str">
            <v>United Arab Emirates</v>
          </cell>
          <cell r="K932" t="str">
            <v>Chinese employees</v>
          </cell>
          <cell r="L932" t="str">
            <v>L2</v>
          </cell>
          <cell r="M932" t="str">
            <v>ALL</v>
          </cell>
          <cell r="N932" t="str">
            <v>FLPC(含奖金)</v>
          </cell>
          <cell r="O932" t="str">
            <v>USD/小时</v>
          </cell>
          <cell r="P932">
            <v>55.03</v>
          </cell>
        </row>
        <row r="933">
          <cell r="A933" t="str">
            <v>United Arab Emirates - Chinese employees - L3</v>
          </cell>
          <cell r="B933" t="str">
            <v>Current version</v>
          </cell>
          <cell r="C933" t="str">
            <v>V2009R2</v>
          </cell>
          <cell r="D933" t="str">
            <v>Labor Rate</v>
          </cell>
          <cell r="E933" t="str">
            <v>MENA</v>
          </cell>
          <cell r="F933" t="str">
            <v>Middle East Sub-Regional Division</v>
          </cell>
          <cell r="G933" t="str">
            <v>Uae</v>
          </cell>
          <cell r="H933" t="str">
            <v>5010</v>
          </cell>
          <cell r="I933" t="str">
            <v>阿联酋</v>
          </cell>
          <cell r="J933" t="str">
            <v>United Arab Emirates</v>
          </cell>
          <cell r="K933" t="str">
            <v>Chinese employees</v>
          </cell>
          <cell r="L933" t="str">
            <v>L3</v>
          </cell>
          <cell r="M933" t="str">
            <v>ALL</v>
          </cell>
          <cell r="N933" t="str">
            <v>FLPC(含奖金)</v>
          </cell>
          <cell r="O933" t="str">
            <v>USD/小时</v>
          </cell>
          <cell r="P933">
            <v>66.13</v>
          </cell>
        </row>
        <row r="934">
          <cell r="A934" t="str">
            <v>United Arab Emirates - Chinese employees - L4</v>
          </cell>
          <cell r="B934" t="str">
            <v>Current version</v>
          </cell>
          <cell r="C934" t="str">
            <v>V2009R2</v>
          </cell>
          <cell r="D934" t="str">
            <v>Labor Rate</v>
          </cell>
          <cell r="E934" t="str">
            <v>MENA</v>
          </cell>
          <cell r="F934" t="str">
            <v>Middle East Sub-Regional Division</v>
          </cell>
          <cell r="G934" t="str">
            <v>Uae</v>
          </cell>
          <cell r="H934" t="str">
            <v>5010</v>
          </cell>
          <cell r="I934" t="str">
            <v>阿联酋</v>
          </cell>
          <cell r="J934" t="str">
            <v>United Arab Emirates</v>
          </cell>
          <cell r="K934" t="str">
            <v>Chinese employees</v>
          </cell>
          <cell r="L934" t="str">
            <v>L4</v>
          </cell>
          <cell r="M934" t="str">
            <v>ALL</v>
          </cell>
          <cell r="N934" t="str">
            <v>FLPC(含奖金)</v>
          </cell>
          <cell r="O934" t="str">
            <v>USD/小时</v>
          </cell>
          <cell r="P934">
            <v>106.09</v>
          </cell>
        </row>
        <row r="935">
          <cell r="A935" t="str">
            <v>Saudi Arabia - Chinese employees - L0</v>
          </cell>
          <cell r="B935" t="str">
            <v>Current version</v>
          </cell>
          <cell r="C935" t="str">
            <v>V2009R2</v>
          </cell>
          <cell r="D935" t="str">
            <v>Labor Rate</v>
          </cell>
          <cell r="E935" t="str">
            <v>MENA</v>
          </cell>
          <cell r="F935" t="str">
            <v>Middle East Sub-Regional Division</v>
          </cell>
          <cell r="G935" t="str">
            <v>Saudi Arabia</v>
          </cell>
          <cell r="H935" t="str">
            <v>5002</v>
          </cell>
          <cell r="I935" t="str">
            <v>沙特</v>
          </cell>
          <cell r="J935" t="str">
            <v>Saudi Arabia</v>
          </cell>
          <cell r="K935" t="str">
            <v>Chinese employees</v>
          </cell>
          <cell r="L935" t="str">
            <v>L0</v>
          </cell>
          <cell r="M935" t="str">
            <v>ALL</v>
          </cell>
          <cell r="N935" t="str">
            <v>FLPC(含奖金)</v>
          </cell>
          <cell r="O935" t="str">
            <v>USD/小时</v>
          </cell>
          <cell r="P935">
            <v>46.06</v>
          </cell>
        </row>
        <row r="936">
          <cell r="A936" t="str">
            <v>Saudi Arabia - Chinese employees - L1</v>
          </cell>
          <cell r="B936" t="str">
            <v>Current version</v>
          </cell>
          <cell r="C936" t="str">
            <v>V2009R2</v>
          </cell>
          <cell r="D936" t="str">
            <v>Labor Rate</v>
          </cell>
          <cell r="E936" t="str">
            <v>MENA</v>
          </cell>
          <cell r="F936" t="str">
            <v>Middle East Sub-Regional Division</v>
          </cell>
          <cell r="G936" t="str">
            <v>Saudi Arabia</v>
          </cell>
          <cell r="H936" t="str">
            <v>5002</v>
          </cell>
          <cell r="I936" t="str">
            <v>沙特</v>
          </cell>
          <cell r="J936" t="str">
            <v>Saudi Arabia</v>
          </cell>
          <cell r="K936" t="str">
            <v>Chinese employees</v>
          </cell>
          <cell r="L936" t="str">
            <v>L1</v>
          </cell>
          <cell r="M936" t="str">
            <v>ALL</v>
          </cell>
          <cell r="N936" t="str">
            <v>FLPC(含奖金)</v>
          </cell>
          <cell r="O936" t="str">
            <v>USD/小时</v>
          </cell>
          <cell r="P936">
            <v>52.73</v>
          </cell>
        </row>
        <row r="937">
          <cell r="A937" t="str">
            <v>Cote D’Ivoire - Chinese employees - L0</v>
          </cell>
          <cell r="B937" t="str">
            <v>Current version</v>
          </cell>
          <cell r="C937" t="str">
            <v>V2009R2</v>
          </cell>
          <cell r="D937" t="str">
            <v>Labor Rate</v>
          </cell>
          <cell r="E937" t="str">
            <v>SA</v>
          </cell>
          <cell r="F937" t="str">
            <v>Western Africa Sub-Regional Division</v>
          </cell>
          <cell r="G937" t="str">
            <v>Cote D’Ivoire Rep.O.</v>
          </cell>
          <cell r="H937" t="str">
            <v>4006</v>
          </cell>
          <cell r="I937" t="str">
            <v>科特迪瓦</v>
          </cell>
          <cell r="J937" t="str">
            <v>Cote D’Ivoire</v>
          </cell>
          <cell r="K937" t="str">
            <v>Chinese employees</v>
          </cell>
          <cell r="L937" t="str">
            <v>L0</v>
          </cell>
          <cell r="M937" t="str">
            <v>ALL</v>
          </cell>
          <cell r="N937" t="str">
            <v>FLPC(含奖金)</v>
          </cell>
          <cell r="O937" t="str">
            <v>USD/小时</v>
          </cell>
          <cell r="P937">
            <v>49.22</v>
          </cell>
        </row>
        <row r="938">
          <cell r="A938" t="str">
            <v>Cote D’Ivoire - Chinese employees - L1</v>
          </cell>
          <cell r="B938" t="str">
            <v>Current version</v>
          </cell>
          <cell r="C938" t="str">
            <v>V2009R2</v>
          </cell>
          <cell r="D938" t="str">
            <v>Labor Rate</v>
          </cell>
          <cell r="E938" t="str">
            <v>SA</v>
          </cell>
          <cell r="F938" t="str">
            <v>Western Africa Sub-Regional Division</v>
          </cell>
          <cell r="G938" t="str">
            <v>Cote D’Ivoire Rep.O.</v>
          </cell>
          <cell r="H938" t="str">
            <v>4006</v>
          </cell>
          <cell r="I938" t="str">
            <v>科特迪瓦</v>
          </cell>
          <cell r="J938" t="str">
            <v>Cote D’Ivoire</v>
          </cell>
          <cell r="K938" t="str">
            <v>Chinese employees</v>
          </cell>
          <cell r="L938" t="str">
            <v>L1</v>
          </cell>
          <cell r="M938" t="str">
            <v>ALL</v>
          </cell>
          <cell r="N938" t="str">
            <v>FLPC(含奖金)</v>
          </cell>
          <cell r="O938" t="str">
            <v>USD/小时</v>
          </cell>
          <cell r="P938">
            <v>56.77</v>
          </cell>
        </row>
        <row r="939">
          <cell r="A939" t="str">
            <v>Cote D’Ivoire - Chinese employees - L2</v>
          </cell>
          <cell r="B939" t="str">
            <v>Current version</v>
          </cell>
          <cell r="C939" t="str">
            <v>V2009R2</v>
          </cell>
          <cell r="D939" t="str">
            <v>Labor Rate</v>
          </cell>
          <cell r="E939" t="str">
            <v>SA</v>
          </cell>
          <cell r="F939" t="str">
            <v>Western Africa Sub-Regional Division</v>
          </cell>
          <cell r="G939" t="str">
            <v>Cote D’Ivoire Rep.O.</v>
          </cell>
          <cell r="H939" t="str">
            <v>4006</v>
          </cell>
          <cell r="I939" t="str">
            <v>科特迪瓦</v>
          </cell>
          <cell r="J939" t="str">
            <v>Cote D’Ivoire</v>
          </cell>
          <cell r="K939" t="str">
            <v>Chinese employees</v>
          </cell>
          <cell r="L939" t="str">
            <v>L2</v>
          </cell>
          <cell r="M939" t="str">
            <v>ALL</v>
          </cell>
          <cell r="N939" t="str">
            <v>FLPC(含奖金)</v>
          </cell>
          <cell r="O939" t="str">
            <v>USD/小时</v>
          </cell>
          <cell r="P939">
            <v>65.7</v>
          </cell>
        </row>
        <row r="940">
          <cell r="A940" t="str">
            <v>Cote D’Ivoire - Chinese employees - L3</v>
          </cell>
          <cell r="B940" t="str">
            <v>Current version</v>
          </cell>
          <cell r="C940" t="str">
            <v>V2009R2</v>
          </cell>
          <cell r="D940" t="str">
            <v>Labor Rate</v>
          </cell>
          <cell r="E940" t="str">
            <v>SA</v>
          </cell>
          <cell r="F940" t="str">
            <v>Western Africa Sub-Regional Division</v>
          </cell>
          <cell r="G940" t="str">
            <v>Cote D’Ivoire Rep.O.</v>
          </cell>
          <cell r="H940" t="str">
            <v>4006</v>
          </cell>
          <cell r="I940" t="str">
            <v>科特迪瓦</v>
          </cell>
          <cell r="J940" t="str">
            <v>Cote D’Ivoire</v>
          </cell>
          <cell r="K940" t="str">
            <v>Chinese employees</v>
          </cell>
          <cell r="L940" t="str">
            <v>L3</v>
          </cell>
          <cell r="M940" t="str">
            <v>ALL</v>
          </cell>
          <cell r="N940" t="str">
            <v>FLPC(含奖金)</v>
          </cell>
          <cell r="O940" t="str">
            <v>USD/小时</v>
          </cell>
          <cell r="P940">
            <v>78.47</v>
          </cell>
        </row>
        <row r="941">
          <cell r="A941" t="str">
            <v>Cote D’Ivoire - Chinese employees - L4</v>
          </cell>
          <cell r="B941" t="str">
            <v>Current version</v>
          </cell>
          <cell r="C941" t="str">
            <v>V2009R2</v>
          </cell>
          <cell r="D941" t="str">
            <v>Labor Rate</v>
          </cell>
          <cell r="E941" t="str">
            <v>SA</v>
          </cell>
          <cell r="F941" t="str">
            <v>Western Africa Sub-Regional Division</v>
          </cell>
          <cell r="G941" t="str">
            <v>Cote D’Ivoire Rep.O.</v>
          </cell>
          <cell r="H941" t="str">
            <v>4006</v>
          </cell>
          <cell r="I941" t="str">
            <v>科特迪瓦</v>
          </cell>
          <cell r="J941" t="str">
            <v>Cote D’Ivoire</v>
          </cell>
          <cell r="K941" t="str">
            <v>Chinese employees</v>
          </cell>
          <cell r="L941" t="str">
            <v>L4</v>
          </cell>
          <cell r="M941" t="str">
            <v>ALL</v>
          </cell>
          <cell r="N941" t="str">
            <v>FLPC(含奖金)</v>
          </cell>
          <cell r="O941" t="str">
            <v>USD/小时</v>
          </cell>
          <cell r="P941">
            <v>122.7</v>
          </cell>
        </row>
        <row r="942">
          <cell r="A942" t="str">
            <v>Guinea - Chinese employees - L0</v>
          </cell>
          <cell r="B942" t="str">
            <v>Current version</v>
          </cell>
          <cell r="C942" t="str">
            <v>V2009R2</v>
          </cell>
          <cell r="D942" t="str">
            <v>Labor Rate</v>
          </cell>
          <cell r="E942" t="str">
            <v>SA</v>
          </cell>
          <cell r="F942" t="str">
            <v>Western Africa Sub-Regional Division</v>
          </cell>
          <cell r="G942" t="str">
            <v>Cote D’Ivoire Rep.O.</v>
          </cell>
          <cell r="H942" t="str">
            <v>4027</v>
          </cell>
          <cell r="I942" t="str">
            <v>几内亚</v>
          </cell>
          <cell r="J942" t="str">
            <v>Guinea</v>
          </cell>
          <cell r="K942" t="str">
            <v>Chinese employees</v>
          </cell>
          <cell r="L942" t="str">
            <v>L0</v>
          </cell>
          <cell r="M942" t="str">
            <v>ALL</v>
          </cell>
          <cell r="N942" t="str">
            <v>FLPC(含奖金)</v>
          </cell>
          <cell r="O942" t="str">
            <v>USD/小时</v>
          </cell>
          <cell r="P942">
            <v>48.24</v>
          </cell>
        </row>
        <row r="943">
          <cell r="A943" t="str">
            <v>Guinea - Chinese employees - L1</v>
          </cell>
          <cell r="B943" t="str">
            <v>Current version</v>
          </cell>
          <cell r="C943" t="str">
            <v>V2009R2</v>
          </cell>
          <cell r="D943" t="str">
            <v>Labor Rate</v>
          </cell>
          <cell r="E943" t="str">
            <v>SA</v>
          </cell>
          <cell r="F943" t="str">
            <v>Western Africa Sub-Regional Division</v>
          </cell>
          <cell r="G943" t="str">
            <v>Cote D’Ivoire Rep.O.</v>
          </cell>
          <cell r="H943" t="str">
            <v>4027</v>
          </cell>
          <cell r="I943" t="str">
            <v>几内亚</v>
          </cell>
          <cell r="J943" t="str">
            <v>Guinea</v>
          </cell>
          <cell r="K943" t="str">
            <v>Chinese employees</v>
          </cell>
          <cell r="L943" t="str">
            <v>L1</v>
          </cell>
          <cell r="M943" t="str">
            <v>ALL</v>
          </cell>
          <cell r="N943" t="str">
            <v>FLPC(含奖金)</v>
          </cell>
          <cell r="O943" t="str">
            <v>USD/小时</v>
          </cell>
          <cell r="P943">
            <v>56.02</v>
          </cell>
        </row>
        <row r="944">
          <cell r="A944" t="str">
            <v>Guinea - Chinese employees - L2</v>
          </cell>
          <cell r="B944" t="str">
            <v>Current version</v>
          </cell>
          <cell r="C944" t="str">
            <v>V2009R2</v>
          </cell>
          <cell r="D944" t="str">
            <v>Labor Rate</v>
          </cell>
          <cell r="E944" t="str">
            <v>SA</v>
          </cell>
          <cell r="F944" t="str">
            <v>Western Africa Sub-Regional Division</v>
          </cell>
          <cell r="G944" t="str">
            <v>Cote D’Ivoire Rep.O.</v>
          </cell>
          <cell r="H944" t="str">
            <v>4027</v>
          </cell>
          <cell r="I944" t="str">
            <v>几内亚</v>
          </cell>
          <cell r="J944" t="str">
            <v>Guinea</v>
          </cell>
          <cell r="K944" t="str">
            <v>Chinese employees</v>
          </cell>
          <cell r="L944" t="str">
            <v>L2</v>
          </cell>
          <cell r="M944" t="str">
            <v>ALL</v>
          </cell>
          <cell r="N944" t="str">
            <v>FLPC(含奖金)</v>
          </cell>
          <cell r="O944" t="str">
            <v>USD/小时</v>
          </cell>
          <cell r="P944">
            <v>64.56</v>
          </cell>
        </row>
        <row r="945">
          <cell r="A945" t="str">
            <v>Guinea - Chinese employees - L3</v>
          </cell>
          <cell r="B945" t="str">
            <v>Current version</v>
          </cell>
          <cell r="C945" t="str">
            <v>V2009R2</v>
          </cell>
          <cell r="D945" t="str">
            <v>Labor Rate</v>
          </cell>
          <cell r="E945" t="str">
            <v>SA</v>
          </cell>
          <cell r="F945" t="str">
            <v>Western Africa Sub-Regional Division</v>
          </cell>
          <cell r="G945" t="str">
            <v>Cote D’Ivoire Rep.O.</v>
          </cell>
          <cell r="H945" t="str">
            <v>4027</v>
          </cell>
          <cell r="I945" t="str">
            <v>几内亚</v>
          </cell>
          <cell r="J945" t="str">
            <v>Guinea</v>
          </cell>
          <cell r="K945" t="str">
            <v>Chinese employees</v>
          </cell>
          <cell r="L945" t="str">
            <v>L3</v>
          </cell>
          <cell r="M945" t="str">
            <v>ALL</v>
          </cell>
          <cell r="N945" t="str">
            <v>FLPC(含奖金)</v>
          </cell>
          <cell r="O945" t="str">
            <v>USD/小时</v>
          </cell>
          <cell r="P945">
            <v>76.72</v>
          </cell>
        </row>
        <row r="946">
          <cell r="A946" t="str">
            <v>Guinea - Chinese employees - L4</v>
          </cell>
          <cell r="B946" t="str">
            <v>Current version</v>
          </cell>
          <cell r="C946" t="str">
            <v>V2009R2</v>
          </cell>
          <cell r="D946" t="str">
            <v>Labor Rate</v>
          </cell>
          <cell r="E946" t="str">
            <v>SA</v>
          </cell>
          <cell r="F946" t="str">
            <v>Western Africa Sub-Regional Division</v>
          </cell>
          <cell r="G946" t="str">
            <v>Cote D’Ivoire Rep.O.</v>
          </cell>
          <cell r="H946" t="str">
            <v>4027</v>
          </cell>
          <cell r="I946" t="str">
            <v>几内亚</v>
          </cell>
          <cell r="J946" t="str">
            <v>Guinea</v>
          </cell>
          <cell r="K946" t="str">
            <v>Chinese employees</v>
          </cell>
          <cell r="L946" t="str">
            <v>L4</v>
          </cell>
          <cell r="M946" t="str">
            <v>ALL</v>
          </cell>
          <cell r="N946" t="str">
            <v>FLPC(含奖金)</v>
          </cell>
          <cell r="O946" t="str">
            <v>USD/小时</v>
          </cell>
          <cell r="P946">
            <v>119.85</v>
          </cell>
        </row>
        <row r="947">
          <cell r="A947" t="str">
            <v>Guinea-Bissau - Chinese employees - L0</v>
          </cell>
          <cell r="B947" t="str">
            <v>Current version</v>
          </cell>
          <cell r="C947" t="str">
            <v>V2009R2</v>
          </cell>
          <cell r="D947" t="str">
            <v>Labor Rate</v>
          </cell>
          <cell r="E947" t="str">
            <v>SA</v>
          </cell>
          <cell r="F947" t="str">
            <v>Western Africa Sub-Regional Division</v>
          </cell>
          <cell r="G947" t="str">
            <v>Cote D’Ivoire Rep.O.</v>
          </cell>
          <cell r="H947" t="str">
            <v>4044</v>
          </cell>
          <cell r="I947" t="str">
            <v>几内亚比绍</v>
          </cell>
          <cell r="J947" t="str">
            <v>Guinea-Bissau</v>
          </cell>
          <cell r="K947" t="str">
            <v>Chinese employees</v>
          </cell>
          <cell r="L947" t="str">
            <v>L0</v>
          </cell>
          <cell r="M947" t="str">
            <v>ALL</v>
          </cell>
          <cell r="N947" t="str">
            <v>FLPC(含奖金)</v>
          </cell>
          <cell r="O947" t="str">
            <v>USD/小时</v>
          </cell>
          <cell r="P947">
            <v>48.24</v>
          </cell>
        </row>
        <row r="948">
          <cell r="A948" t="str">
            <v>Guinea-Bissau - Chinese employees - L1</v>
          </cell>
          <cell r="B948" t="str">
            <v>Current version</v>
          </cell>
          <cell r="C948" t="str">
            <v>V2009R2</v>
          </cell>
          <cell r="D948" t="str">
            <v>Labor Rate</v>
          </cell>
          <cell r="E948" t="str">
            <v>SA</v>
          </cell>
          <cell r="F948" t="str">
            <v>Western Africa Sub-Regional Division</v>
          </cell>
          <cell r="G948" t="str">
            <v>Cote D’Ivoire Rep.O.</v>
          </cell>
          <cell r="H948" t="str">
            <v>4044</v>
          </cell>
          <cell r="I948" t="str">
            <v>几内亚比绍</v>
          </cell>
          <cell r="J948" t="str">
            <v>Guinea-Bissau</v>
          </cell>
          <cell r="K948" t="str">
            <v>Chinese employees</v>
          </cell>
          <cell r="L948" t="str">
            <v>L1</v>
          </cell>
          <cell r="M948" t="str">
            <v>ALL</v>
          </cell>
          <cell r="N948" t="str">
            <v>FLPC(含奖金)</v>
          </cell>
          <cell r="O948" t="str">
            <v>USD/小时</v>
          </cell>
          <cell r="P948">
            <v>56.02</v>
          </cell>
        </row>
        <row r="949">
          <cell r="A949" t="str">
            <v>Guinea-Bissau - Chinese employees - L2</v>
          </cell>
          <cell r="B949" t="str">
            <v>Current version</v>
          </cell>
          <cell r="C949" t="str">
            <v>V2009R2</v>
          </cell>
          <cell r="D949" t="str">
            <v>Labor Rate</v>
          </cell>
          <cell r="E949" t="str">
            <v>SA</v>
          </cell>
          <cell r="F949" t="str">
            <v>Western Africa Sub-Regional Division</v>
          </cell>
          <cell r="G949" t="str">
            <v>Cote D’Ivoire Rep.O.</v>
          </cell>
          <cell r="H949" t="str">
            <v>4044</v>
          </cell>
          <cell r="I949" t="str">
            <v>几内亚比绍</v>
          </cell>
          <cell r="J949" t="str">
            <v>Guinea-Bissau</v>
          </cell>
          <cell r="K949" t="str">
            <v>Chinese employees</v>
          </cell>
          <cell r="L949" t="str">
            <v>L2</v>
          </cell>
          <cell r="M949" t="str">
            <v>ALL</v>
          </cell>
          <cell r="N949" t="str">
            <v>FLPC(含奖金)</v>
          </cell>
          <cell r="O949" t="str">
            <v>USD/小时</v>
          </cell>
          <cell r="P949">
            <v>64.56</v>
          </cell>
        </row>
        <row r="950">
          <cell r="A950" t="str">
            <v>Guinea-Bissau - Chinese employees - L3</v>
          </cell>
          <cell r="B950" t="str">
            <v>Current version</v>
          </cell>
          <cell r="C950" t="str">
            <v>V2009R2</v>
          </cell>
          <cell r="D950" t="str">
            <v>Labor Rate</v>
          </cell>
          <cell r="E950" t="str">
            <v>SA</v>
          </cell>
          <cell r="F950" t="str">
            <v>Western Africa Sub-Regional Division</v>
          </cell>
          <cell r="G950" t="str">
            <v>Cote D’Ivoire Rep.O.</v>
          </cell>
          <cell r="H950" t="str">
            <v>4044</v>
          </cell>
          <cell r="I950" t="str">
            <v>几内亚比绍</v>
          </cell>
          <cell r="J950" t="str">
            <v>Guinea-Bissau</v>
          </cell>
          <cell r="K950" t="str">
            <v>Chinese employees</v>
          </cell>
          <cell r="L950" t="str">
            <v>L3</v>
          </cell>
          <cell r="M950" t="str">
            <v>ALL</v>
          </cell>
          <cell r="N950" t="str">
            <v>FLPC(含奖金)</v>
          </cell>
          <cell r="O950" t="str">
            <v>USD/小时</v>
          </cell>
          <cell r="P950">
            <v>76.72</v>
          </cell>
        </row>
        <row r="951">
          <cell r="A951" t="str">
            <v>Guinea-Bissau - Chinese employees - L4</v>
          </cell>
          <cell r="B951" t="str">
            <v>Current version</v>
          </cell>
          <cell r="C951" t="str">
            <v>V2009R2</v>
          </cell>
          <cell r="D951" t="str">
            <v>Labor Rate</v>
          </cell>
          <cell r="E951" t="str">
            <v>SA</v>
          </cell>
          <cell r="F951" t="str">
            <v>Western Africa Sub-Regional Division</v>
          </cell>
          <cell r="G951" t="str">
            <v>Cote D’Ivoire Rep.O.</v>
          </cell>
          <cell r="H951" t="str">
            <v>4044</v>
          </cell>
          <cell r="I951" t="str">
            <v>几内亚比绍</v>
          </cell>
          <cell r="J951" t="str">
            <v>Guinea-Bissau</v>
          </cell>
          <cell r="K951" t="str">
            <v>Chinese employees</v>
          </cell>
          <cell r="L951" t="str">
            <v>L4</v>
          </cell>
          <cell r="M951" t="str">
            <v>ALL</v>
          </cell>
          <cell r="N951" t="str">
            <v>FLPC(含奖金)</v>
          </cell>
          <cell r="O951" t="str">
            <v>USD/小时</v>
          </cell>
          <cell r="P951">
            <v>119.85</v>
          </cell>
        </row>
        <row r="952">
          <cell r="A952" t="str">
            <v>Cameroon - Chinese employees - L0</v>
          </cell>
          <cell r="B952" t="str">
            <v>Current version</v>
          </cell>
          <cell r="C952" t="str">
            <v>V2009R2</v>
          </cell>
          <cell r="D952" t="str">
            <v>Labor Rate</v>
          </cell>
          <cell r="E952" t="str">
            <v>SA</v>
          </cell>
          <cell r="F952" t="str">
            <v>Western Africa Sub-Regional Division</v>
          </cell>
          <cell r="G952" t="str">
            <v>Cameroon Rep.O.</v>
          </cell>
          <cell r="H952" t="str">
            <v>4019</v>
          </cell>
          <cell r="I952" t="str">
            <v>喀麦隆</v>
          </cell>
          <cell r="J952" t="str">
            <v>Cameroon</v>
          </cell>
          <cell r="K952" t="str">
            <v>Chinese employees</v>
          </cell>
          <cell r="L952" t="str">
            <v>L0</v>
          </cell>
          <cell r="M952" t="str">
            <v>ALL</v>
          </cell>
          <cell r="N952" t="str">
            <v>FLPC(含奖金)</v>
          </cell>
          <cell r="O952" t="str">
            <v>USD/小时</v>
          </cell>
          <cell r="P952">
            <v>52.78</v>
          </cell>
        </row>
        <row r="953">
          <cell r="A953" t="str">
            <v>Cameroon - Chinese employees - L1</v>
          </cell>
          <cell r="B953" t="str">
            <v>Current version</v>
          </cell>
          <cell r="C953" t="str">
            <v>V2009R2</v>
          </cell>
          <cell r="D953" t="str">
            <v>Labor Rate</v>
          </cell>
          <cell r="E953" t="str">
            <v>SA</v>
          </cell>
          <cell r="F953" t="str">
            <v>Western Africa Sub-Regional Division</v>
          </cell>
          <cell r="G953" t="str">
            <v>Cameroon Rep.O.</v>
          </cell>
          <cell r="H953" t="str">
            <v>4019</v>
          </cell>
          <cell r="I953" t="str">
            <v>喀麦隆</v>
          </cell>
          <cell r="J953" t="str">
            <v>Cameroon</v>
          </cell>
          <cell r="K953" t="str">
            <v>Chinese employees</v>
          </cell>
          <cell r="L953" t="str">
            <v>L1</v>
          </cell>
          <cell r="M953" t="str">
            <v>ALL</v>
          </cell>
          <cell r="N953" t="str">
            <v>FLPC(含奖金)</v>
          </cell>
          <cell r="O953" t="str">
            <v>USD/小时</v>
          </cell>
          <cell r="P953">
            <v>59.66</v>
          </cell>
        </row>
        <row r="954">
          <cell r="A954" t="str">
            <v>Cameroon - Chinese employees - L2</v>
          </cell>
          <cell r="B954" t="str">
            <v>Current version</v>
          </cell>
          <cell r="C954" t="str">
            <v>V2009R2</v>
          </cell>
          <cell r="D954" t="str">
            <v>Labor Rate</v>
          </cell>
          <cell r="E954" t="str">
            <v>SA</v>
          </cell>
          <cell r="F954" t="str">
            <v>Western Africa Sub-Regional Division</v>
          </cell>
          <cell r="G954" t="str">
            <v>Cameroon Rep.O.</v>
          </cell>
          <cell r="H954" t="str">
            <v>4019</v>
          </cell>
          <cell r="I954" t="str">
            <v>喀麦隆</v>
          </cell>
          <cell r="J954" t="str">
            <v>Cameroon</v>
          </cell>
          <cell r="K954" t="str">
            <v>Chinese employees</v>
          </cell>
          <cell r="L954" t="str">
            <v>L2</v>
          </cell>
          <cell r="M954" t="str">
            <v>ALL</v>
          </cell>
          <cell r="N954" t="str">
            <v>FLPC(含奖金)</v>
          </cell>
          <cell r="O954" t="str">
            <v>USD/小时</v>
          </cell>
          <cell r="P954">
            <v>68.069999999999993</v>
          </cell>
        </row>
        <row r="955">
          <cell r="A955" t="str">
            <v>Cameroon - Chinese employees - L3</v>
          </cell>
          <cell r="B955" t="str">
            <v>Current version</v>
          </cell>
          <cell r="C955" t="str">
            <v>V2009R2</v>
          </cell>
          <cell r="D955" t="str">
            <v>Labor Rate</v>
          </cell>
          <cell r="E955" t="str">
            <v>SA</v>
          </cell>
          <cell r="F955" t="str">
            <v>Western Africa Sub-Regional Division</v>
          </cell>
          <cell r="G955" t="str">
            <v>Cameroon Rep.O.</v>
          </cell>
          <cell r="H955" t="str">
            <v>4019</v>
          </cell>
          <cell r="I955" t="str">
            <v>喀麦隆</v>
          </cell>
          <cell r="J955" t="str">
            <v>Cameroon</v>
          </cell>
          <cell r="K955" t="str">
            <v>Chinese employees</v>
          </cell>
          <cell r="L955" t="str">
            <v>L3</v>
          </cell>
          <cell r="M955" t="str">
            <v>ALL</v>
          </cell>
          <cell r="N955" t="str">
            <v>FLPC(含奖金)</v>
          </cell>
          <cell r="O955" t="str">
            <v>USD/小时</v>
          </cell>
          <cell r="P955">
            <v>80.09</v>
          </cell>
        </row>
        <row r="956">
          <cell r="A956" t="str">
            <v>Cameroon - Chinese employees - L4</v>
          </cell>
          <cell r="B956" t="str">
            <v>Current version</v>
          </cell>
          <cell r="C956" t="str">
            <v>V2009R2</v>
          </cell>
          <cell r="D956" t="str">
            <v>Labor Rate</v>
          </cell>
          <cell r="E956" t="str">
            <v>SA</v>
          </cell>
          <cell r="F956" t="str">
            <v>Western Africa Sub-Regional Division</v>
          </cell>
          <cell r="G956" t="str">
            <v>Cameroon Rep.O.</v>
          </cell>
          <cell r="H956" t="str">
            <v>4019</v>
          </cell>
          <cell r="I956" t="str">
            <v>喀麦隆</v>
          </cell>
          <cell r="J956" t="str">
            <v>Cameroon</v>
          </cell>
          <cell r="K956" t="str">
            <v>Chinese employees</v>
          </cell>
          <cell r="L956" t="str">
            <v>L4</v>
          </cell>
          <cell r="M956" t="str">
            <v>ALL</v>
          </cell>
          <cell r="N956" t="str">
            <v>FLPC(含奖金)</v>
          </cell>
          <cell r="O956" t="str">
            <v>USD/小时</v>
          </cell>
          <cell r="P956">
            <v>123.06</v>
          </cell>
        </row>
        <row r="957">
          <cell r="A957" t="str">
            <v>Central Africa - Chinese employees - L0</v>
          </cell>
          <cell r="B957" t="str">
            <v>Current version</v>
          </cell>
          <cell r="C957" t="str">
            <v>V2009R2</v>
          </cell>
          <cell r="D957" t="str">
            <v>Labor Rate</v>
          </cell>
          <cell r="E957" t="str">
            <v>SA</v>
          </cell>
          <cell r="F957" t="str">
            <v>Western Africa Sub-Regional Division</v>
          </cell>
          <cell r="G957" t="str">
            <v>Cameroon Rep.O.</v>
          </cell>
          <cell r="H957" t="str">
            <v>4038</v>
          </cell>
          <cell r="I957" t="str">
            <v>中非</v>
          </cell>
          <cell r="J957" t="str">
            <v>Central Africa</v>
          </cell>
          <cell r="K957" t="str">
            <v>Chinese employees</v>
          </cell>
          <cell r="L957" t="str">
            <v>L0</v>
          </cell>
          <cell r="M957" t="str">
            <v>ALL</v>
          </cell>
          <cell r="N957" t="str">
            <v>FLPC(含奖金)</v>
          </cell>
          <cell r="O957" t="str">
            <v>USD/小时</v>
          </cell>
          <cell r="P957">
            <v>53.2</v>
          </cell>
        </row>
        <row r="958">
          <cell r="A958" t="str">
            <v>Central Africa - Chinese employees - L1</v>
          </cell>
          <cell r="B958" t="str">
            <v>Current version</v>
          </cell>
          <cell r="C958" t="str">
            <v>V2009R2</v>
          </cell>
          <cell r="D958" t="str">
            <v>Labor Rate</v>
          </cell>
          <cell r="E958" t="str">
            <v>SA</v>
          </cell>
          <cell r="F958" t="str">
            <v>Western Africa Sub-Regional Division</v>
          </cell>
          <cell r="G958" t="str">
            <v>Cameroon Rep.O.</v>
          </cell>
          <cell r="H958" t="str">
            <v>4038</v>
          </cell>
          <cell r="I958" t="str">
            <v>中非</v>
          </cell>
          <cell r="J958" t="str">
            <v>Central Africa</v>
          </cell>
          <cell r="K958" t="str">
            <v>Chinese employees</v>
          </cell>
          <cell r="L958" t="str">
            <v>L1</v>
          </cell>
          <cell r="M958" t="str">
            <v>ALL</v>
          </cell>
          <cell r="N958" t="str">
            <v>FLPC(含奖金)</v>
          </cell>
          <cell r="O958" t="str">
            <v>USD/小时</v>
          </cell>
          <cell r="P958">
            <v>61.04</v>
          </cell>
        </row>
        <row r="959">
          <cell r="A959" t="str">
            <v>Central Africa - Chinese employees - L2</v>
          </cell>
          <cell r="B959" t="str">
            <v>Current version</v>
          </cell>
          <cell r="C959" t="str">
            <v>V2009R2</v>
          </cell>
          <cell r="D959" t="str">
            <v>Labor Rate</v>
          </cell>
          <cell r="E959" t="str">
            <v>SA</v>
          </cell>
          <cell r="F959" t="str">
            <v>Western Africa Sub-Regional Division</v>
          </cell>
          <cell r="G959" t="str">
            <v>Cameroon Rep.O.</v>
          </cell>
          <cell r="H959" t="str">
            <v>4038</v>
          </cell>
          <cell r="I959" t="str">
            <v>中非</v>
          </cell>
          <cell r="J959" t="str">
            <v>Central Africa</v>
          </cell>
          <cell r="K959" t="str">
            <v>Chinese employees</v>
          </cell>
          <cell r="L959" t="str">
            <v>L2</v>
          </cell>
          <cell r="M959" t="str">
            <v>ALL</v>
          </cell>
          <cell r="N959" t="str">
            <v>FLPC(含奖金)</v>
          </cell>
          <cell r="O959" t="str">
            <v>USD/小时</v>
          </cell>
          <cell r="P959">
            <v>69.87</v>
          </cell>
        </row>
        <row r="960">
          <cell r="A960" t="str">
            <v>Central Africa - Chinese employees - L3</v>
          </cell>
          <cell r="B960" t="str">
            <v>Current version</v>
          </cell>
          <cell r="C960" t="str">
            <v>V2009R2</v>
          </cell>
          <cell r="D960" t="str">
            <v>Labor Rate</v>
          </cell>
          <cell r="E960" t="str">
            <v>SA</v>
          </cell>
          <cell r="F960" t="str">
            <v>Western Africa Sub-Regional Division</v>
          </cell>
          <cell r="G960" t="str">
            <v>Cameroon Rep.O.</v>
          </cell>
          <cell r="H960" t="str">
            <v>4038</v>
          </cell>
          <cell r="I960" t="str">
            <v>中非</v>
          </cell>
          <cell r="J960" t="str">
            <v>Central Africa</v>
          </cell>
          <cell r="K960" t="str">
            <v>Chinese employees</v>
          </cell>
          <cell r="L960" t="str">
            <v>L3</v>
          </cell>
          <cell r="M960" t="str">
            <v>ALL</v>
          </cell>
          <cell r="N960" t="str">
            <v>FLPC(含奖金)</v>
          </cell>
          <cell r="O960" t="str">
            <v>USD/小时</v>
          </cell>
          <cell r="P960">
            <v>82.31</v>
          </cell>
        </row>
        <row r="961">
          <cell r="A961" t="str">
            <v>Central Africa - Chinese employees - L4</v>
          </cell>
          <cell r="B961" t="str">
            <v>Current version</v>
          </cell>
          <cell r="C961" t="str">
            <v>V2009R2</v>
          </cell>
          <cell r="D961" t="str">
            <v>Labor Rate</v>
          </cell>
          <cell r="E961" t="str">
            <v>SA</v>
          </cell>
          <cell r="F961" t="str">
            <v>Western Africa Sub-Regional Division</v>
          </cell>
          <cell r="G961" t="str">
            <v>Cameroon Rep.O.</v>
          </cell>
          <cell r="H961" t="str">
            <v>4038</v>
          </cell>
          <cell r="I961" t="str">
            <v>中非</v>
          </cell>
          <cell r="J961" t="str">
            <v>Central Africa</v>
          </cell>
          <cell r="K961" t="str">
            <v>Chinese employees</v>
          </cell>
          <cell r="L961" t="str">
            <v>L4</v>
          </cell>
          <cell r="M961" t="str">
            <v>ALL</v>
          </cell>
          <cell r="N961" t="str">
            <v>FLPC(含奖金)</v>
          </cell>
          <cell r="O961" t="str">
            <v>USD/小时</v>
          </cell>
          <cell r="P961">
            <v>125.91</v>
          </cell>
        </row>
        <row r="962">
          <cell r="A962" t="str">
            <v>Gabon - Chinese employees - L0</v>
          </cell>
          <cell r="B962" t="str">
            <v>Current version</v>
          </cell>
          <cell r="C962" t="str">
            <v>V2009R2</v>
          </cell>
          <cell r="D962" t="str">
            <v>Labor Rate</v>
          </cell>
          <cell r="E962" t="str">
            <v>SA</v>
          </cell>
          <cell r="F962" t="str">
            <v>Western Africa Sub-Regional Division</v>
          </cell>
          <cell r="G962" t="str">
            <v>Cameroon Rep.O.</v>
          </cell>
          <cell r="H962" t="str">
            <v>4041</v>
          </cell>
          <cell r="I962" t="str">
            <v>加蓬</v>
          </cell>
          <cell r="J962" t="str">
            <v>Gabon</v>
          </cell>
          <cell r="K962" t="str">
            <v>Chinese employees</v>
          </cell>
          <cell r="L962" t="str">
            <v>L0</v>
          </cell>
          <cell r="M962" t="str">
            <v>ALL</v>
          </cell>
          <cell r="N962" t="str">
            <v>FLPC(含奖金)</v>
          </cell>
          <cell r="O962" t="str">
            <v>USD/小时</v>
          </cell>
          <cell r="P962">
            <v>53.2</v>
          </cell>
        </row>
        <row r="963">
          <cell r="A963" t="str">
            <v>Gabon - Chinese employees - L1</v>
          </cell>
          <cell r="B963" t="str">
            <v>Current version</v>
          </cell>
          <cell r="C963" t="str">
            <v>V2009R2</v>
          </cell>
          <cell r="D963" t="str">
            <v>Labor Rate</v>
          </cell>
          <cell r="E963" t="str">
            <v>SA</v>
          </cell>
          <cell r="F963" t="str">
            <v>Western Africa Sub-Regional Division</v>
          </cell>
          <cell r="G963" t="str">
            <v>Cameroon Rep.O.</v>
          </cell>
          <cell r="H963" t="str">
            <v>4041</v>
          </cell>
          <cell r="I963" t="str">
            <v>加蓬</v>
          </cell>
          <cell r="J963" t="str">
            <v>Gabon</v>
          </cell>
          <cell r="K963" t="str">
            <v>Chinese employees</v>
          </cell>
          <cell r="L963" t="str">
            <v>L1</v>
          </cell>
          <cell r="M963" t="str">
            <v>ALL</v>
          </cell>
          <cell r="N963" t="str">
            <v>FLPC(含奖金)</v>
          </cell>
          <cell r="O963" t="str">
            <v>USD/小时</v>
          </cell>
          <cell r="P963">
            <v>60.13</v>
          </cell>
        </row>
        <row r="964">
          <cell r="A964" t="str">
            <v>Gabon - Chinese employees - L2</v>
          </cell>
          <cell r="B964" t="str">
            <v>Current version</v>
          </cell>
          <cell r="C964" t="str">
            <v>V2009R2</v>
          </cell>
          <cell r="D964" t="str">
            <v>Labor Rate</v>
          </cell>
          <cell r="E964" t="str">
            <v>SA</v>
          </cell>
          <cell r="F964" t="str">
            <v>Western Africa Sub-Regional Division</v>
          </cell>
          <cell r="G964" t="str">
            <v>Cameroon Rep.O.</v>
          </cell>
          <cell r="H964" t="str">
            <v>4041</v>
          </cell>
          <cell r="I964" t="str">
            <v>加蓬</v>
          </cell>
          <cell r="J964" t="str">
            <v>Gabon</v>
          </cell>
          <cell r="K964" t="str">
            <v>Chinese employees</v>
          </cell>
          <cell r="L964" t="str">
            <v>L2</v>
          </cell>
          <cell r="M964" t="str">
            <v>ALL</v>
          </cell>
          <cell r="N964" t="str">
            <v>FLPC(含奖金)</v>
          </cell>
          <cell r="O964" t="str">
            <v>USD/小时</v>
          </cell>
          <cell r="P964">
            <v>68.62</v>
          </cell>
        </row>
        <row r="965">
          <cell r="A965" t="str">
            <v>Gabon - Chinese employees - L3</v>
          </cell>
          <cell r="B965" t="str">
            <v>Current version</v>
          </cell>
          <cell r="C965" t="str">
            <v>V2009R2</v>
          </cell>
          <cell r="D965" t="str">
            <v>Labor Rate</v>
          </cell>
          <cell r="E965" t="str">
            <v>SA</v>
          </cell>
          <cell r="F965" t="str">
            <v>Western Africa Sub-Regional Division</v>
          </cell>
          <cell r="G965" t="str">
            <v>Cameroon Rep.O.</v>
          </cell>
          <cell r="H965" t="str">
            <v>4041</v>
          </cell>
          <cell r="I965" t="str">
            <v>加蓬</v>
          </cell>
          <cell r="J965" t="str">
            <v>Gabon</v>
          </cell>
          <cell r="K965" t="str">
            <v>Chinese employees</v>
          </cell>
          <cell r="L965" t="str">
            <v>L3</v>
          </cell>
          <cell r="M965" t="str">
            <v>ALL</v>
          </cell>
          <cell r="N965" t="str">
            <v>FLPC(含奖金)</v>
          </cell>
          <cell r="O965" t="str">
            <v>USD/小时</v>
          </cell>
          <cell r="P965">
            <v>80.73</v>
          </cell>
        </row>
        <row r="966">
          <cell r="A966" t="str">
            <v>Gabon - Chinese employees - L4</v>
          </cell>
          <cell r="B966" t="str">
            <v>Current version</v>
          </cell>
          <cell r="C966" t="str">
            <v>V2009R2</v>
          </cell>
          <cell r="D966" t="str">
            <v>Labor Rate</v>
          </cell>
          <cell r="E966" t="str">
            <v>SA</v>
          </cell>
          <cell r="F966" t="str">
            <v>Western Africa Sub-Regional Division</v>
          </cell>
          <cell r="G966" t="str">
            <v>Cameroon Rep.O.</v>
          </cell>
          <cell r="H966" t="str">
            <v>4041</v>
          </cell>
          <cell r="I966" t="str">
            <v>加蓬</v>
          </cell>
          <cell r="J966" t="str">
            <v>Gabon</v>
          </cell>
          <cell r="K966" t="str">
            <v>Chinese employees</v>
          </cell>
          <cell r="L966" t="str">
            <v>L4</v>
          </cell>
          <cell r="M966" t="str">
            <v>ALL</v>
          </cell>
          <cell r="N966" t="str">
            <v>FLPC(含奖金)</v>
          </cell>
          <cell r="O966" t="str">
            <v>USD/小时</v>
          </cell>
          <cell r="P966">
            <v>124.05</v>
          </cell>
        </row>
        <row r="967">
          <cell r="A967" t="str">
            <v>Equatorial Guinea - Chinese employees - L0</v>
          </cell>
          <cell r="B967" t="str">
            <v>Current version</v>
          </cell>
          <cell r="C967" t="str">
            <v>V2009R2</v>
          </cell>
          <cell r="D967" t="str">
            <v>Labor Rate</v>
          </cell>
          <cell r="E967" t="str">
            <v>SA</v>
          </cell>
          <cell r="F967" t="str">
            <v>Western Africa Sub-Regional Division</v>
          </cell>
          <cell r="G967" t="str">
            <v>Cameroon Rep.O.</v>
          </cell>
          <cell r="H967" t="str">
            <v>4043</v>
          </cell>
          <cell r="I967" t="str">
            <v>赤道几内亚</v>
          </cell>
          <cell r="J967" t="str">
            <v>Equatorial Guinea</v>
          </cell>
          <cell r="K967" t="str">
            <v>Chinese employees</v>
          </cell>
          <cell r="L967" t="str">
            <v>L0</v>
          </cell>
          <cell r="M967" t="str">
            <v>ALL</v>
          </cell>
          <cell r="N967" t="str">
            <v>FLPC(含奖金)</v>
          </cell>
          <cell r="O967" t="str">
            <v>USD/小时</v>
          </cell>
          <cell r="P967">
            <v>53.2</v>
          </cell>
        </row>
        <row r="968">
          <cell r="A968" t="str">
            <v>Equatorial Guinea - Chinese employees - L1</v>
          </cell>
          <cell r="B968" t="str">
            <v>Current version</v>
          </cell>
          <cell r="C968" t="str">
            <v>V2009R2</v>
          </cell>
          <cell r="D968" t="str">
            <v>Labor Rate</v>
          </cell>
          <cell r="E968" t="str">
            <v>SA</v>
          </cell>
          <cell r="F968" t="str">
            <v>Western Africa Sub-Regional Division</v>
          </cell>
          <cell r="G968" t="str">
            <v>Cameroon Rep.O.</v>
          </cell>
          <cell r="H968" t="str">
            <v>4043</v>
          </cell>
          <cell r="I968" t="str">
            <v>赤道几内亚</v>
          </cell>
          <cell r="J968" t="str">
            <v>Equatorial Guinea</v>
          </cell>
          <cell r="K968" t="str">
            <v>Chinese employees</v>
          </cell>
          <cell r="L968" t="str">
            <v>L1</v>
          </cell>
          <cell r="M968" t="str">
            <v>ALL</v>
          </cell>
          <cell r="N968" t="str">
            <v>FLPC(含奖金)</v>
          </cell>
          <cell r="O968" t="str">
            <v>USD/小时</v>
          </cell>
          <cell r="P968">
            <v>60.13</v>
          </cell>
        </row>
        <row r="969">
          <cell r="A969" t="str">
            <v>Equatorial Guinea - Chinese employees - L2</v>
          </cell>
          <cell r="B969" t="str">
            <v>Current version</v>
          </cell>
          <cell r="C969" t="str">
            <v>V2009R2</v>
          </cell>
          <cell r="D969" t="str">
            <v>Labor Rate</v>
          </cell>
          <cell r="E969" t="str">
            <v>SA</v>
          </cell>
          <cell r="F969" t="str">
            <v>Western Africa Sub-Regional Division</v>
          </cell>
          <cell r="G969" t="str">
            <v>Cameroon Rep.O.</v>
          </cell>
          <cell r="H969" t="str">
            <v>4043</v>
          </cell>
          <cell r="I969" t="str">
            <v>赤道几内亚</v>
          </cell>
          <cell r="J969" t="str">
            <v>Equatorial Guinea</v>
          </cell>
          <cell r="K969" t="str">
            <v>Chinese employees</v>
          </cell>
          <cell r="L969" t="str">
            <v>L2</v>
          </cell>
          <cell r="M969" t="str">
            <v>ALL</v>
          </cell>
          <cell r="N969" t="str">
            <v>FLPC(含奖金)</v>
          </cell>
          <cell r="O969" t="str">
            <v>USD/小时</v>
          </cell>
          <cell r="P969">
            <v>68.62</v>
          </cell>
        </row>
        <row r="970">
          <cell r="A970" t="str">
            <v>Equatorial Guinea - Chinese employees - L3</v>
          </cell>
          <cell r="B970" t="str">
            <v>Current version</v>
          </cell>
          <cell r="C970" t="str">
            <v>V2009R2</v>
          </cell>
          <cell r="D970" t="str">
            <v>Labor Rate</v>
          </cell>
          <cell r="E970" t="str">
            <v>SA</v>
          </cell>
          <cell r="F970" t="str">
            <v>Western Africa Sub-Regional Division</v>
          </cell>
          <cell r="G970" t="str">
            <v>Cameroon Rep.O.</v>
          </cell>
          <cell r="H970" t="str">
            <v>4043</v>
          </cell>
          <cell r="I970" t="str">
            <v>赤道几内亚</v>
          </cell>
          <cell r="J970" t="str">
            <v>Equatorial Guinea</v>
          </cell>
          <cell r="K970" t="str">
            <v>Chinese employees</v>
          </cell>
          <cell r="L970" t="str">
            <v>L3</v>
          </cell>
          <cell r="M970" t="str">
            <v>ALL</v>
          </cell>
          <cell r="N970" t="str">
            <v>FLPC(含奖金)</v>
          </cell>
          <cell r="O970" t="str">
            <v>USD/小时</v>
          </cell>
          <cell r="P970">
            <v>80.73</v>
          </cell>
        </row>
        <row r="971">
          <cell r="A971" t="str">
            <v>Equatorial Guinea - Chinese employees - L4</v>
          </cell>
          <cell r="B971" t="str">
            <v>Current version</v>
          </cell>
          <cell r="C971" t="str">
            <v>V2009R2</v>
          </cell>
          <cell r="D971" t="str">
            <v>Labor Rate</v>
          </cell>
          <cell r="E971" t="str">
            <v>SA</v>
          </cell>
          <cell r="F971" t="str">
            <v>Western Africa Sub-Regional Division</v>
          </cell>
          <cell r="G971" t="str">
            <v>Cameroon Rep.O.</v>
          </cell>
          <cell r="H971" t="str">
            <v>4043</v>
          </cell>
          <cell r="I971" t="str">
            <v>赤道几内亚</v>
          </cell>
          <cell r="J971" t="str">
            <v>Equatorial Guinea</v>
          </cell>
          <cell r="K971" t="str">
            <v>Chinese employees</v>
          </cell>
          <cell r="L971" t="str">
            <v>L4</v>
          </cell>
          <cell r="M971" t="str">
            <v>ALL</v>
          </cell>
          <cell r="N971" t="str">
            <v>FLPC(含奖金)</v>
          </cell>
          <cell r="O971" t="str">
            <v>USD/小时</v>
          </cell>
          <cell r="P971">
            <v>124.05</v>
          </cell>
        </row>
        <row r="972">
          <cell r="A972" t="str">
            <v>Zimbabwe - Chinese employees - L0</v>
          </cell>
          <cell r="B972" t="str">
            <v>Current version</v>
          </cell>
          <cell r="C972" t="str">
            <v>V2009R2</v>
          </cell>
          <cell r="D972" t="str">
            <v>Labor Rate</v>
          </cell>
          <cell r="E972" t="str">
            <v>SA</v>
          </cell>
          <cell r="F972" t="str">
            <v>Southern Africa Sub-Regional Division</v>
          </cell>
          <cell r="G972" t="str">
            <v>Zambia/Zimba Rep.O.</v>
          </cell>
          <cell r="H972" t="str">
            <v>4009</v>
          </cell>
          <cell r="I972" t="str">
            <v>津巴布韦</v>
          </cell>
          <cell r="J972" t="str">
            <v>Zimbabwe</v>
          </cell>
          <cell r="K972" t="str">
            <v>Chinese employees</v>
          </cell>
          <cell r="L972" t="str">
            <v>L0</v>
          </cell>
          <cell r="M972" t="str">
            <v>ALL</v>
          </cell>
          <cell r="N972" t="str">
            <v>FLPC(含奖金)</v>
          </cell>
          <cell r="O972" t="str">
            <v>USD/小时</v>
          </cell>
          <cell r="P972">
            <v>42.76</v>
          </cell>
        </row>
        <row r="973">
          <cell r="A973" t="str">
            <v>Zimbabwe - Chinese employees - L1</v>
          </cell>
          <cell r="B973" t="str">
            <v>Current version</v>
          </cell>
          <cell r="C973" t="str">
            <v>V2009R2</v>
          </cell>
          <cell r="D973" t="str">
            <v>Labor Rate</v>
          </cell>
          <cell r="E973" t="str">
            <v>SA</v>
          </cell>
          <cell r="F973" t="str">
            <v>Southern Africa Sub-Regional Division</v>
          </cell>
          <cell r="G973" t="str">
            <v>Zambia/Zimba Rep.O.</v>
          </cell>
          <cell r="H973" t="str">
            <v>4009</v>
          </cell>
          <cell r="I973" t="str">
            <v>津巴布韦</v>
          </cell>
          <cell r="J973" t="str">
            <v>Zimbabwe</v>
          </cell>
          <cell r="K973" t="str">
            <v>Chinese employees</v>
          </cell>
          <cell r="L973" t="str">
            <v>L1</v>
          </cell>
          <cell r="M973" t="str">
            <v>ALL</v>
          </cell>
          <cell r="N973" t="str">
            <v>FLPC(含奖金)</v>
          </cell>
          <cell r="O973" t="str">
            <v>USD/小时</v>
          </cell>
          <cell r="P973">
            <v>49.89</v>
          </cell>
        </row>
        <row r="974">
          <cell r="A974" t="str">
            <v>Zimbabwe - Chinese employees - L2</v>
          </cell>
          <cell r="B974" t="str">
            <v>Current version</v>
          </cell>
          <cell r="C974" t="str">
            <v>V2009R2</v>
          </cell>
          <cell r="D974" t="str">
            <v>Labor Rate</v>
          </cell>
          <cell r="E974" t="str">
            <v>SA</v>
          </cell>
          <cell r="F974" t="str">
            <v>Southern Africa Sub-Regional Division</v>
          </cell>
          <cell r="G974" t="str">
            <v>Zambia/Zimba Rep.O.</v>
          </cell>
          <cell r="H974" t="str">
            <v>4009</v>
          </cell>
          <cell r="I974" t="str">
            <v>津巴布韦</v>
          </cell>
          <cell r="J974" t="str">
            <v>Zimbabwe</v>
          </cell>
          <cell r="K974" t="str">
            <v>Chinese employees</v>
          </cell>
          <cell r="L974" t="str">
            <v>L2</v>
          </cell>
          <cell r="M974" t="str">
            <v>ALL</v>
          </cell>
          <cell r="N974" t="str">
            <v>FLPC(含奖金)</v>
          </cell>
          <cell r="O974" t="str">
            <v>USD/小时</v>
          </cell>
          <cell r="P974">
            <v>57.64</v>
          </cell>
        </row>
        <row r="975">
          <cell r="A975" t="str">
            <v>Zimbabwe - Chinese employees - L3</v>
          </cell>
          <cell r="B975" t="str">
            <v>Current version</v>
          </cell>
          <cell r="C975" t="str">
            <v>V2009R2</v>
          </cell>
          <cell r="D975" t="str">
            <v>Labor Rate</v>
          </cell>
          <cell r="E975" t="str">
            <v>SA</v>
          </cell>
          <cell r="F975" t="str">
            <v>Southern Africa Sub-Regional Division</v>
          </cell>
          <cell r="G975" t="str">
            <v>Zambia/Zimba Rep.O.</v>
          </cell>
          <cell r="H975" t="str">
            <v>4009</v>
          </cell>
          <cell r="I975" t="str">
            <v>津巴布韦</v>
          </cell>
          <cell r="J975" t="str">
            <v>Zimbabwe</v>
          </cell>
          <cell r="K975" t="str">
            <v>Chinese employees</v>
          </cell>
          <cell r="L975" t="str">
            <v>L3</v>
          </cell>
          <cell r="M975" t="str">
            <v>ALL</v>
          </cell>
          <cell r="N975" t="str">
            <v>FLPC(含奖金)</v>
          </cell>
          <cell r="O975" t="str">
            <v>USD/小时</v>
          </cell>
          <cell r="P975">
            <v>68.739999999999995</v>
          </cell>
        </row>
        <row r="976">
          <cell r="A976" t="str">
            <v>Zimbabwe - Chinese employees - L4</v>
          </cell>
          <cell r="B976" t="str">
            <v>Current version</v>
          </cell>
          <cell r="C976" t="str">
            <v>V2009R2</v>
          </cell>
          <cell r="D976" t="str">
            <v>Labor Rate</v>
          </cell>
          <cell r="E976" t="str">
            <v>SA</v>
          </cell>
          <cell r="F976" t="str">
            <v>Southern Africa Sub-Regional Division</v>
          </cell>
          <cell r="G976" t="str">
            <v>Zambia/Zimba Rep.O.</v>
          </cell>
          <cell r="H976" t="str">
            <v>4009</v>
          </cell>
          <cell r="I976" t="str">
            <v>津巴布韦</v>
          </cell>
          <cell r="J976" t="str">
            <v>Zimbabwe</v>
          </cell>
          <cell r="K976" t="str">
            <v>Chinese employees</v>
          </cell>
          <cell r="L976" t="str">
            <v>L4</v>
          </cell>
          <cell r="M976" t="str">
            <v>ALL</v>
          </cell>
          <cell r="N976" t="str">
            <v>FLPC(含奖金)</v>
          </cell>
          <cell r="O976" t="str">
            <v>USD/小时</v>
          </cell>
          <cell r="P976">
            <v>107.57</v>
          </cell>
        </row>
        <row r="977">
          <cell r="A977" t="str">
            <v>Zambia - Chinese employees - L0</v>
          </cell>
          <cell r="B977" t="str">
            <v>Current version</v>
          </cell>
          <cell r="C977" t="str">
            <v>V2009R2</v>
          </cell>
          <cell r="D977" t="str">
            <v>Labor Rate</v>
          </cell>
          <cell r="E977" t="str">
            <v>SA</v>
          </cell>
          <cell r="F977" t="str">
            <v>Southern Africa Sub-Regional Division</v>
          </cell>
          <cell r="G977" t="str">
            <v>Zambia/Zimba Rep.O.</v>
          </cell>
          <cell r="H977" t="str">
            <v>4010</v>
          </cell>
          <cell r="I977" t="str">
            <v>赞比亚</v>
          </cell>
          <cell r="J977" t="str">
            <v>Zambia</v>
          </cell>
          <cell r="K977" t="str">
            <v>Chinese employees</v>
          </cell>
          <cell r="L977" t="str">
            <v>L0</v>
          </cell>
          <cell r="M977" t="str">
            <v>ALL</v>
          </cell>
          <cell r="N977" t="str">
            <v>FLPC(含奖金)</v>
          </cell>
          <cell r="O977" t="str">
            <v>USD/小时</v>
          </cell>
          <cell r="P977">
            <v>52.36</v>
          </cell>
        </row>
        <row r="978">
          <cell r="A978" t="str">
            <v>Zambia - Chinese employees - L1</v>
          </cell>
          <cell r="B978" t="str">
            <v>Current version</v>
          </cell>
          <cell r="C978" t="str">
            <v>V2009R2</v>
          </cell>
          <cell r="D978" t="str">
            <v>Labor Rate</v>
          </cell>
          <cell r="E978" t="str">
            <v>SA</v>
          </cell>
          <cell r="F978" t="str">
            <v>Southern Africa Sub-Regional Division</v>
          </cell>
          <cell r="G978" t="str">
            <v>Zambia/Zimba Rep.O.</v>
          </cell>
          <cell r="H978" t="str">
            <v>4010</v>
          </cell>
          <cell r="I978" t="str">
            <v>赞比亚</v>
          </cell>
          <cell r="J978" t="str">
            <v>Zambia</v>
          </cell>
          <cell r="K978" t="str">
            <v>Chinese employees</v>
          </cell>
          <cell r="L978" t="str">
            <v>L1</v>
          </cell>
          <cell r="M978" t="str">
            <v>ALL</v>
          </cell>
          <cell r="N978" t="str">
            <v>FLPC(含奖金)</v>
          </cell>
          <cell r="O978" t="str">
            <v>USD/小时</v>
          </cell>
          <cell r="P978">
            <v>59.18</v>
          </cell>
        </row>
        <row r="979">
          <cell r="A979" t="str">
            <v>Saudi Arabia - Chinese employees - L2</v>
          </cell>
          <cell r="B979" t="str">
            <v>Current version</v>
          </cell>
          <cell r="C979" t="str">
            <v>V2009R2</v>
          </cell>
          <cell r="D979" t="str">
            <v>Labor Rate</v>
          </cell>
          <cell r="E979" t="str">
            <v>MENA</v>
          </cell>
          <cell r="F979" t="str">
            <v>Middle East Sub-Regional Division</v>
          </cell>
          <cell r="G979" t="str">
            <v>Saudi Arabia</v>
          </cell>
          <cell r="H979" t="str">
            <v>5002</v>
          </cell>
          <cell r="I979" t="str">
            <v>沙特</v>
          </cell>
          <cell r="J979" t="str">
            <v>Saudi Arabia</v>
          </cell>
          <cell r="K979" t="str">
            <v>Chinese employees</v>
          </cell>
          <cell r="L979" t="str">
            <v>L2</v>
          </cell>
          <cell r="M979" t="str">
            <v>ALL</v>
          </cell>
          <cell r="N979" t="str">
            <v>FLPC(含奖金)</v>
          </cell>
          <cell r="O979" t="str">
            <v>USD/小时</v>
          </cell>
          <cell r="P979">
            <v>61.36</v>
          </cell>
        </row>
        <row r="980">
          <cell r="A980" t="str">
            <v>Saudi Arabia - Chinese employees - L3</v>
          </cell>
          <cell r="B980" t="str">
            <v>Current version</v>
          </cell>
          <cell r="C980" t="str">
            <v>V2009R2</v>
          </cell>
          <cell r="D980" t="str">
            <v>Labor Rate</v>
          </cell>
          <cell r="E980" t="str">
            <v>MENA</v>
          </cell>
          <cell r="F980" t="str">
            <v>Middle East Sub-Regional Division</v>
          </cell>
          <cell r="G980" t="str">
            <v>Saudi Arabia</v>
          </cell>
          <cell r="H980" t="str">
            <v>5002</v>
          </cell>
          <cell r="I980" t="str">
            <v>沙特</v>
          </cell>
          <cell r="J980" t="str">
            <v>Saudi Arabia</v>
          </cell>
          <cell r="K980" t="str">
            <v>Chinese employees</v>
          </cell>
          <cell r="L980" t="str">
            <v>L3</v>
          </cell>
          <cell r="M980" t="str">
            <v>ALL</v>
          </cell>
          <cell r="N980" t="str">
            <v>FLPC(含奖金)</v>
          </cell>
          <cell r="O980" t="str">
            <v>USD/小时</v>
          </cell>
          <cell r="P980">
            <v>73.72</v>
          </cell>
        </row>
        <row r="981">
          <cell r="A981" t="str">
            <v>Saudi Arabia - Chinese employees - L4</v>
          </cell>
          <cell r="B981" t="str">
            <v>Current version</v>
          </cell>
          <cell r="C981" t="str">
            <v>V2009R2</v>
          </cell>
          <cell r="D981" t="str">
            <v>Labor Rate</v>
          </cell>
          <cell r="E981" t="str">
            <v>MENA</v>
          </cell>
          <cell r="F981" t="str">
            <v>Middle East Sub-Regional Division</v>
          </cell>
          <cell r="G981" t="str">
            <v>Saudi Arabia</v>
          </cell>
          <cell r="H981" t="str">
            <v>5002</v>
          </cell>
          <cell r="I981" t="str">
            <v>沙特</v>
          </cell>
          <cell r="J981" t="str">
            <v>Saudi Arabia</v>
          </cell>
          <cell r="K981" t="str">
            <v>Chinese employees</v>
          </cell>
          <cell r="L981" t="str">
            <v>L4</v>
          </cell>
          <cell r="M981" t="str">
            <v>ALL</v>
          </cell>
          <cell r="N981" t="str">
            <v>FLPC(含奖金)</v>
          </cell>
          <cell r="O981" t="str">
            <v>USD/小时</v>
          </cell>
          <cell r="P981">
            <v>118.25</v>
          </cell>
        </row>
        <row r="982">
          <cell r="A982" t="str">
            <v>Maldives - Chinese employees - L0</v>
          </cell>
          <cell r="B982" t="str">
            <v>Current version</v>
          </cell>
          <cell r="C982" t="str">
            <v>V2009R2</v>
          </cell>
          <cell r="D982" t="str">
            <v>Labor Rate</v>
          </cell>
          <cell r="E982" t="str">
            <v>MENA</v>
          </cell>
          <cell r="F982" t="str">
            <v>Middle East Sub-Regional Division</v>
          </cell>
          <cell r="G982" t="str">
            <v>Qatar Rep.O.</v>
          </cell>
          <cell r="H982" t="str">
            <v>5017</v>
          </cell>
          <cell r="I982" t="str">
            <v>马尔代夫</v>
          </cell>
          <cell r="J982" t="str">
            <v>Maldives</v>
          </cell>
          <cell r="K982" t="str">
            <v>Chinese employees</v>
          </cell>
          <cell r="L982" t="str">
            <v>L0</v>
          </cell>
          <cell r="M982" t="str">
            <v>ALL</v>
          </cell>
          <cell r="N982" t="str">
            <v>FLPC(含奖金)</v>
          </cell>
          <cell r="O982" t="str">
            <v>USD/小时</v>
          </cell>
          <cell r="P982">
            <v>55.67</v>
          </cell>
        </row>
        <row r="983">
          <cell r="A983" t="str">
            <v>Maldives - Chinese employees - L1</v>
          </cell>
          <cell r="B983" t="str">
            <v>Current version</v>
          </cell>
          <cell r="C983" t="str">
            <v>V2009R2</v>
          </cell>
          <cell r="D983" t="str">
            <v>Labor Rate</v>
          </cell>
          <cell r="E983" t="str">
            <v>MENA</v>
          </cell>
          <cell r="F983" t="str">
            <v>Middle East Sub-Regional Division</v>
          </cell>
          <cell r="G983" t="str">
            <v>Qatar Rep.O.</v>
          </cell>
          <cell r="H983" t="str">
            <v>5017</v>
          </cell>
          <cell r="I983" t="str">
            <v>马尔代夫</v>
          </cell>
          <cell r="J983" t="str">
            <v>Maldives</v>
          </cell>
          <cell r="K983" t="str">
            <v>Chinese employees</v>
          </cell>
          <cell r="L983" t="str">
            <v>L1</v>
          </cell>
          <cell r="M983" t="str">
            <v>ALL</v>
          </cell>
          <cell r="N983" t="str">
            <v>FLPC(含奖金)</v>
          </cell>
          <cell r="O983" t="str">
            <v>USD/小时</v>
          </cell>
          <cell r="P983">
            <v>61.79</v>
          </cell>
        </row>
        <row r="984">
          <cell r="A984" t="str">
            <v>Maldives - Chinese employees - L2</v>
          </cell>
          <cell r="B984" t="str">
            <v>Current version</v>
          </cell>
          <cell r="C984" t="str">
            <v>V2009R2</v>
          </cell>
          <cell r="D984" t="str">
            <v>Labor Rate</v>
          </cell>
          <cell r="E984" t="str">
            <v>MENA</v>
          </cell>
          <cell r="F984" t="str">
            <v>Middle East Sub-Regional Division</v>
          </cell>
          <cell r="G984" t="str">
            <v>Qatar Rep.O.</v>
          </cell>
          <cell r="H984" t="str">
            <v>5017</v>
          </cell>
          <cell r="I984" t="str">
            <v>马尔代夫</v>
          </cell>
          <cell r="J984" t="str">
            <v>Maldives</v>
          </cell>
          <cell r="K984" t="str">
            <v>Chinese employees</v>
          </cell>
          <cell r="L984" t="str">
            <v>L2</v>
          </cell>
          <cell r="M984" t="str">
            <v>ALL</v>
          </cell>
          <cell r="N984" t="str">
            <v>FLPC(含奖金)</v>
          </cell>
          <cell r="O984" t="str">
            <v>USD/小时</v>
          </cell>
          <cell r="P984">
            <v>69.739999999999995</v>
          </cell>
        </row>
        <row r="985">
          <cell r="A985" t="str">
            <v>Maldives - Chinese employees - L3</v>
          </cell>
          <cell r="B985" t="str">
            <v>Current version</v>
          </cell>
          <cell r="C985" t="str">
            <v>V2009R2</v>
          </cell>
          <cell r="D985" t="str">
            <v>Labor Rate</v>
          </cell>
          <cell r="E985" t="str">
            <v>MENA</v>
          </cell>
          <cell r="F985" t="str">
            <v>Middle East Sub-Regional Division</v>
          </cell>
          <cell r="G985" t="str">
            <v>Qatar Rep.O.</v>
          </cell>
          <cell r="H985" t="str">
            <v>5017</v>
          </cell>
          <cell r="I985" t="str">
            <v>马尔代夫</v>
          </cell>
          <cell r="J985" t="str">
            <v>Maldives</v>
          </cell>
          <cell r="K985" t="str">
            <v>Chinese employees</v>
          </cell>
          <cell r="L985" t="str">
            <v>L3</v>
          </cell>
          <cell r="M985" t="str">
            <v>ALL</v>
          </cell>
          <cell r="N985" t="str">
            <v>FLPC(含奖金)</v>
          </cell>
          <cell r="O985" t="str">
            <v>USD/小时</v>
          </cell>
          <cell r="P985">
            <v>81.099999999999994</v>
          </cell>
        </row>
        <row r="986">
          <cell r="A986" t="str">
            <v>Maldives - Chinese employees - L4</v>
          </cell>
          <cell r="B986" t="str">
            <v>Current version</v>
          </cell>
          <cell r="C986" t="str">
            <v>V2009R2</v>
          </cell>
          <cell r="D986" t="str">
            <v>Labor Rate</v>
          </cell>
          <cell r="E986" t="str">
            <v>MENA</v>
          </cell>
          <cell r="F986" t="str">
            <v>Middle East Sub-Regional Division</v>
          </cell>
          <cell r="G986" t="str">
            <v>Qatar Rep.O.</v>
          </cell>
          <cell r="H986" t="str">
            <v>5017</v>
          </cell>
          <cell r="I986" t="str">
            <v>马尔代夫</v>
          </cell>
          <cell r="J986" t="str">
            <v>Maldives</v>
          </cell>
          <cell r="K986" t="str">
            <v>Chinese employees</v>
          </cell>
          <cell r="L986" t="str">
            <v>L4</v>
          </cell>
          <cell r="M986" t="str">
            <v>ALL</v>
          </cell>
          <cell r="N986" t="str">
            <v>FLPC(含奖金)</v>
          </cell>
          <cell r="O986" t="str">
            <v>USD/小时</v>
          </cell>
          <cell r="P986">
            <v>122.05</v>
          </cell>
        </row>
        <row r="987">
          <cell r="A987" t="str">
            <v>Qatar - Chinese employees - L0</v>
          </cell>
          <cell r="B987" t="str">
            <v>Current version</v>
          </cell>
          <cell r="C987" t="str">
            <v>V2009R2</v>
          </cell>
          <cell r="D987" t="str">
            <v>Labor Rate</v>
          </cell>
          <cell r="E987" t="str">
            <v>MENA</v>
          </cell>
          <cell r="F987" t="str">
            <v>Middle East Sub-Regional Division</v>
          </cell>
          <cell r="G987" t="str">
            <v>Qatar Rep.O.</v>
          </cell>
          <cell r="H987" t="str">
            <v>5001</v>
          </cell>
          <cell r="I987" t="str">
            <v>卡塔尔</v>
          </cell>
          <cell r="J987" t="str">
            <v>Qatar</v>
          </cell>
          <cell r="K987" t="str">
            <v>Chinese employees</v>
          </cell>
          <cell r="L987" t="str">
            <v>L0</v>
          </cell>
          <cell r="M987" t="str">
            <v>ALL</v>
          </cell>
          <cell r="N987" t="str">
            <v>FLPC(含奖金)</v>
          </cell>
          <cell r="O987" t="str">
            <v>USD/小时</v>
          </cell>
          <cell r="P987">
            <v>55.67</v>
          </cell>
        </row>
        <row r="988">
          <cell r="A988" t="str">
            <v>Qatar - Chinese employees - L1</v>
          </cell>
          <cell r="B988" t="str">
            <v>Current version</v>
          </cell>
          <cell r="C988" t="str">
            <v>V2009R2</v>
          </cell>
          <cell r="D988" t="str">
            <v>Labor Rate</v>
          </cell>
          <cell r="E988" t="str">
            <v>MENA</v>
          </cell>
          <cell r="F988" t="str">
            <v>Middle East Sub-Regional Division</v>
          </cell>
          <cell r="G988" t="str">
            <v>Qatar Rep.O.</v>
          </cell>
          <cell r="H988" t="str">
            <v>5001</v>
          </cell>
          <cell r="I988" t="str">
            <v>卡塔尔</v>
          </cell>
          <cell r="J988" t="str">
            <v>Qatar</v>
          </cell>
          <cell r="K988" t="str">
            <v>Chinese employees</v>
          </cell>
          <cell r="L988" t="str">
            <v>L1</v>
          </cell>
          <cell r="M988" t="str">
            <v>ALL</v>
          </cell>
          <cell r="N988" t="str">
            <v>FLPC(含奖金)</v>
          </cell>
          <cell r="O988" t="str">
            <v>USD/小时</v>
          </cell>
          <cell r="P988">
            <v>61.79</v>
          </cell>
        </row>
        <row r="989">
          <cell r="A989" t="str">
            <v>Qatar - Chinese employees - L2</v>
          </cell>
          <cell r="B989" t="str">
            <v>Current version</v>
          </cell>
          <cell r="C989" t="str">
            <v>V2009R2</v>
          </cell>
          <cell r="D989" t="str">
            <v>Labor Rate</v>
          </cell>
          <cell r="E989" t="str">
            <v>MENA</v>
          </cell>
          <cell r="F989" t="str">
            <v>Middle East Sub-Regional Division</v>
          </cell>
          <cell r="G989" t="str">
            <v>Qatar Rep.O.</v>
          </cell>
          <cell r="H989" t="str">
            <v>5001</v>
          </cell>
          <cell r="I989" t="str">
            <v>卡塔尔</v>
          </cell>
          <cell r="J989" t="str">
            <v>Qatar</v>
          </cell>
          <cell r="K989" t="str">
            <v>Chinese employees</v>
          </cell>
          <cell r="L989" t="str">
            <v>L2</v>
          </cell>
          <cell r="M989" t="str">
            <v>ALL</v>
          </cell>
          <cell r="N989" t="str">
            <v>FLPC(含奖金)</v>
          </cell>
          <cell r="O989" t="str">
            <v>USD/小时</v>
          </cell>
          <cell r="P989">
            <v>69.739999999999995</v>
          </cell>
        </row>
        <row r="990">
          <cell r="A990" t="str">
            <v>Qatar - Chinese employees - L3</v>
          </cell>
          <cell r="B990" t="str">
            <v>Current version</v>
          </cell>
          <cell r="C990" t="str">
            <v>V2009R2</v>
          </cell>
          <cell r="D990" t="str">
            <v>Labor Rate</v>
          </cell>
          <cell r="E990" t="str">
            <v>MENA</v>
          </cell>
          <cell r="F990" t="str">
            <v>Middle East Sub-Regional Division</v>
          </cell>
          <cell r="G990" t="str">
            <v>Qatar Rep.O.</v>
          </cell>
          <cell r="H990" t="str">
            <v>5001</v>
          </cell>
          <cell r="I990" t="str">
            <v>卡塔尔</v>
          </cell>
          <cell r="J990" t="str">
            <v>Qatar</v>
          </cell>
          <cell r="K990" t="str">
            <v>Chinese employees</v>
          </cell>
          <cell r="L990" t="str">
            <v>L3</v>
          </cell>
          <cell r="M990" t="str">
            <v>ALL</v>
          </cell>
          <cell r="N990" t="str">
            <v>FLPC(含奖金)</v>
          </cell>
          <cell r="O990" t="str">
            <v>USD/小时</v>
          </cell>
          <cell r="P990">
            <v>81.099999999999994</v>
          </cell>
        </row>
        <row r="991">
          <cell r="A991" t="str">
            <v>Qatar - Chinese employees - L4</v>
          </cell>
          <cell r="B991" t="str">
            <v>Current version</v>
          </cell>
          <cell r="C991" t="str">
            <v>V2009R2</v>
          </cell>
          <cell r="D991" t="str">
            <v>Labor Rate</v>
          </cell>
          <cell r="E991" t="str">
            <v>MENA</v>
          </cell>
          <cell r="F991" t="str">
            <v>Middle East Sub-Regional Division</v>
          </cell>
          <cell r="G991" t="str">
            <v>Qatar Rep.O.</v>
          </cell>
          <cell r="H991" t="str">
            <v>5001</v>
          </cell>
          <cell r="I991" t="str">
            <v>卡塔尔</v>
          </cell>
          <cell r="J991" t="str">
            <v>Qatar</v>
          </cell>
          <cell r="K991" t="str">
            <v>Chinese employees</v>
          </cell>
          <cell r="L991" t="str">
            <v>L4</v>
          </cell>
          <cell r="M991" t="str">
            <v>ALL</v>
          </cell>
          <cell r="N991" t="str">
            <v>FLPC(含奖金)</v>
          </cell>
          <cell r="O991" t="str">
            <v>USD/小时</v>
          </cell>
          <cell r="P991">
            <v>122.05</v>
          </cell>
        </row>
        <row r="992">
          <cell r="A992" t="str">
            <v>Pakistan - Chinese employees - L0</v>
          </cell>
          <cell r="B992" t="str">
            <v>Current version</v>
          </cell>
          <cell r="C992" t="str">
            <v>V2009R2</v>
          </cell>
          <cell r="D992" t="str">
            <v>Labor Rate</v>
          </cell>
          <cell r="E992" t="str">
            <v>MENA</v>
          </cell>
          <cell r="F992" t="str">
            <v>Middle East Sub-Regional Division</v>
          </cell>
          <cell r="G992" t="str">
            <v>Pakistan Rep.O.</v>
          </cell>
          <cell r="H992" t="str">
            <v>1205</v>
          </cell>
          <cell r="I992" t="str">
            <v>巴基斯坦</v>
          </cell>
          <cell r="J992" t="str">
            <v>Pakistan</v>
          </cell>
          <cell r="K992" t="str">
            <v>Chinese employees</v>
          </cell>
          <cell r="L992" t="str">
            <v>L0</v>
          </cell>
          <cell r="M992" t="str">
            <v>ALL</v>
          </cell>
          <cell r="N992" t="str">
            <v>FLPC(含奖金)</v>
          </cell>
          <cell r="O992" t="str">
            <v>USD/小时</v>
          </cell>
          <cell r="P992">
            <v>36.18</v>
          </cell>
        </row>
        <row r="993">
          <cell r="A993" t="str">
            <v>Pakistan - Chinese employees - L1</v>
          </cell>
          <cell r="B993" t="str">
            <v>Current version</v>
          </cell>
          <cell r="C993" t="str">
            <v>V2009R2</v>
          </cell>
          <cell r="D993" t="str">
            <v>Labor Rate</v>
          </cell>
          <cell r="E993" t="str">
            <v>MENA</v>
          </cell>
          <cell r="F993" t="str">
            <v>Middle East Sub-Regional Division</v>
          </cell>
          <cell r="G993" t="str">
            <v>Pakistan Rep.O.</v>
          </cell>
          <cell r="H993" t="str">
            <v>1205</v>
          </cell>
          <cell r="I993" t="str">
            <v>巴基斯坦</v>
          </cell>
          <cell r="J993" t="str">
            <v>Pakistan</v>
          </cell>
          <cell r="K993" t="str">
            <v>Chinese employees</v>
          </cell>
          <cell r="L993" t="str">
            <v>L1</v>
          </cell>
          <cell r="M993" t="str">
            <v>ALL</v>
          </cell>
          <cell r="N993" t="str">
            <v>FLPC(含奖金)</v>
          </cell>
          <cell r="O993" t="str">
            <v>USD/小时</v>
          </cell>
          <cell r="P993">
            <v>41.89</v>
          </cell>
        </row>
        <row r="994">
          <cell r="A994" t="str">
            <v>Pakistan - Chinese employees - L2</v>
          </cell>
          <cell r="B994" t="str">
            <v>Current version</v>
          </cell>
          <cell r="C994" t="str">
            <v>V2009R2</v>
          </cell>
          <cell r="D994" t="str">
            <v>Labor Rate</v>
          </cell>
          <cell r="E994" t="str">
            <v>MENA</v>
          </cell>
          <cell r="F994" t="str">
            <v>Middle East Sub-Regional Division</v>
          </cell>
          <cell r="G994" t="str">
            <v>Pakistan Rep.O.</v>
          </cell>
          <cell r="H994" t="str">
            <v>1205</v>
          </cell>
          <cell r="I994" t="str">
            <v>巴基斯坦</v>
          </cell>
          <cell r="J994" t="str">
            <v>Pakistan</v>
          </cell>
          <cell r="K994" t="str">
            <v>Chinese employees</v>
          </cell>
          <cell r="L994" t="str">
            <v>L2</v>
          </cell>
          <cell r="M994" t="str">
            <v>ALL</v>
          </cell>
          <cell r="N994" t="str">
            <v>FLPC(含奖金)</v>
          </cell>
          <cell r="O994" t="str">
            <v>USD/小时</v>
          </cell>
          <cell r="P994">
            <v>49.37</v>
          </cell>
        </row>
        <row r="995">
          <cell r="A995" t="str">
            <v>Pakistan - Chinese employees - L3</v>
          </cell>
          <cell r="B995" t="str">
            <v>Current version</v>
          </cell>
          <cell r="C995" t="str">
            <v>V2009R2</v>
          </cell>
          <cell r="D995" t="str">
            <v>Labor Rate</v>
          </cell>
          <cell r="E995" t="str">
            <v>MENA</v>
          </cell>
          <cell r="F995" t="str">
            <v>Middle East Sub-Regional Division</v>
          </cell>
          <cell r="G995" t="str">
            <v>Pakistan Rep.O.</v>
          </cell>
          <cell r="H995" t="str">
            <v>1205</v>
          </cell>
          <cell r="I995" t="str">
            <v>巴基斯坦</v>
          </cell>
          <cell r="J995" t="str">
            <v>Pakistan</v>
          </cell>
          <cell r="K995" t="str">
            <v>Chinese employees</v>
          </cell>
          <cell r="L995" t="str">
            <v>L3</v>
          </cell>
          <cell r="M995" t="str">
            <v>ALL</v>
          </cell>
          <cell r="N995" t="str">
            <v>FLPC(含奖金)</v>
          </cell>
          <cell r="O995" t="str">
            <v>USD/小时</v>
          </cell>
          <cell r="P995">
            <v>60</v>
          </cell>
        </row>
        <row r="996">
          <cell r="A996" t="str">
            <v>Pakistan - Chinese employees - L4</v>
          </cell>
          <cell r="B996" t="str">
            <v>Current version</v>
          </cell>
          <cell r="C996" t="str">
            <v>V2009R2</v>
          </cell>
          <cell r="D996" t="str">
            <v>Labor Rate</v>
          </cell>
          <cell r="E996" t="str">
            <v>MENA</v>
          </cell>
          <cell r="F996" t="str">
            <v>Middle East Sub-Regional Division</v>
          </cell>
          <cell r="G996" t="str">
            <v>Pakistan Rep.O.</v>
          </cell>
          <cell r="H996" t="str">
            <v>1205</v>
          </cell>
          <cell r="I996" t="str">
            <v>巴基斯坦</v>
          </cell>
          <cell r="J996" t="str">
            <v>Pakistan</v>
          </cell>
          <cell r="K996" t="str">
            <v>Chinese employees</v>
          </cell>
          <cell r="L996" t="str">
            <v>L4</v>
          </cell>
          <cell r="M996" t="str">
            <v>ALL</v>
          </cell>
          <cell r="N996" t="str">
            <v>FLPC(含奖金)</v>
          </cell>
          <cell r="O996" t="str">
            <v>USD/小时</v>
          </cell>
          <cell r="P996">
            <v>97.84</v>
          </cell>
        </row>
        <row r="997">
          <cell r="A997" t="str">
            <v>A1(Afghanistan) - Chinese employees - L0</v>
          </cell>
          <cell r="B997" t="str">
            <v>Current version</v>
          </cell>
          <cell r="C997" t="str">
            <v>V2009R2</v>
          </cell>
          <cell r="D997" t="str">
            <v>Labor Rate</v>
          </cell>
          <cell r="E997" t="str">
            <v>MENA</v>
          </cell>
          <cell r="F997" t="str">
            <v>Middle East Sub-Regional Division</v>
          </cell>
          <cell r="G997" t="str">
            <v>Pakistan Rep.O.</v>
          </cell>
          <cell r="H997" t="str">
            <v>1206</v>
          </cell>
          <cell r="I997" t="str">
            <v>A1阿富汗</v>
          </cell>
          <cell r="J997" t="str">
            <v>A1(Afghanistan)</v>
          </cell>
          <cell r="K997" t="str">
            <v>Chinese employees</v>
          </cell>
          <cell r="L997" t="str">
            <v>L0</v>
          </cell>
          <cell r="M997" t="str">
            <v>ALL</v>
          </cell>
          <cell r="N997" t="str">
            <v>FLPC(含奖金)</v>
          </cell>
          <cell r="O997" t="str">
            <v>USD/小时</v>
          </cell>
          <cell r="P997">
            <v>39</v>
          </cell>
        </row>
        <row r="998">
          <cell r="A998" t="str">
            <v>A1(Afghanistan) - Chinese employees - L1</v>
          </cell>
          <cell r="B998" t="str">
            <v>Current version</v>
          </cell>
          <cell r="C998" t="str">
            <v>V2009R2</v>
          </cell>
          <cell r="D998" t="str">
            <v>Labor Rate</v>
          </cell>
          <cell r="E998" t="str">
            <v>MENA</v>
          </cell>
          <cell r="F998" t="str">
            <v>Middle East Sub-Regional Division</v>
          </cell>
          <cell r="G998" t="str">
            <v>Pakistan Rep.O.</v>
          </cell>
          <cell r="H998" t="str">
            <v>1206</v>
          </cell>
          <cell r="I998" t="str">
            <v>A1阿富汗</v>
          </cell>
          <cell r="J998" t="str">
            <v>A1(Afghanistan)</v>
          </cell>
          <cell r="K998" t="str">
            <v>Chinese employees</v>
          </cell>
          <cell r="L998" t="str">
            <v>L1</v>
          </cell>
          <cell r="M998" t="str">
            <v>ALL</v>
          </cell>
          <cell r="N998" t="str">
            <v>FLPC(含奖金)</v>
          </cell>
          <cell r="O998" t="str">
            <v>USD/小时</v>
          </cell>
          <cell r="P998">
            <v>44.69</v>
          </cell>
        </row>
        <row r="999">
          <cell r="A999" t="str">
            <v>A1(Afghanistan) - Chinese employees - L2</v>
          </cell>
          <cell r="B999" t="str">
            <v>Current version</v>
          </cell>
          <cell r="C999" t="str">
            <v>V2009R2</v>
          </cell>
          <cell r="D999" t="str">
            <v>Labor Rate</v>
          </cell>
          <cell r="E999" t="str">
            <v>MENA</v>
          </cell>
          <cell r="F999" t="str">
            <v>Middle East Sub-Regional Division</v>
          </cell>
          <cell r="G999" t="str">
            <v>Pakistan Rep.O.</v>
          </cell>
          <cell r="H999" t="str">
            <v>1206</v>
          </cell>
          <cell r="I999" t="str">
            <v>A1阿富汗</v>
          </cell>
          <cell r="J999" t="str">
            <v>A1(Afghanistan)</v>
          </cell>
          <cell r="K999" t="str">
            <v>Chinese employees</v>
          </cell>
          <cell r="L999" t="str">
            <v>L2</v>
          </cell>
          <cell r="M999" t="str">
            <v>ALL</v>
          </cell>
          <cell r="N999" t="str">
            <v>FLPC(含奖金)</v>
          </cell>
          <cell r="O999" t="str">
            <v>USD/小时</v>
          </cell>
          <cell r="P999">
            <v>52.07</v>
          </cell>
        </row>
        <row r="1000">
          <cell r="A1000" t="str">
            <v>A1(Afghanistan) - Chinese employees - L3</v>
          </cell>
          <cell r="B1000" t="str">
            <v>Current version</v>
          </cell>
          <cell r="C1000" t="str">
            <v>V2009R2</v>
          </cell>
          <cell r="D1000" t="str">
            <v>Labor Rate</v>
          </cell>
          <cell r="E1000" t="str">
            <v>MENA</v>
          </cell>
          <cell r="F1000" t="str">
            <v>Middle East Sub-Regional Division</v>
          </cell>
          <cell r="G1000" t="str">
            <v>Pakistan Rep.O.</v>
          </cell>
          <cell r="H1000" t="str">
            <v>1206</v>
          </cell>
          <cell r="I1000" t="str">
            <v>A1阿富汗</v>
          </cell>
          <cell r="J1000" t="str">
            <v>A1(Afghanistan)</v>
          </cell>
          <cell r="K1000" t="str">
            <v>Chinese employees</v>
          </cell>
          <cell r="L1000" t="str">
            <v>L3</v>
          </cell>
          <cell r="M1000" t="str">
            <v>ALL</v>
          </cell>
          <cell r="N1000" t="str">
            <v>FLPC(含奖金)</v>
          </cell>
          <cell r="O1000" t="str">
            <v>USD/小时</v>
          </cell>
          <cell r="P1000">
            <v>62.62</v>
          </cell>
        </row>
        <row r="1001">
          <cell r="A1001" t="str">
            <v>A1(Afghanistan) - Chinese employees - L4</v>
          </cell>
          <cell r="B1001" t="str">
            <v>Current version</v>
          </cell>
          <cell r="C1001" t="str">
            <v>V2009R2</v>
          </cell>
          <cell r="D1001" t="str">
            <v>Labor Rate</v>
          </cell>
          <cell r="E1001" t="str">
            <v>MENA</v>
          </cell>
          <cell r="F1001" t="str">
            <v>Middle East Sub-Regional Division</v>
          </cell>
          <cell r="G1001" t="str">
            <v>Pakistan Rep.O.</v>
          </cell>
          <cell r="H1001" t="str">
            <v>1206</v>
          </cell>
          <cell r="I1001" t="str">
            <v>A1阿富汗</v>
          </cell>
          <cell r="J1001" t="str">
            <v>A1(Afghanistan)</v>
          </cell>
          <cell r="K1001" t="str">
            <v>Chinese employees</v>
          </cell>
          <cell r="L1001" t="str">
            <v>L4</v>
          </cell>
          <cell r="M1001" t="str">
            <v>ALL</v>
          </cell>
          <cell r="N1001" t="str">
            <v>FLPC(含奖金)</v>
          </cell>
          <cell r="O1001" t="str">
            <v>USD/小时</v>
          </cell>
          <cell r="P1001">
            <v>100.66</v>
          </cell>
        </row>
        <row r="1002">
          <cell r="A1002" t="str">
            <v>Pakistan Lahore Office - Chinese employees - L0</v>
          </cell>
          <cell r="B1002" t="str">
            <v>Current version</v>
          </cell>
          <cell r="C1002" t="str">
            <v>V2009R2</v>
          </cell>
          <cell r="D1002" t="str">
            <v>Labor Rate</v>
          </cell>
          <cell r="E1002" t="str">
            <v>MENA</v>
          </cell>
          <cell r="F1002" t="str">
            <v>Middle East Sub-Regional Division</v>
          </cell>
          <cell r="G1002" t="str">
            <v>Pakistan Rep.O.</v>
          </cell>
          <cell r="H1002" t="str">
            <v>5027</v>
          </cell>
          <cell r="I1002" t="str">
            <v>巴基斯坦拉合尔办事处</v>
          </cell>
          <cell r="J1002" t="str">
            <v>Pakistan Lahore Office</v>
          </cell>
          <cell r="K1002" t="str">
            <v>Chinese employees</v>
          </cell>
          <cell r="L1002" t="str">
            <v>L0</v>
          </cell>
          <cell r="M1002" t="str">
            <v>ALL</v>
          </cell>
          <cell r="N1002" t="str">
            <v>FLPC(含奖金)</v>
          </cell>
          <cell r="O1002" t="str">
            <v>USD/小时</v>
          </cell>
          <cell r="P1002">
            <v>36.18</v>
          </cell>
        </row>
        <row r="1003">
          <cell r="A1003" t="str">
            <v>Pakistan Lahore Office - Chinese employees - L1</v>
          </cell>
          <cell r="B1003" t="str">
            <v>Current version</v>
          </cell>
          <cell r="C1003" t="str">
            <v>V2009R2</v>
          </cell>
          <cell r="D1003" t="str">
            <v>Labor Rate</v>
          </cell>
          <cell r="E1003" t="str">
            <v>MENA</v>
          </cell>
          <cell r="F1003" t="str">
            <v>Middle East Sub-Regional Division</v>
          </cell>
          <cell r="G1003" t="str">
            <v>Pakistan Rep.O.</v>
          </cell>
          <cell r="H1003" t="str">
            <v>5027</v>
          </cell>
          <cell r="I1003" t="str">
            <v>巴基斯坦拉合尔办事处</v>
          </cell>
          <cell r="J1003" t="str">
            <v>Pakistan Lahore Office</v>
          </cell>
          <cell r="K1003" t="str">
            <v>Chinese employees</v>
          </cell>
          <cell r="L1003" t="str">
            <v>L1</v>
          </cell>
          <cell r="M1003" t="str">
            <v>ALL</v>
          </cell>
          <cell r="N1003" t="str">
            <v>FLPC(含奖金)</v>
          </cell>
          <cell r="O1003" t="str">
            <v>USD/小时</v>
          </cell>
          <cell r="P1003">
            <v>41.89</v>
          </cell>
        </row>
        <row r="1004">
          <cell r="A1004" t="str">
            <v>Pakistan Lahore Office - Chinese employees - L2</v>
          </cell>
          <cell r="B1004" t="str">
            <v>Current version</v>
          </cell>
          <cell r="C1004" t="str">
            <v>V2009R2</v>
          </cell>
          <cell r="D1004" t="str">
            <v>Labor Rate</v>
          </cell>
          <cell r="E1004" t="str">
            <v>MENA</v>
          </cell>
          <cell r="F1004" t="str">
            <v>Middle East Sub-Regional Division</v>
          </cell>
          <cell r="G1004" t="str">
            <v>Pakistan Rep.O.</v>
          </cell>
          <cell r="H1004" t="str">
            <v>5027</v>
          </cell>
          <cell r="I1004" t="str">
            <v>巴基斯坦拉合尔办事处</v>
          </cell>
          <cell r="J1004" t="str">
            <v>Pakistan Lahore Office</v>
          </cell>
          <cell r="K1004" t="str">
            <v>Chinese employees</v>
          </cell>
          <cell r="L1004" t="str">
            <v>L2</v>
          </cell>
          <cell r="M1004" t="str">
            <v>ALL</v>
          </cell>
          <cell r="N1004" t="str">
            <v>FLPC(含奖金)</v>
          </cell>
          <cell r="O1004" t="str">
            <v>USD/小时</v>
          </cell>
          <cell r="P1004">
            <v>49.37</v>
          </cell>
        </row>
        <row r="1005">
          <cell r="A1005" t="str">
            <v>Pakistan Lahore Office - Chinese employees - L3</v>
          </cell>
          <cell r="B1005" t="str">
            <v>Current version</v>
          </cell>
          <cell r="C1005" t="str">
            <v>V2009R2</v>
          </cell>
          <cell r="D1005" t="str">
            <v>Labor Rate</v>
          </cell>
          <cell r="E1005" t="str">
            <v>MENA</v>
          </cell>
          <cell r="F1005" t="str">
            <v>Middle East Sub-Regional Division</v>
          </cell>
          <cell r="G1005" t="str">
            <v>Pakistan Rep.O.</v>
          </cell>
          <cell r="H1005" t="str">
            <v>5027</v>
          </cell>
          <cell r="I1005" t="str">
            <v>巴基斯坦拉合尔办事处</v>
          </cell>
          <cell r="J1005" t="str">
            <v>Pakistan Lahore Office</v>
          </cell>
          <cell r="K1005" t="str">
            <v>Chinese employees</v>
          </cell>
          <cell r="L1005" t="str">
            <v>L3</v>
          </cell>
          <cell r="M1005" t="str">
            <v>ALL</v>
          </cell>
          <cell r="N1005" t="str">
            <v>FLPC(含奖金)</v>
          </cell>
          <cell r="O1005" t="str">
            <v>USD/小时</v>
          </cell>
          <cell r="P1005">
            <v>59.81</v>
          </cell>
        </row>
        <row r="1006">
          <cell r="A1006" t="str">
            <v>Pakistan Lahore Office - Chinese employees - L4</v>
          </cell>
          <cell r="B1006" t="str">
            <v>Current version</v>
          </cell>
          <cell r="C1006" t="str">
            <v>V2009R2</v>
          </cell>
          <cell r="D1006" t="str">
            <v>Labor Rate</v>
          </cell>
          <cell r="E1006" t="str">
            <v>MENA</v>
          </cell>
          <cell r="F1006" t="str">
            <v>Middle East Sub-Regional Division</v>
          </cell>
          <cell r="G1006" t="str">
            <v>Pakistan Rep.O.</v>
          </cell>
          <cell r="H1006" t="str">
            <v>5027</v>
          </cell>
          <cell r="I1006" t="str">
            <v>巴基斯坦拉合尔办事处</v>
          </cell>
          <cell r="J1006" t="str">
            <v>Pakistan Lahore Office</v>
          </cell>
          <cell r="K1006" t="str">
            <v>Chinese employees</v>
          </cell>
          <cell r="L1006" t="str">
            <v>L4</v>
          </cell>
          <cell r="M1006" t="str">
            <v>ALL</v>
          </cell>
          <cell r="N1006" t="str">
            <v>FLPC(含奖金)</v>
          </cell>
          <cell r="O1006" t="str">
            <v>USD/小时</v>
          </cell>
          <cell r="P1006">
            <v>97.84</v>
          </cell>
        </row>
        <row r="1007">
          <cell r="A1007" t="str">
            <v>Oman - Chinese employees - L0</v>
          </cell>
          <cell r="B1007" t="str">
            <v>Current version</v>
          </cell>
          <cell r="C1007" t="str">
            <v>V2009R2</v>
          </cell>
          <cell r="D1007" t="str">
            <v>Labor Rate</v>
          </cell>
          <cell r="E1007" t="str">
            <v>MENA</v>
          </cell>
          <cell r="F1007" t="str">
            <v>Middle East Sub-Regional Division</v>
          </cell>
          <cell r="G1007" t="str">
            <v>Oman</v>
          </cell>
          <cell r="H1007" t="str">
            <v>5009</v>
          </cell>
          <cell r="I1007" t="str">
            <v>阿曼</v>
          </cell>
          <cell r="J1007" t="str">
            <v>Oman</v>
          </cell>
          <cell r="K1007" t="str">
            <v>Chinese employees</v>
          </cell>
          <cell r="L1007" t="str">
            <v>L0</v>
          </cell>
          <cell r="M1007" t="str">
            <v>ALL</v>
          </cell>
          <cell r="N1007" t="str">
            <v>FLPC(含奖金)</v>
          </cell>
          <cell r="O1007" t="str">
            <v>USD/小时</v>
          </cell>
          <cell r="P1007">
            <v>38.44</v>
          </cell>
        </row>
        <row r="1008">
          <cell r="A1008" t="str">
            <v>Oman - Chinese employees - L1</v>
          </cell>
          <cell r="B1008" t="str">
            <v>Current version</v>
          </cell>
          <cell r="C1008" t="str">
            <v>V2009R2</v>
          </cell>
          <cell r="D1008" t="str">
            <v>Labor Rate</v>
          </cell>
          <cell r="E1008" t="str">
            <v>MENA</v>
          </cell>
          <cell r="F1008" t="str">
            <v>Middle East Sub-Regional Division</v>
          </cell>
          <cell r="G1008" t="str">
            <v>Oman</v>
          </cell>
          <cell r="H1008" t="str">
            <v>5009</v>
          </cell>
          <cell r="I1008" t="str">
            <v>阿曼</v>
          </cell>
          <cell r="J1008" t="str">
            <v>Oman</v>
          </cell>
          <cell r="K1008" t="str">
            <v>Chinese employees</v>
          </cell>
          <cell r="L1008" t="str">
            <v>L1</v>
          </cell>
          <cell r="M1008" t="str">
            <v>ALL</v>
          </cell>
          <cell r="N1008" t="str">
            <v>FLPC(含奖金)</v>
          </cell>
          <cell r="O1008" t="str">
            <v>USD/小时</v>
          </cell>
          <cell r="P1008">
            <v>44.19</v>
          </cell>
        </row>
        <row r="1009">
          <cell r="A1009" t="str">
            <v>Oman - Chinese employees - L2</v>
          </cell>
          <cell r="B1009" t="str">
            <v>Current version</v>
          </cell>
          <cell r="C1009" t="str">
            <v>V2009R2</v>
          </cell>
          <cell r="D1009" t="str">
            <v>Labor Rate</v>
          </cell>
          <cell r="E1009" t="str">
            <v>MENA</v>
          </cell>
          <cell r="F1009" t="str">
            <v>Middle East Sub-Regional Division</v>
          </cell>
          <cell r="G1009" t="str">
            <v>Oman</v>
          </cell>
          <cell r="H1009" t="str">
            <v>5009</v>
          </cell>
          <cell r="I1009" t="str">
            <v>阿曼</v>
          </cell>
          <cell r="J1009" t="str">
            <v>Oman</v>
          </cell>
          <cell r="K1009" t="str">
            <v>Chinese employees</v>
          </cell>
          <cell r="L1009" t="str">
            <v>L2</v>
          </cell>
          <cell r="M1009" t="str">
            <v>ALL</v>
          </cell>
          <cell r="N1009" t="str">
            <v>FLPC(含奖金)</v>
          </cell>
          <cell r="O1009" t="str">
            <v>USD/小时</v>
          </cell>
          <cell r="P1009">
            <v>51.64</v>
          </cell>
        </row>
        <row r="1010">
          <cell r="A1010" t="str">
            <v>Oman - Chinese employees - L3</v>
          </cell>
          <cell r="B1010" t="str">
            <v>Current version</v>
          </cell>
          <cell r="C1010" t="str">
            <v>V2009R2</v>
          </cell>
          <cell r="D1010" t="str">
            <v>Labor Rate</v>
          </cell>
          <cell r="E1010" t="str">
            <v>MENA</v>
          </cell>
          <cell r="F1010" t="str">
            <v>Middle East Sub-Regional Division</v>
          </cell>
          <cell r="G1010" t="str">
            <v>Oman</v>
          </cell>
          <cell r="H1010" t="str">
            <v>5009</v>
          </cell>
          <cell r="I1010" t="str">
            <v>阿曼</v>
          </cell>
          <cell r="J1010" t="str">
            <v>Oman</v>
          </cell>
          <cell r="K1010" t="str">
            <v>Chinese employees</v>
          </cell>
          <cell r="L1010" t="str">
            <v>L3</v>
          </cell>
          <cell r="M1010" t="str">
            <v>ALL</v>
          </cell>
          <cell r="N1010" t="str">
            <v>FLPC(含奖金)</v>
          </cell>
          <cell r="O1010" t="str">
            <v>USD/小时</v>
          </cell>
          <cell r="P1010">
            <v>62.31</v>
          </cell>
        </row>
        <row r="1011">
          <cell r="A1011" t="str">
            <v>Oman - Chinese employees - L4</v>
          </cell>
          <cell r="B1011" t="str">
            <v>Current version</v>
          </cell>
          <cell r="C1011" t="str">
            <v>V2009R2</v>
          </cell>
          <cell r="D1011" t="str">
            <v>Labor Rate</v>
          </cell>
          <cell r="E1011" t="str">
            <v>MENA</v>
          </cell>
          <cell r="F1011" t="str">
            <v>Middle East Sub-Regional Division</v>
          </cell>
          <cell r="G1011" t="str">
            <v>Oman</v>
          </cell>
          <cell r="H1011" t="str">
            <v>5009</v>
          </cell>
          <cell r="I1011" t="str">
            <v>阿曼</v>
          </cell>
          <cell r="J1011" t="str">
            <v>Oman</v>
          </cell>
          <cell r="K1011" t="str">
            <v>Chinese employees</v>
          </cell>
          <cell r="L1011" t="str">
            <v>L4</v>
          </cell>
          <cell r="M1011" t="str">
            <v>ALL</v>
          </cell>
          <cell r="N1011" t="str">
            <v>FLPC(含奖金)</v>
          </cell>
          <cell r="O1011" t="str">
            <v>USD/小时</v>
          </cell>
          <cell r="P1011">
            <v>100.75</v>
          </cell>
        </row>
        <row r="1012">
          <cell r="A1012" t="str">
            <v>Kuwait - Chinese employees - L0</v>
          </cell>
          <cell r="B1012" t="str">
            <v>Current version</v>
          </cell>
          <cell r="C1012" t="str">
            <v>V2009R2</v>
          </cell>
          <cell r="D1012" t="str">
            <v>Labor Rate</v>
          </cell>
          <cell r="E1012" t="str">
            <v>MENA</v>
          </cell>
          <cell r="F1012" t="str">
            <v>Middle East Sub-Regional Division</v>
          </cell>
          <cell r="G1012" t="str">
            <v>Kuwait</v>
          </cell>
          <cell r="H1012" t="str">
            <v>5012</v>
          </cell>
          <cell r="I1012" t="str">
            <v>科威特</v>
          </cell>
          <cell r="J1012" t="str">
            <v>Kuwait</v>
          </cell>
          <cell r="K1012" t="str">
            <v>Chinese employees</v>
          </cell>
          <cell r="L1012" t="str">
            <v>L0</v>
          </cell>
          <cell r="M1012" t="str">
            <v>ALL</v>
          </cell>
          <cell r="N1012" t="str">
            <v>FLPC(含奖金)</v>
          </cell>
          <cell r="O1012" t="str">
            <v>USD/小时</v>
          </cell>
          <cell r="P1012">
            <v>43.94</v>
          </cell>
        </row>
        <row r="1013">
          <cell r="A1013" t="str">
            <v>Kuwait - Chinese employees - L1</v>
          </cell>
          <cell r="B1013" t="str">
            <v>Current version</v>
          </cell>
          <cell r="C1013" t="str">
            <v>V2009R2</v>
          </cell>
          <cell r="D1013" t="str">
            <v>Labor Rate</v>
          </cell>
          <cell r="E1013" t="str">
            <v>MENA</v>
          </cell>
          <cell r="F1013" t="str">
            <v>Middle East Sub-Regional Division</v>
          </cell>
          <cell r="G1013" t="str">
            <v>Kuwait</v>
          </cell>
          <cell r="H1013" t="str">
            <v>5012</v>
          </cell>
          <cell r="I1013" t="str">
            <v>科威特</v>
          </cell>
          <cell r="J1013" t="str">
            <v>Kuwait</v>
          </cell>
          <cell r="K1013" t="str">
            <v>Chinese employees</v>
          </cell>
          <cell r="L1013" t="str">
            <v>L1</v>
          </cell>
          <cell r="M1013" t="str">
            <v>ALL</v>
          </cell>
          <cell r="N1013" t="str">
            <v>FLPC(含奖金)</v>
          </cell>
          <cell r="O1013" t="str">
            <v>USD/小时</v>
          </cell>
          <cell r="P1013">
            <v>50.55</v>
          </cell>
        </row>
        <row r="1014">
          <cell r="A1014" t="str">
            <v>Kuwait - Chinese employees - L2</v>
          </cell>
          <cell r="B1014" t="str">
            <v>Current version</v>
          </cell>
          <cell r="C1014" t="str">
            <v>V2009R2</v>
          </cell>
          <cell r="D1014" t="str">
            <v>Labor Rate</v>
          </cell>
          <cell r="E1014" t="str">
            <v>MENA</v>
          </cell>
          <cell r="F1014" t="str">
            <v>Middle East Sub-Regional Division</v>
          </cell>
          <cell r="G1014" t="str">
            <v>Kuwait</v>
          </cell>
          <cell r="H1014" t="str">
            <v>5012</v>
          </cell>
          <cell r="I1014" t="str">
            <v>科威特</v>
          </cell>
          <cell r="J1014" t="str">
            <v>Kuwait</v>
          </cell>
          <cell r="K1014" t="str">
            <v>Chinese employees</v>
          </cell>
          <cell r="L1014" t="str">
            <v>L2</v>
          </cell>
          <cell r="M1014" t="str">
            <v>ALL</v>
          </cell>
          <cell r="N1014" t="str">
            <v>FLPC(含奖金)</v>
          </cell>
          <cell r="O1014" t="str">
            <v>USD/小时</v>
          </cell>
          <cell r="P1014">
            <v>59.12</v>
          </cell>
        </row>
        <row r="1015">
          <cell r="A1015" t="str">
            <v>Kuwait - Chinese employees - L3</v>
          </cell>
          <cell r="B1015" t="str">
            <v>Current version</v>
          </cell>
          <cell r="C1015" t="str">
            <v>V2009R2</v>
          </cell>
          <cell r="D1015" t="str">
            <v>Labor Rate</v>
          </cell>
          <cell r="E1015" t="str">
            <v>MENA</v>
          </cell>
          <cell r="F1015" t="str">
            <v>Middle East Sub-Regional Division</v>
          </cell>
          <cell r="G1015" t="str">
            <v>Kuwait</v>
          </cell>
          <cell r="H1015" t="str">
            <v>5012</v>
          </cell>
          <cell r="I1015" t="str">
            <v>科威特</v>
          </cell>
          <cell r="J1015" t="str">
            <v>Kuwait</v>
          </cell>
          <cell r="K1015" t="str">
            <v>Chinese employees</v>
          </cell>
          <cell r="L1015" t="str">
            <v>L3</v>
          </cell>
          <cell r="M1015" t="str">
            <v>ALL</v>
          </cell>
          <cell r="N1015" t="str">
            <v>FLPC(含奖金)</v>
          </cell>
          <cell r="O1015" t="str">
            <v>USD/小时</v>
          </cell>
          <cell r="P1015">
            <v>71.39</v>
          </cell>
        </row>
        <row r="1016">
          <cell r="A1016" t="str">
            <v>Kuwait - Chinese employees - L4</v>
          </cell>
          <cell r="B1016" t="str">
            <v>Current version</v>
          </cell>
          <cell r="C1016" t="str">
            <v>V2009R2</v>
          </cell>
          <cell r="D1016" t="str">
            <v>Labor Rate</v>
          </cell>
          <cell r="E1016" t="str">
            <v>MENA</v>
          </cell>
          <cell r="F1016" t="str">
            <v>Middle East Sub-Regional Division</v>
          </cell>
          <cell r="G1016" t="str">
            <v>Kuwait</v>
          </cell>
          <cell r="H1016" t="str">
            <v>5012</v>
          </cell>
          <cell r="I1016" t="str">
            <v>科威特</v>
          </cell>
          <cell r="J1016" t="str">
            <v>Kuwait</v>
          </cell>
          <cell r="K1016" t="str">
            <v>Chinese employees</v>
          </cell>
          <cell r="L1016" t="str">
            <v>L4</v>
          </cell>
          <cell r="M1016" t="str">
            <v>ALL</v>
          </cell>
          <cell r="N1016" t="str">
            <v>FLPC(含奖金)</v>
          </cell>
          <cell r="O1016" t="str">
            <v>USD/小时</v>
          </cell>
          <cell r="P1016">
            <v>115.58</v>
          </cell>
        </row>
        <row r="1017">
          <cell r="A1017" t="str">
            <v>Jordan - Chinese employees - L0</v>
          </cell>
          <cell r="B1017" t="str">
            <v>Current version</v>
          </cell>
          <cell r="C1017" t="str">
            <v>V2009R2</v>
          </cell>
          <cell r="D1017" t="str">
            <v>Labor Rate</v>
          </cell>
          <cell r="E1017" t="str">
            <v>MENA</v>
          </cell>
          <cell r="F1017" t="str">
            <v>Middle East Sub-Regional Division</v>
          </cell>
          <cell r="G1017" t="str">
            <v>Jordan Rep.O.</v>
          </cell>
          <cell r="H1017" t="str">
            <v>4994</v>
          </cell>
          <cell r="I1017" t="str">
            <v>约旦</v>
          </cell>
          <cell r="J1017" t="str">
            <v>Jordan</v>
          </cell>
          <cell r="K1017" t="str">
            <v>Chinese employees</v>
          </cell>
          <cell r="L1017" t="str">
            <v>L0</v>
          </cell>
          <cell r="M1017" t="str">
            <v>ALL</v>
          </cell>
          <cell r="N1017" t="str">
            <v>FLPC(含奖金)</v>
          </cell>
          <cell r="O1017" t="str">
            <v>USD/小时</v>
          </cell>
          <cell r="P1017">
            <v>40.71</v>
          </cell>
        </row>
        <row r="1018">
          <cell r="A1018" t="str">
            <v>Jordan - Chinese employees - L1</v>
          </cell>
          <cell r="B1018" t="str">
            <v>Current version</v>
          </cell>
          <cell r="C1018" t="str">
            <v>V2009R2</v>
          </cell>
          <cell r="D1018" t="str">
            <v>Labor Rate</v>
          </cell>
          <cell r="E1018" t="str">
            <v>MENA</v>
          </cell>
          <cell r="F1018" t="str">
            <v>Middle East Sub-Regional Division</v>
          </cell>
          <cell r="G1018" t="str">
            <v>Jordan Rep.O.</v>
          </cell>
          <cell r="H1018" t="str">
            <v>4994</v>
          </cell>
          <cell r="I1018" t="str">
            <v>约旦</v>
          </cell>
          <cell r="J1018" t="str">
            <v>Jordan</v>
          </cell>
          <cell r="K1018" t="str">
            <v>Chinese employees</v>
          </cell>
          <cell r="L1018" t="str">
            <v>L1</v>
          </cell>
          <cell r="M1018" t="str">
            <v>ALL</v>
          </cell>
          <cell r="N1018" t="str">
            <v>FLPC(含奖金)</v>
          </cell>
          <cell r="O1018" t="str">
            <v>USD/小时</v>
          </cell>
          <cell r="P1018">
            <v>46.81</v>
          </cell>
        </row>
        <row r="1019">
          <cell r="A1019" t="str">
            <v>Jordan - Chinese employees - L2</v>
          </cell>
          <cell r="B1019" t="str">
            <v>Current version</v>
          </cell>
          <cell r="C1019" t="str">
            <v>V2009R2</v>
          </cell>
          <cell r="D1019" t="str">
            <v>Labor Rate</v>
          </cell>
          <cell r="E1019" t="str">
            <v>MENA</v>
          </cell>
          <cell r="F1019" t="str">
            <v>Middle East Sub-Regional Division</v>
          </cell>
          <cell r="G1019" t="str">
            <v>Jordan Rep.O.</v>
          </cell>
          <cell r="H1019" t="str">
            <v>4994</v>
          </cell>
          <cell r="I1019" t="str">
            <v>约旦</v>
          </cell>
          <cell r="J1019" t="str">
            <v>Jordan</v>
          </cell>
          <cell r="K1019" t="str">
            <v>Chinese employees</v>
          </cell>
          <cell r="L1019" t="str">
            <v>L2</v>
          </cell>
          <cell r="M1019" t="str">
            <v>ALL</v>
          </cell>
          <cell r="N1019" t="str">
            <v>FLPC(含奖金)</v>
          </cell>
          <cell r="O1019" t="str">
            <v>USD/小时</v>
          </cell>
          <cell r="P1019">
            <v>54.72</v>
          </cell>
        </row>
        <row r="1020">
          <cell r="A1020" t="str">
            <v>Jordan - Chinese employees - L3</v>
          </cell>
          <cell r="B1020" t="str">
            <v>Current version</v>
          </cell>
          <cell r="C1020" t="str">
            <v>V2009R2</v>
          </cell>
          <cell r="D1020" t="str">
            <v>Labor Rate</v>
          </cell>
          <cell r="E1020" t="str">
            <v>MENA</v>
          </cell>
          <cell r="F1020" t="str">
            <v>Middle East Sub-Regional Division</v>
          </cell>
          <cell r="G1020" t="str">
            <v>Jordan Rep.O.</v>
          </cell>
          <cell r="H1020" t="str">
            <v>4994</v>
          </cell>
          <cell r="I1020" t="str">
            <v>约旦</v>
          </cell>
          <cell r="J1020" t="str">
            <v>Jordan</v>
          </cell>
          <cell r="K1020" t="str">
            <v>Chinese employees</v>
          </cell>
          <cell r="L1020" t="str">
            <v>L3</v>
          </cell>
          <cell r="M1020" t="str">
            <v>ALL</v>
          </cell>
          <cell r="N1020" t="str">
            <v>FLPC(含奖金)</v>
          </cell>
          <cell r="O1020" t="str">
            <v>USD/小时</v>
          </cell>
          <cell r="P1020">
            <v>66.040000000000006</v>
          </cell>
        </row>
        <row r="1021">
          <cell r="A1021" t="str">
            <v>Zambia - Chinese employees - L2</v>
          </cell>
          <cell r="B1021" t="str">
            <v>Current version</v>
          </cell>
          <cell r="C1021" t="str">
            <v>V2009R2</v>
          </cell>
          <cell r="D1021" t="str">
            <v>Labor Rate</v>
          </cell>
          <cell r="E1021" t="str">
            <v>SA</v>
          </cell>
          <cell r="F1021" t="str">
            <v>Southern Africa Sub-Regional Division</v>
          </cell>
          <cell r="G1021" t="str">
            <v>Zambia/Zimba Rep.O.</v>
          </cell>
          <cell r="H1021" t="str">
            <v>4010</v>
          </cell>
          <cell r="I1021" t="str">
            <v>赞比亚</v>
          </cell>
          <cell r="J1021" t="str">
            <v>Zambia</v>
          </cell>
          <cell r="K1021" t="str">
            <v>Chinese employees</v>
          </cell>
          <cell r="L1021" t="str">
            <v>L2</v>
          </cell>
          <cell r="M1021" t="str">
            <v>ALL</v>
          </cell>
          <cell r="N1021" t="str">
            <v>FLPC(含奖金)</v>
          </cell>
          <cell r="O1021" t="str">
            <v>USD/小时</v>
          </cell>
          <cell r="P1021">
            <v>66.930000000000007</v>
          </cell>
        </row>
        <row r="1022">
          <cell r="A1022" t="str">
            <v>Zambia - Chinese employees - L3</v>
          </cell>
          <cell r="B1022" t="str">
            <v>Current version</v>
          </cell>
          <cell r="C1022" t="str">
            <v>V2009R2</v>
          </cell>
          <cell r="D1022" t="str">
            <v>Labor Rate</v>
          </cell>
          <cell r="E1022" t="str">
            <v>SA</v>
          </cell>
          <cell r="F1022" t="str">
            <v>Southern Africa Sub-Regional Division</v>
          </cell>
          <cell r="G1022" t="str">
            <v>Zambia/Zimba Rep.O.</v>
          </cell>
          <cell r="H1022" t="str">
            <v>4010</v>
          </cell>
          <cell r="I1022" t="str">
            <v>赞比亚</v>
          </cell>
          <cell r="J1022" t="str">
            <v>Zambia</v>
          </cell>
          <cell r="K1022" t="str">
            <v>Chinese employees</v>
          </cell>
          <cell r="L1022" t="str">
            <v>L3</v>
          </cell>
          <cell r="M1022" t="str">
            <v>ALL</v>
          </cell>
          <cell r="N1022" t="str">
            <v>FLPC(含奖金)</v>
          </cell>
          <cell r="O1022" t="str">
            <v>USD/小时</v>
          </cell>
          <cell r="P1022">
            <v>78.22</v>
          </cell>
        </row>
        <row r="1023">
          <cell r="A1023" t="str">
            <v>Zambia - Chinese employees - L4</v>
          </cell>
          <cell r="B1023" t="str">
            <v>Current version</v>
          </cell>
          <cell r="C1023" t="str">
            <v>V2009R2</v>
          </cell>
          <cell r="D1023" t="str">
            <v>Labor Rate</v>
          </cell>
          <cell r="E1023" t="str">
            <v>SA</v>
          </cell>
          <cell r="F1023" t="str">
            <v>Southern Africa Sub-Regional Division</v>
          </cell>
          <cell r="G1023" t="str">
            <v>Zambia/Zimba Rep.O.</v>
          </cell>
          <cell r="H1023" t="str">
            <v>4010</v>
          </cell>
          <cell r="I1023" t="str">
            <v>赞比亚</v>
          </cell>
          <cell r="J1023" t="str">
            <v>Zambia</v>
          </cell>
          <cell r="K1023" t="str">
            <v>Chinese employees</v>
          </cell>
          <cell r="L1023" t="str">
            <v>L4</v>
          </cell>
          <cell r="M1023" t="str">
            <v>ALL</v>
          </cell>
          <cell r="N1023" t="str">
            <v>FLPC(含奖金)</v>
          </cell>
          <cell r="O1023" t="str">
            <v>USD/小时</v>
          </cell>
          <cell r="P1023">
            <v>118.2</v>
          </cell>
        </row>
        <row r="1024">
          <cell r="A1024" t="str">
            <v>Malawi - Chinese employees - L0</v>
          </cell>
          <cell r="B1024" t="str">
            <v>Current version</v>
          </cell>
          <cell r="C1024" t="str">
            <v>V2009R2</v>
          </cell>
          <cell r="D1024" t="str">
            <v>Labor Rate</v>
          </cell>
          <cell r="E1024" t="str">
            <v>SA</v>
          </cell>
          <cell r="F1024" t="str">
            <v>Southern Africa Sub-Regional Division</v>
          </cell>
          <cell r="G1024" t="str">
            <v>Zambia/Zimba Rep.O.</v>
          </cell>
          <cell r="H1024" t="str">
            <v>4020</v>
          </cell>
          <cell r="I1024" t="str">
            <v>马拉维</v>
          </cell>
          <cell r="J1024" t="str">
            <v>Malawi</v>
          </cell>
          <cell r="K1024" t="str">
            <v>Chinese employees</v>
          </cell>
          <cell r="L1024" t="str">
            <v>L0</v>
          </cell>
          <cell r="M1024" t="str">
            <v>ALL</v>
          </cell>
          <cell r="N1024" t="str">
            <v>FLPC(含奖金)</v>
          </cell>
          <cell r="O1024" t="str">
            <v>USD/小时</v>
          </cell>
          <cell r="P1024">
            <v>53.59</v>
          </cell>
        </row>
        <row r="1025">
          <cell r="A1025" t="str">
            <v>Malawi - Chinese employees - L1</v>
          </cell>
          <cell r="B1025" t="str">
            <v>Current version</v>
          </cell>
          <cell r="C1025" t="str">
            <v>V2009R2</v>
          </cell>
          <cell r="D1025" t="str">
            <v>Labor Rate</v>
          </cell>
          <cell r="E1025" t="str">
            <v>SA</v>
          </cell>
          <cell r="F1025" t="str">
            <v>Southern Africa Sub-Regional Division</v>
          </cell>
          <cell r="G1025" t="str">
            <v>Zambia/Zimba Rep.O.</v>
          </cell>
          <cell r="H1025" t="str">
            <v>4020</v>
          </cell>
          <cell r="I1025" t="str">
            <v>马拉维</v>
          </cell>
          <cell r="J1025" t="str">
            <v>Malawi</v>
          </cell>
          <cell r="K1025" t="str">
            <v>Chinese employees</v>
          </cell>
          <cell r="L1025" t="str">
            <v>L1</v>
          </cell>
          <cell r="M1025" t="str">
            <v>ALL</v>
          </cell>
          <cell r="N1025" t="str">
            <v>FLPC(含奖金)</v>
          </cell>
          <cell r="O1025" t="str">
            <v>USD/小时</v>
          </cell>
          <cell r="P1025">
            <v>60.6</v>
          </cell>
        </row>
        <row r="1026">
          <cell r="A1026" t="str">
            <v>Malawi - Chinese employees - L2</v>
          </cell>
          <cell r="B1026" t="str">
            <v>Current version</v>
          </cell>
          <cell r="C1026" t="str">
            <v>V2009R2</v>
          </cell>
          <cell r="D1026" t="str">
            <v>Labor Rate</v>
          </cell>
          <cell r="E1026" t="str">
            <v>SA</v>
          </cell>
          <cell r="F1026" t="str">
            <v>Southern Africa Sub-Regional Division</v>
          </cell>
          <cell r="G1026" t="str">
            <v>Zambia/Zimba Rep.O.</v>
          </cell>
          <cell r="H1026" t="str">
            <v>4020</v>
          </cell>
          <cell r="I1026" t="str">
            <v>马拉维</v>
          </cell>
          <cell r="J1026" t="str">
            <v>Malawi</v>
          </cell>
          <cell r="K1026" t="str">
            <v>Chinese employees</v>
          </cell>
          <cell r="L1026" t="str">
            <v>L2</v>
          </cell>
          <cell r="M1026" t="str">
            <v>ALL</v>
          </cell>
          <cell r="N1026" t="str">
            <v>FLPC(含奖金)</v>
          </cell>
          <cell r="O1026" t="str">
            <v>USD/小时</v>
          </cell>
          <cell r="P1026">
            <v>68.36</v>
          </cell>
        </row>
        <row r="1027">
          <cell r="A1027" t="str">
            <v>Malawi - Chinese employees - L3</v>
          </cell>
          <cell r="B1027" t="str">
            <v>Current version</v>
          </cell>
          <cell r="C1027" t="str">
            <v>V2009R2</v>
          </cell>
          <cell r="D1027" t="str">
            <v>Labor Rate</v>
          </cell>
          <cell r="E1027" t="str">
            <v>SA</v>
          </cell>
          <cell r="F1027" t="str">
            <v>Southern Africa Sub-Regional Division</v>
          </cell>
          <cell r="G1027" t="str">
            <v>Zambia/Zimba Rep.O.</v>
          </cell>
          <cell r="H1027" t="str">
            <v>4020</v>
          </cell>
          <cell r="I1027" t="str">
            <v>马拉维</v>
          </cell>
          <cell r="J1027" t="str">
            <v>Malawi</v>
          </cell>
          <cell r="K1027" t="str">
            <v>Chinese employees</v>
          </cell>
          <cell r="L1027" t="str">
            <v>L3</v>
          </cell>
          <cell r="M1027" t="str">
            <v>ALL</v>
          </cell>
          <cell r="N1027" t="str">
            <v>FLPC(含奖金)</v>
          </cell>
          <cell r="O1027" t="str">
            <v>USD/小时</v>
          </cell>
          <cell r="P1027">
            <v>79.650000000000006</v>
          </cell>
        </row>
        <row r="1028">
          <cell r="A1028" t="str">
            <v>Malawi - Chinese employees - L4</v>
          </cell>
          <cell r="B1028" t="str">
            <v>Current version</v>
          </cell>
          <cell r="C1028" t="str">
            <v>V2009R2</v>
          </cell>
          <cell r="D1028" t="str">
            <v>Labor Rate</v>
          </cell>
          <cell r="E1028" t="str">
            <v>SA</v>
          </cell>
          <cell r="F1028" t="str">
            <v>Southern Africa Sub-Regional Division</v>
          </cell>
          <cell r="G1028" t="str">
            <v>Zambia/Zimba Rep.O.</v>
          </cell>
          <cell r="H1028" t="str">
            <v>4020</v>
          </cell>
          <cell r="I1028" t="str">
            <v>马拉维</v>
          </cell>
          <cell r="J1028" t="str">
            <v>Malawi</v>
          </cell>
          <cell r="K1028" t="str">
            <v>Chinese employees</v>
          </cell>
          <cell r="L1028" t="str">
            <v>L4</v>
          </cell>
          <cell r="M1028" t="str">
            <v>ALL</v>
          </cell>
          <cell r="N1028" t="str">
            <v>FLPC(含奖金)</v>
          </cell>
          <cell r="O1028" t="str">
            <v>USD/小时</v>
          </cell>
          <cell r="P1028">
            <v>118.41</v>
          </cell>
        </row>
        <row r="1029">
          <cell r="A1029" t="str">
            <v>South Africa - Chinese employees - L0</v>
          </cell>
          <cell r="B1029" t="str">
            <v>Current version</v>
          </cell>
          <cell r="C1029" t="str">
            <v>V2009R2</v>
          </cell>
          <cell r="D1029" t="str">
            <v>Labor Rate</v>
          </cell>
          <cell r="E1029" t="str">
            <v>SA</v>
          </cell>
          <cell r="F1029" t="str">
            <v>Southern Africa Sub-Regional Division</v>
          </cell>
          <cell r="G1029" t="str">
            <v>South Africa Rep.O.</v>
          </cell>
          <cell r="H1029" t="str">
            <v>4001</v>
          </cell>
          <cell r="I1029" t="str">
            <v>南非</v>
          </cell>
          <cell r="J1029" t="str">
            <v>South Africa</v>
          </cell>
          <cell r="K1029" t="str">
            <v>Chinese employees</v>
          </cell>
          <cell r="L1029" t="str">
            <v>L0</v>
          </cell>
          <cell r="M1029" t="str">
            <v>ALL</v>
          </cell>
          <cell r="N1029" t="str">
            <v>FLPC(含奖金)</v>
          </cell>
          <cell r="O1029" t="str">
            <v>USD/小时</v>
          </cell>
          <cell r="P1029">
            <v>38.17</v>
          </cell>
        </row>
        <row r="1030">
          <cell r="A1030" t="str">
            <v>South Africa - Chinese employees - L1</v>
          </cell>
          <cell r="B1030" t="str">
            <v>Current version</v>
          </cell>
          <cell r="C1030" t="str">
            <v>V2009R2</v>
          </cell>
          <cell r="D1030" t="str">
            <v>Labor Rate</v>
          </cell>
          <cell r="E1030" t="str">
            <v>SA</v>
          </cell>
          <cell r="F1030" t="str">
            <v>Southern Africa Sub-Regional Division</v>
          </cell>
          <cell r="G1030" t="str">
            <v>South Africa Rep.O.</v>
          </cell>
          <cell r="H1030" t="str">
            <v>4001</v>
          </cell>
          <cell r="I1030" t="str">
            <v>南非</v>
          </cell>
          <cell r="J1030" t="str">
            <v>South Africa</v>
          </cell>
          <cell r="K1030" t="str">
            <v>Chinese employees</v>
          </cell>
          <cell r="L1030" t="str">
            <v>L1</v>
          </cell>
          <cell r="M1030" t="str">
            <v>ALL</v>
          </cell>
          <cell r="N1030" t="str">
            <v>FLPC(含奖金)</v>
          </cell>
          <cell r="O1030" t="str">
            <v>USD/小时</v>
          </cell>
          <cell r="P1030">
            <v>45.22</v>
          </cell>
        </row>
        <row r="1031">
          <cell r="A1031" t="str">
            <v>South Africa - Chinese employees - L2</v>
          </cell>
          <cell r="B1031" t="str">
            <v>Current version</v>
          </cell>
          <cell r="C1031" t="str">
            <v>V2009R2</v>
          </cell>
          <cell r="D1031" t="str">
            <v>Labor Rate</v>
          </cell>
          <cell r="E1031" t="str">
            <v>SA</v>
          </cell>
          <cell r="F1031" t="str">
            <v>Southern Africa Sub-Regional Division</v>
          </cell>
          <cell r="G1031" t="str">
            <v>South Africa Rep.O.</v>
          </cell>
          <cell r="H1031" t="str">
            <v>4001</v>
          </cell>
          <cell r="I1031" t="str">
            <v>南非</v>
          </cell>
          <cell r="J1031" t="str">
            <v>South Africa</v>
          </cell>
          <cell r="K1031" t="str">
            <v>Chinese employees</v>
          </cell>
          <cell r="L1031" t="str">
            <v>L2</v>
          </cell>
          <cell r="M1031" t="str">
            <v>ALL</v>
          </cell>
          <cell r="N1031" t="str">
            <v>FLPC(含奖金)</v>
          </cell>
          <cell r="O1031" t="str">
            <v>USD/小时</v>
          </cell>
          <cell r="P1031">
            <v>53.43</v>
          </cell>
        </row>
        <row r="1032">
          <cell r="A1032" t="str">
            <v>South Africa - Chinese employees - L3</v>
          </cell>
          <cell r="B1032" t="str">
            <v>Current version</v>
          </cell>
          <cell r="C1032" t="str">
            <v>V2009R2</v>
          </cell>
          <cell r="D1032" t="str">
            <v>Labor Rate</v>
          </cell>
          <cell r="E1032" t="str">
            <v>SA</v>
          </cell>
          <cell r="F1032" t="str">
            <v>Southern Africa Sub-Regional Division</v>
          </cell>
          <cell r="G1032" t="str">
            <v>South Africa Rep.O.</v>
          </cell>
          <cell r="H1032" t="str">
            <v>4001</v>
          </cell>
          <cell r="I1032" t="str">
            <v>南非</v>
          </cell>
          <cell r="J1032" t="str">
            <v>South Africa</v>
          </cell>
          <cell r="K1032" t="str">
            <v>Chinese employees</v>
          </cell>
          <cell r="L1032" t="str">
            <v>L3</v>
          </cell>
          <cell r="M1032" t="str">
            <v>ALL</v>
          </cell>
          <cell r="N1032" t="str">
            <v>FLPC(含奖金)</v>
          </cell>
          <cell r="O1032" t="str">
            <v>USD/小时</v>
          </cell>
          <cell r="P1032">
            <v>64.72</v>
          </cell>
        </row>
        <row r="1033">
          <cell r="A1033" t="str">
            <v>South Africa - Chinese employees - L4</v>
          </cell>
          <cell r="B1033" t="str">
            <v>Current version</v>
          </cell>
          <cell r="C1033" t="str">
            <v>V2009R2</v>
          </cell>
          <cell r="D1033" t="str">
            <v>Labor Rate</v>
          </cell>
          <cell r="E1033" t="str">
            <v>SA</v>
          </cell>
          <cell r="F1033" t="str">
            <v>Southern Africa Sub-Regional Division</v>
          </cell>
          <cell r="G1033" t="str">
            <v>South Africa Rep.O.</v>
          </cell>
          <cell r="H1033" t="str">
            <v>4001</v>
          </cell>
          <cell r="I1033" t="str">
            <v>南非</v>
          </cell>
          <cell r="J1033" t="str">
            <v>South Africa</v>
          </cell>
          <cell r="K1033" t="str">
            <v>Chinese employees</v>
          </cell>
          <cell r="L1033" t="str">
            <v>L4</v>
          </cell>
          <cell r="M1033" t="str">
            <v>ALL</v>
          </cell>
          <cell r="N1033" t="str">
            <v>FLPC(含奖金)</v>
          </cell>
          <cell r="O1033" t="str">
            <v>USD/小时</v>
          </cell>
          <cell r="P1033">
            <v>105.49</v>
          </cell>
        </row>
        <row r="1034">
          <cell r="A1034" t="str">
            <v>Botswana - Chinese employees - L0</v>
          </cell>
          <cell r="B1034" t="str">
            <v>Current version</v>
          </cell>
          <cell r="C1034" t="str">
            <v>V2009R2</v>
          </cell>
          <cell r="D1034" t="str">
            <v>Labor Rate</v>
          </cell>
          <cell r="E1034" t="str">
            <v>SA</v>
          </cell>
          <cell r="F1034" t="str">
            <v>Southern Africa Sub-Regional Division</v>
          </cell>
          <cell r="G1034" t="str">
            <v>South Africa Rep.O.</v>
          </cell>
          <cell r="H1034" t="str">
            <v>4008</v>
          </cell>
          <cell r="I1034" t="str">
            <v>博茨瓦纳</v>
          </cell>
          <cell r="J1034" t="str">
            <v>Botswana</v>
          </cell>
          <cell r="K1034" t="str">
            <v>Chinese employees</v>
          </cell>
          <cell r="L1034" t="str">
            <v>L0</v>
          </cell>
          <cell r="M1034" t="str">
            <v>ALL</v>
          </cell>
          <cell r="N1034" t="str">
            <v>FLPC(含奖金)</v>
          </cell>
          <cell r="O1034" t="str">
            <v>USD/小时</v>
          </cell>
          <cell r="P1034">
            <v>51.15</v>
          </cell>
        </row>
        <row r="1035">
          <cell r="A1035" t="str">
            <v>Botswana - Chinese employees - L1</v>
          </cell>
          <cell r="B1035" t="str">
            <v>Current version</v>
          </cell>
          <cell r="C1035" t="str">
            <v>V2009R2</v>
          </cell>
          <cell r="D1035" t="str">
            <v>Labor Rate</v>
          </cell>
          <cell r="E1035" t="str">
            <v>SA</v>
          </cell>
          <cell r="F1035" t="str">
            <v>Southern Africa Sub-Regional Division</v>
          </cell>
          <cell r="G1035" t="str">
            <v>South Africa Rep.O.</v>
          </cell>
          <cell r="H1035" t="str">
            <v>4008</v>
          </cell>
          <cell r="I1035" t="str">
            <v>博茨瓦纳</v>
          </cell>
          <cell r="J1035" t="str">
            <v>Botswana</v>
          </cell>
          <cell r="K1035" t="str">
            <v>Chinese employees</v>
          </cell>
          <cell r="L1035" t="str">
            <v>L1</v>
          </cell>
          <cell r="M1035" t="str">
            <v>ALL</v>
          </cell>
          <cell r="N1035" t="str">
            <v>FLPC(含奖金)</v>
          </cell>
          <cell r="O1035" t="str">
            <v>USD/小时</v>
          </cell>
          <cell r="P1035">
            <v>57.65</v>
          </cell>
        </row>
        <row r="1036">
          <cell r="A1036" t="str">
            <v>Botswana - Chinese employees - L2</v>
          </cell>
          <cell r="B1036" t="str">
            <v>Current version</v>
          </cell>
          <cell r="C1036" t="str">
            <v>V2009R2</v>
          </cell>
          <cell r="D1036" t="str">
            <v>Labor Rate</v>
          </cell>
          <cell r="E1036" t="str">
            <v>SA</v>
          </cell>
          <cell r="F1036" t="str">
            <v>Southern Africa Sub-Regional Division</v>
          </cell>
          <cell r="G1036" t="str">
            <v>South Africa Rep.O.</v>
          </cell>
          <cell r="H1036" t="str">
            <v>4008</v>
          </cell>
          <cell r="I1036" t="str">
            <v>博茨瓦纳</v>
          </cell>
          <cell r="J1036" t="str">
            <v>Botswana</v>
          </cell>
          <cell r="K1036" t="str">
            <v>Chinese employees</v>
          </cell>
          <cell r="L1036" t="str">
            <v>L2</v>
          </cell>
          <cell r="M1036" t="str">
            <v>ALL</v>
          </cell>
          <cell r="N1036" t="str">
            <v>FLPC(含奖金)</v>
          </cell>
          <cell r="O1036" t="str">
            <v>USD/小时</v>
          </cell>
          <cell r="P1036">
            <v>65.77</v>
          </cell>
        </row>
        <row r="1037">
          <cell r="A1037" t="str">
            <v>Botswana - Chinese employees - L3</v>
          </cell>
          <cell r="B1037" t="str">
            <v>Current version</v>
          </cell>
          <cell r="C1037" t="str">
            <v>V2009R2</v>
          </cell>
          <cell r="D1037" t="str">
            <v>Labor Rate</v>
          </cell>
          <cell r="E1037" t="str">
            <v>SA</v>
          </cell>
          <cell r="F1037" t="str">
            <v>Southern Africa Sub-Regional Division</v>
          </cell>
          <cell r="G1037" t="str">
            <v>South Africa Rep.O.</v>
          </cell>
          <cell r="H1037" t="str">
            <v>4008</v>
          </cell>
          <cell r="I1037" t="str">
            <v>博茨瓦纳</v>
          </cell>
          <cell r="J1037" t="str">
            <v>Botswana</v>
          </cell>
          <cell r="K1037" t="str">
            <v>Chinese employees</v>
          </cell>
          <cell r="L1037" t="str">
            <v>L3</v>
          </cell>
          <cell r="M1037" t="str">
            <v>ALL</v>
          </cell>
          <cell r="N1037" t="str">
            <v>FLPC(含奖金)</v>
          </cell>
          <cell r="O1037" t="str">
            <v>USD/小时</v>
          </cell>
          <cell r="P1037">
            <v>75.989999999999995</v>
          </cell>
        </row>
        <row r="1038">
          <cell r="A1038" t="str">
            <v>Botswana - Chinese employees - L4</v>
          </cell>
          <cell r="B1038" t="str">
            <v>Current version</v>
          </cell>
          <cell r="C1038" t="str">
            <v>V2009R2</v>
          </cell>
          <cell r="D1038" t="str">
            <v>Labor Rate</v>
          </cell>
          <cell r="E1038" t="str">
            <v>SA</v>
          </cell>
          <cell r="F1038" t="str">
            <v>Southern Africa Sub-Regional Division</v>
          </cell>
          <cell r="G1038" t="str">
            <v>South Africa Rep.O.</v>
          </cell>
          <cell r="H1038" t="str">
            <v>4008</v>
          </cell>
          <cell r="I1038" t="str">
            <v>博茨瓦纳</v>
          </cell>
          <cell r="J1038" t="str">
            <v>Botswana</v>
          </cell>
          <cell r="K1038" t="str">
            <v>Chinese employees</v>
          </cell>
          <cell r="L1038" t="str">
            <v>L4</v>
          </cell>
          <cell r="M1038" t="str">
            <v>ALL</v>
          </cell>
          <cell r="N1038" t="str">
            <v>FLPC(含奖金)</v>
          </cell>
          <cell r="O1038" t="str">
            <v>USD/小时</v>
          </cell>
          <cell r="P1038">
            <v>115.97</v>
          </cell>
        </row>
        <row r="1039">
          <cell r="A1039" t="str">
            <v>Mozambique - Chinese employees - L0</v>
          </cell>
          <cell r="B1039" t="str">
            <v>Current version</v>
          </cell>
          <cell r="C1039" t="str">
            <v>V2009R2</v>
          </cell>
          <cell r="D1039" t="str">
            <v>Labor Rate</v>
          </cell>
          <cell r="E1039" t="str">
            <v>SA</v>
          </cell>
          <cell r="F1039" t="str">
            <v>Southern Africa Sub-Regional Division</v>
          </cell>
          <cell r="G1039" t="str">
            <v>South Africa Rep.O.</v>
          </cell>
          <cell r="H1039" t="str">
            <v>4011</v>
          </cell>
          <cell r="I1039" t="str">
            <v>莫桑比克</v>
          </cell>
          <cell r="J1039" t="str">
            <v>Mozambique</v>
          </cell>
          <cell r="K1039" t="str">
            <v>Chinese employees</v>
          </cell>
          <cell r="L1039" t="str">
            <v>L0</v>
          </cell>
          <cell r="M1039" t="str">
            <v>ALL</v>
          </cell>
          <cell r="N1039" t="str">
            <v>FLPC(含奖金)</v>
          </cell>
          <cell r="O1039" t="str">
            <v>USD/小时</v>
          </cell>
          <cell r="P1039">
            <v>51.51</v>
          </cell>
        </row>
        <row r="1040">
          <cell r="A1040" t="str">
            <v>Mozambique - Chinese employees - L1</v>
          </cell>
          <cell r="B1040" t="str">
            <v>Current version</v>
          </cell>
          <cell r="C1040" t="str">
            <v>V2009R2</v>
          </cell>
          <cell r="D1040" t="str">
            <v>Labor Rate</v>
          </cell>
          <cell r="E1040" t="str">
            <v>SA</v>
          </cell>
          <cell r="F1040" t="str">
            <v>Southern Africa Sub-Regional Division</v>
          </cell>
          <cell r="G1040" t="str">
            <v>South Africa Rep.O.</v>
          </cell>
          <cell r="H1040" t="str">
            <v>4011</v>
          </cell>
          <cell r="I1040" t="str">
            <v>莫桑比克</v>
          </cell>
          <cell r="J1040" t="str">
            <v>Mozambique</v>
          </cell>
          <cell r="K1040" t="str">
            <v>Chinese employees</v>
          </cell>
          <cell r="L1040" t="str">
            <v>L1</v>
          </cell>
          <cell r="M1040" t="str">
            <v>ALL</v>
          </cell>
          <cell r="N1040" t="str">
            <v>FLPC(含奖金)</v>
          </cell>
          <cell r="O1040" t="str">
            <v>USD/小时</v>
          </cell>
          <cell r="P1040">
            <v>57.49</v>
          </cell>
        </row>
        <row r="1041">
          <cell r="A1041" t="str">
            <v>Mozambique - Chinese employees - L2</v>
          </cell>
          <cell r="B1041" t="str">
            <v>Current version</v>
          </cell>
          <cell r="C1041" t="str">
            <v>V2009R2</v>
          </cell>
          <cell r="D1041" t="str">
            <v>Labor Rate</v>
          </cell>
          <cell r="E1041" t="str">
            <v>SA</v>
          </cell>
          <cell r="F1041" t="str">
            <v>Southern Africa Sub-Regional Division</v>
          </cell>
          <cell r="G1041" t="str">
            <v>South Africa Rep.O.</v>
          </cell>
          <cell r="H1041" t="str">
            <v>4011</v>
          </cell>
          <cell r="I1041" t="str">
            <v>莫桑比克</v>
          </cell>
          <cell r="J1041" t="str">
            <v>Mozambique</v>
          </cell>
          <cell r="K1041" t="str">
            <v>Chinese employees</v>
          </cell>
          <cell r="L1041" t="str">
            <v>L2</v>
          </cell>
          <cell r="M1041" t="str">
            <v>ALL</v>
          </cell>
          <cell r="N1041" t="str">
            <v>FLPC(含奖金)</v>
          </cell>
          <cell r="O1041" t="str">
            <v>USD/小时</v>
          </cell>
          <cell r="P1041">
            <v>65.67</v>
          </cell>
        </row>
        <row r="1042">
          <cell r="A1042" t="str">
            <v>Mozambique - Chinese employees - L3</v>
          </cell>
          <cell r="B1042" t="str">
            <v>Current version</v>
          </cell>
          <cell r="C1042" t="str">
            <v>V2009R2</v>
          </cell>
          <cell r="D1042" t="str">
            <v>Labor Rate</v>
          </cell>
          <cell r="E1042" t="str">
            <v>SA</v>
          </cell>
          <cell r="F1042" t="str">
            <v>Southern Africa Sub-Regional Division</v>
          </cell>
          <cell r="G1042" t="str">
            <v>South Africa Rep.O.</v>
          </cell>
          <cell r="H1042" t="str">
            <v>4011</v>
          </cell>
          <cell r="I1042" t="str">
            <v>莫桑比克</v>
          </cell>
          <cell r="J1042" t="str">
            <v>Mozambique</v>
          </cell>
          <cell r="K1042" t="str">
            <v>Chinese employees</v>
          </cell>
          <cell r="L1042" t="str">
            <v>L3</v>
          </cell>
          <cell r="M1042" t="str">
            <v>ALL</v>
          </cell>
          <cell r="N1042" t="str">
            <v>FLPC(含奖金)</v>
          </cell>
          <cell r="O1042" t="str">
            <v>USD/小时</v>
          </cell>
          <cell r="P1042">
            <v>76.760000000000005</v>
          </cell>
        </row>
        <row r="1043">
          <cell r="A1043" t="str">
            <v>Mozambique - Chinese employees - L4</v>
          </cell>
          <cell r="B1043" t="str">
            <v>Current version</v>
          </cell>
          <cell r="C1043" t="str">
            <v>V2009R2</v>
          </cell>
          <cell r="D1043" t="str">
            <v>Labor Rate</v>
          </cell>
          <cell r="E1043" t="str">
            <v>SA</v>
          </cell>
          <cell r="F1043" t="str">
            <v>Southern Africa Sub-Regional Division</v>
          </cell>
          <cell r="G1043" t="str">
            <v>South Africa Rep.O.</v>
          </cell>
          <cell r="H1043" t="str">
            <v>4011</v>
          </cell>
          <cell r="I1043" t="str">
            <v>莫桑比克</v>
          </cell>
          <cell r="J1043" t="str">
            <v>Mozambique</v>
          </cell>
          <cell r="K1043" t="str">
            <v>Chinese employees</v>
          </cell>
          <cell r="L1043" t="str">
            <v>L4</v>
          </cell>
          <cell r="M1043" t="str">
            <v>ALL</v>
          </cell>
          <cell r="N1043" t="str">
            <v>FLPC(含奖金)</v>
          </cell>
          <cell r="O1043" t="str">
            <v>USD/小时</v>
          </cell>
          <cell r="P1043">
            <v>116.32</v>
          </cell>
        </row>
        <row r="1044">
          <cell r="A1044" t="str">
            <v>Mauritius - Chinese employees - L0</v>
          </cell>
          <cell r="B1044" t="str">
            <v>Current version</v>
          </cell>
          <cell r="C1044" t="str">
            <v>V2009R2</v>
          </cell>
          <cell r="D1044" t="str">
            <v>Labor Rate</v>
          </cell>
          <cell r="E1044" t="str">
            <v>SA</v>
          </cell>
          <cell r="F1044" t="str">
            <v>Southern Africa Sub-Regional Division</v>
          </cell>
          <cell r="G1044" t="str">
            <v>Madagascar/Mauritius Rep.O.</v>
          </cell>
          <cell r="H1044" t="str">
            <v>4007</v>
          </cell>
          <cell r="I1044" t="str">
            <v>毛里求斯</v>
          </cell>
          <cell r="J1044" t="str">
            <v>Mauritius</v>
          </cell>
          <cell r="K1044" t="str">
            <v>Chinese employees</v>
          </cell>
          <cell r="L1044" t="str">
            <v>L0</v>
          </cell>
          <cell r="M1044" t="str">
            <v>ALL</v>
          </cell>
          <cell r="N1044" t="str">
            <v>FLPC(含奖金)</v>
          </cell>
          <cell r="O1044" t="str">
            <v>USD/小时</v>
          </cell>
          <cell r="P1044">
            <v>40.11</v>
          </cell>
        </row>
        <row r="1045">
          <cell r="A1045" t="str">
            <v>Mauritius - Chinese employees - L1</v>
          </cell>
          <cell r="B1045" t="str">
            <v>Current version</v>
          </cell>
          <cell r="C1045" t="str">
            <v>V2009R2</v>
          </cell>
          <cell r="D1045" t="str">
            <v>Labor Rate</v>
          </cell>
          <cell r="E1045" t="str">
            <v>SA</v>
          </cell>
          <cell r="F1045" t="str">
            <v>Southern Africa Sub-Regional Division</v>
          </cell>
          <cell r="G1045" t="str">
            <v>Madagascar/Mauritius Rep.O.</v>
          </cell>
          <cell r="H1045" t="str">
            <v>4007</v>
          </cell>
          <cell r="I1045" t="str">
            <v>毛里求斯</v>
          </cell>
          <cell r="J1045" t="str">
            <v>Mauritius</v>
          </cell>
          <cell r="K1045" t="str">
            <v>Chinese employees</v>
          </cell>
          <cell r="L1045" t="str">
            <v>L1</v>
          </cell>
          <cell r="M1045" t="str">
            <v>ALL</v>
          </cell>
          <cell r="N1045" t="str">
            <v>FLPC(含奖金)</v>
          </cell>
          <cell r="O1045" t="str">
            <v>USD/小时</v>
          </cell>
          <cell r="P1045">
            <v>46.34</v>
          </cell>
        </row>
        <row r="1046">
          <cell r="A1046" t="str">
            <v>Mauritius - Chinese employees - L2</v>
          </cell>
          <cell r="B1046" t="str">
            <v>Current version</v>
          </cell>
          <cell r="C1046" t="str">
            <v>V2009R2</v>
          </cell>
          <cell r="D1046" t="str">
            <v>Labor Rate</v>
          </cell>
          <cell r="E1046" t="str">
            <v>SA</v>
          </cell>
          <cell r="F1046" t="str">
            <v>Southern Africa Sub-Regional Division</v>
          </cell>
          <cell r="G1046" t="str">
            <v>Madagascar/Mauritius Rep.O.</v>
          </cell>
          <cell r="H1046" t="str">
            <v>4007</v>
          </cell>
          <cell r="I1046" t="str">
            <v>毛里求斯</v>
          </cell>
          <cell r="J1046" t="str">
            <v>Mauritius</v>
          </cell>
          <cell r="K1046" t="str">
            <v>Chinese employees</v>
          </cell>
          <cell r="L1046" t="str">
            <v>L2</v>
          </cell>
          <cell r="M1046" t="str">
            <v>ALL</v>
          </cell>
          <cell r="N1046" t="str">
            <v>FLPC(含奖金)</v>
          </cell>
          <cell r="O1046" t="str">
            <v>USD/小时</v>
          </cell>
          <cell r="P1046">
            <v>54.33</v>
          </cell>
        </row>
        <row r="1047">
          <cell r="A1047" t="str">
            <v>Mauritius - Chinese employees - L3</v>
          </cell>
          <cell r="B1047" t="str">
            <v>Current version</v>
          </cell>
          <cell r="C1047" t="str">
            <v>V2009R2</v>
          </cell>
          <cell r="D1047" t="str">
            <v>Labor Rate</v>
          </cell>
          <cell r="E1047" t="str">
            <v>SA</v>
          </cell>
          <cell r="F1047" t="str">
            <v>Southern Africa Sub-Regional Division</v>
          </cell>
          <cell r="G1047" t="str">
            <v>Madagascar/Mauritius Rep.O.</v>
          </cell>
          <cell r="H1047" t="str">
            <v>4007</v>
          </cell>
          <cell r="I1047" t="str">
            <v>毛里求斯</v>
          </cell>
          <cell r="J1047" t="str">
            <v>Mauritius</v>
          </cell>
          <cell r="K1047" t="str">
            <v>Chinese employees</v>
          </cell>
          <cell r="L1047" t="str">
            <v>L3</v>
          </cell>
          <cell r="M1047" t="str">
            <v>ALL</v>
          </cell>
          <cell r="N1047" t="str">
            <v>FLPC(含奖金)</v>
          </cell>
          <cell r="O1047" t="str">
            <v>USD/小时</v>
          </cell>
          <cell r="P1047">
            <v>65.69</v>
          </cell>
        </row>
        <row r="1048">
          <cell r="A1048" t="str">
            <v>Mauritius - Chinese employees - L4</v>
          </cell>
          <cell r="B1048" t="str">
            <v>Current version</v>
          </cell>
          <cell r="C1048" t="str">
            <v>V2009R2</v>
          </cell>
          <cell r="D1048" t="str">
            <v>Labor Rate</v>
          </cell>
          <cell r="E1048" t="str">
            <v>SA</v>
          </cell>
          <cell r="F1048" t="str">
            <v>Southern Africa Sub-Regional Division</v>
          </cell>
          <cell r="G1048" t="str">
            <v>Madagascar/Mauritius Rep.O.</v>
          </cell>
          <cell r="H1048" t="str">
            <v>4007</v>
          </cell>
          <cell r="I1048" t="str">
            <v>毛里求斯</v>
          </cell>
          <cell r="J1048" t="str">
            <v>Mauritius</v>
          </cell>
          <cell r="K1048" t="str">
            <v>Chinese employees</v>
          </cell>
          <cell r="L1048" t="str">
            <v>L4</v>
          </cell>
          <cell r="M1048" t="str">
            <v>ALL</v>
          </cell>
          <cell r="N1048" t="str">
            <v>FLPC(含奖金)</v>
          </cell>
          <cell r="O1048" t="str">
            <v>USD/小时</v>
          </cell>
          <cell r="P1048">
            <v>104.92</v>
          </cell>
        </row>
        <row r="1049">
          <cell r="A1049" t="str">
            <v>Madagascar - Chinese employees - L0</v>
          </cell>
          <cell r="B1049" t="str">
            <v>Current version</v>
          </cell>
          <cell r="C1049" t="str">
            <v>V2009R2</v>
          </cell>
          <cell r="D1049" t="str">
            <v>Labor Rate</v>
          </cell>
          <cell r="E1049" t="str">
            <v>SA</v>
          </cell>
          <cell r="F1049" t="str">
            <v>Southern Africa Sub-Regional Division</v>
          </cell>
          <cell r="G1049" t="str">
            <v>Madagascar/Mauritius Rep.O.</v>
          </cell>
          <cell r="H1049" t="str">
            <v>4016</v>
          </cell>
          <cell r="I1049" t="str">
            <v>马达加斯加</v>
          </cell>
          <cell r="J1049" t="str">
            <v>Madagascar</v>
          </cell>
          <cell r="K1049" t="str">
            <v>Chinese employees</v>
          </cell>
          <cell r="L1049" t="str">
            <v>L0</v>
          </cell>
          <cell r="M1049" t="str">
            <v>ALL</v>
          </cell>
          <cell r="N1049" t="str">
            <v>FLPC(含奖金)</v>
          </cell>
          <cell r="O1049" t="str">
            <v>USD/小时</v>
          </cell>
          <cell r="P1049">
            <v>43.02</v>
          </cell>
        </row>
        <row r="1050">
          <cell r="A1050" t="str">
            <v>Madagascar - Chinese employees - L1</v>
          </cell>
          <cell r="B1050" t="str">
            <v>Current version</v>
          </cell>
          <cell r="C1050" t="str">
            <v>V2009R2</v>
          </cell>
          <cell r="D1050" t="str">
            <v>Labor Rate</v>
          </cell>
          <cell r="E1050" t="str">
            <v>SA</v>
          </cell>
          <cell r="F1050" t="str">
            <v>Southern Africa Sub-Regional Division</v>
          </cell>
          <cell r="G1050" t="str">
            <v>Madagascar/Mauritius Rep.O.</v>
          </cell>
          <cell r="H1050" t="str">
            <v>4016</v>
          </cell>
          <cell r="I1050" t="str">
            <v>马达加斯加</v>
          </cell>
          <cell r="J1050" t="str">
            <v>Madagascar</v>
          </cell>
          <cell r="K1050" t="str">
            <v>Chinese employees</v>
          </cell>
          <cell r="L1050" t="str">
            <v>L1</v>
          </cell>
          <cell r="M1050" t="str">
            <v>ALL</v>
          </cell>
          <cell r="N1050" t="str">
            <v>FLPC(含奖金)</v>
          </cell>
          <cell r="O1050" t="str">
            <v>USD/小时</v>
          </cell>
          <cell r="P1050">
            <v>49.72</v>
          </cell>
        </row>
        <row r="1051">
          <cell r="A1051" t="str">
            <v>Madagascar - Chinese employees - L2</v>
          </cell>
          <cell r="B1051" t="str">
            <v>Current version</v>
          </cell>
          <cell r="C1051" t="str">
            <v>V2009R2</v>
          </cell>
          <cell r="D1051" t="str">
            <v>Labor Rate</v>
          </cell>
          <cell r="E1051" t="str">
            <v>SA</v>
          </cell>
          <cell r="F1051" t="str">
            <v>Southern Africa Sub-Regional Division</v>
          </cell>
          <cell r="G1051" t="str">
            <v>Madagascar/Mauritius Rep.O.</v>
          </cell>
          <cell r="H1051" t="str">
            <v>4016</v>
          </cell>
          <cell r="I1051" t="str">
            <v>马达加斯加</v>
          </cell>
          <cell r="J1051" t="str">
            <v>Madagascar</v>
          </cell>
          <cell r="K1051" t="str">
            <v>Chinese employees</v>
          </cell>
          <cell r="L1051" t="str">
            <v>L2</v>
          </cell>
          <cell r="M1051" t="str">
            <v>ALL</v>
          </cell>
          <cell r="N1051" t="str">
            <v>FLPC(含奖金)</v>
          </cell>
          <cell r="O1051" t="str">
            <v>USD/小时</v>
          </cell>
          <cell r="P1051">
            <v>57.48</v>
          </cell>
        </row>
        <row r="1052">
          <cell r="A1052" t="str">
            <v>Madagascar - Chinese employees - L3</v>
          </cell>
          <cell r="B1052" t="str">
            <v>Current version</v>
          </cell>
          <cell r="C1052" t="str">
            <v>V2009R2</v>
          </cell>
          <cell r="D1052" t="str">
            <v>Labor Rate</v>
          </cell>
          <cell r="E1052" t="str">
            <v>SA</v>
          </cell>
          <cell r="F1052" t="str">
            <v>Southern Africa Sub-Regional Division</v>
          </cell>
          <cell r="G1052" t="str">
            <v>Madagascar/Mauritius Rep.O.</v>
          </cell>
          <cell r="H1052" t="str">
            <v>4016</v>
          </cell>
          <cell r="I1052" t="str">
            <v>马达加斯加</v>
          </cell>
          <cell r="J1052" t="str">
            <v>Madagascar</v>
          </cell>
          <cell r="K1052" t="str">
            <v>Chinese employees</v>
          </cell>
          <cell r="L1052" t="str">
            <v>L3</v>
          </cell>
          <cell r="M1052" t="str">
            <v>ALL</v>
          </cell>
          <cell r="N1052" t="str">
            <v>FLPC(含奖金)</v>
          </cell>
          <cell r="O1052" t="str">
            <v>USD/小时</v>
          </cell>
          <cell r="P1052">
            <v>68.81</v>
          </cell>
        </row>
        <row r="1053">
          <cell r="A1053" t="str">
            <v>Madagascar - Chinese employees - L4</v>
          </cell>
          <cell r="B1053" t="str">
            <v>Current version</v>
          </cell>
          <cell r="C1053" t="str">
            <v>V2009R2</v>
          </cell>
          <cell r="D1053" t="str">
            <v>Labor Rate</v>
          </cell>
          <cell r="E1053" t="str">
            <v>SA</v>
          </cell>
          <cell r="F1053" t="str">
            <v>Southern Africa Sub-Regional Division</v>
          </cell>
          <cell r="G1053" t="str">
            <v>Madagascar/Mauritius Rep.O.</v>
          </cell>
          <cell r="H1053" t="str">
            <v>4016</v>
          </cell>
          <cell r="I1053" t="str">
            <v>马达加斯加</v>
          </cell>
          <cell r="J1053" t="str">
            <v>Madagascar</v>
          </cell>
          <cell r="K1053" t="str">
            <v>Chinese employees</v>
          </cell>
          <cell r="L1053" t="str">
            <v>L4</v>
          </cell>
          <cell r="M1053" t="str">
            <v>ALL</v>
          </cell>
          <cell r="N1053" t="str">
            <v>FLPC(含奖金)</v>
          </cell>
          <cell r="O1053" t="str">
            <v>USD/小时</v>
          </cell>
          <cell r="P1053">
            <v>108.79</v>
          </cell>
        </row>
        <row r="1054">
          <cell r="A1054" t="str">
            <v>Angola - Chinese employees - L0</v>
          </cell>
          <cell r="B1054" t="str">
            <v>Current version</v>
          </cell>
          <cell r="C1054" t="str">
            <v>V2009R2</v>
          </cell>
          <cell r="D1054" t="str">
            <v>Labor Rate</v>
          </cell>
          <cell r="E1054" t="str">
            <v>SA</v>
          </cell>
          <cell r="F1054" t="str">
            <v>Southern Africa Sub-Regional Division</v>
          </cell>
          <cell r="G1054" t="str">
            <v>Angola Rep.O.</v>
          </cell>
          <cell r="H1054" t="str">
            <v>4015</v>
          </cell>
          <cell r="I1054" t="str">
            <v>A8安哥拉</v>
          </cell>
          <cell r="J1054" t="str">
            <v>Angola</v>
          </cell>
          <cell r="K1054" t="str">
            <v>Chinese employees</v>
          </cell>
          <cell r="L1054" t="str">
            <v>L0</v>
          </cell>
          <cell r="M1054" t="str">
            <v>ALL</v>
          </cell>
          <cell r="N1054" t="str">
            <v>FLPC(含奖金)</v>
          </cell>
          <cell r="O1054" t="str">
            <v>USD/小时</v>
          </cell>
          <cell r="P1054">
            <v>69.75</v>
          </cell>
        </row>
        <row r="1055">
          <cell r="A1055" t="str">
            <v>Angola - Chinese employees - L1</v>
          </cell>
          <cell r="B1055" t="str">
            <v>Current version</v>
          </cell>
          <cell r="C1055" t="str">
            <v>V2009R2</v>
          </cell>
          <cell r="D1055" t="str">
            <v>Labor Rate</v>
          </cell>
          <cell r="E1055" t="str">
            <v>SA</v>
          </cell>
          <cell r="F1055" t="str">
            <v>Southern Africa Sub-Regional Division</v>
          </cell>
          <cell r="G1055" t="str">
            <v>Angola Rep.O.</v>
          </cell>
          <cell r="H1055" t="str">
            <v>4015</v>
          </cell>
          <cell r="I1055" t="str">
            <v>A8安哥拉</v>
          </cell>
          <cell r="J1055" t="str">
            <v>Angola</v>
          </cell>
          <cell r="K1055" t="str">
            <v>Chinese employees</v>
          </cell>
          <cell r="L1055" t="str">
            <v>L1</v>
          </cell>
          <cell r="M1055" t="str">
            <v>ALL</v>
          </cell>
          <cell r="N1055" t="str">
            <v>FLPC(含奖金)</v>
          </cell>
          <cell r="O1055" t="str">
            <v>USD/小时</v>
          </cell>
          <cell r="P1055">
            <v>76.09</v>
          </cell>
        </row>
        <row r="1056">
          <cell r="A1056" t="str">
            <v>Angola - Chinese employees - L2</v>
          </cell>
          <cell r="B1056" t="str">
            <v>Current version</v>
          </cell>
          <cell r="C1056" t="str">
            <v>V2009R2</v>
          </cell>
          <cell r="D1056" t="str">
            <v>Labor Rate</v>
          </cell>
          <cell r="E1056" t="str">
            <v>SA</v>
          </cell>
          <cell r="F1056" t="str">
            <v>Southern Africa Sub-Regional Division</v>
          </cell>
          <cell r="G1056" t="str">
            <v>Angola Rep.O.</v>
          </cell>
          <cell r="H1056" t="str">
            <v>4015</v>
          </cell>
          <cell r="I1056" t="str">
            <v>A8安哥拉</v>
          </cell>
          <cell r="J1056" t="str">
            <v>Angola</v>
          </cell>
          <cell r="K1056" t="str">
            <v>Chinese employees</v>
          </cell>
          <cell r="L1056" t="str">
            <v>L2</v>
          </cell>
          <cell r="M1056" t="str">
            <v>ALL</v>
          </cell>
          <cell r="N1056" t="str">
            <v>FLPC(含奖金)</v>
          </cell>
          <cell r="O1056" t="str">
            <v>USD/小时</v>
          </cell>
          <cell r="P1056">
            <v>83.93</v>
          </cell>
        </row>
        <row r="1057">
          <cell r="A1057" t="str">
            <v>Angola - Chinese employees - L3</v>
          </cell>
          <cell r="B1057" t="str">
            <v>Current version</v>
          </cell>
          <cell r="C1057" t="str">
            <v>V2009R2</v>
          </cell>
          <cell r="D1057" t="str">
            <v>Labor Rate</v>
          </cell>
          <cell r="E1057" t="str">
            <v>SA</v>
          </cell>
          <cell r="F1057" t="str">
            <v>Southern Africa Sub-Regional Division</v>
          </cell>
          <cell r="G1057" t="str">
            <v>Angola Rep.O.</v>
          </cell>
          <cell r="H1057" t="str">
            <v>4015</v>
          </cell>
          <cell r="I1057" t="str">
            <v>A8安哥拉</v>
          </cell>
          <cell r="J1057" t="str">
            <v>Angola</v>
          </cell>
          <cell r="K1057" t="str">
            <v>Chinese employees</v>
          </cell>
          <cell r="L1057" t="str">
            <v>L3</v>
          </cell>
          <cell r="M1057" t="str">
            <v>ALL</v>
          </cell>
          <cell r="N1057" t="str">
            <v>FLPC(含奖金)</v>
          </cell>
          <cell r="O1057" t="str">
            <v>USD/小时</v>
          </cell>
          <cell r="P1057">
            <v>95.41</v>
          </cell>
        </row>
        <row r="1058">
          <cell r="A1058" t="str">
            <v>Angola - Chinese employees - L4</v>
          </cell>
          <cell r="B1058" t="str">
            <v>Current version</v>
          </cell>
          <cell r="C1058" t="str">
            <v>V2009R2</v>
          </cell>
          <cell r="D1058" t="str">
            <v>Labor Rate</v>
          </cell>
          <cell r="E1058" t="str">
            <v>SA</v>
          </cell>
          <cell r="F1058" t="str">
            <v>Southern Africa Sub-Regional Division</v>
          </cell>
          <cell r="G1058" t="str">
            <v>Angola Rep.O.</v>
          </cell>
          <cell r="H1058" t="str">
            <v>4015</v>
          </cell>
          <cell r="I1058" t="str">
            <v>A8安哥拉</v>
          </cell>
          <cell r="J1058" t="str">
            <v>Angola</v>
          </cell>
          <cell r="K1058" t="str">
            <v>Chinese employees</v>
          </cell>
          <cell r="L1058" t="str">
            <v>L4</v>
          </cell>
          <cell r="M1058" t="str">
            <v>ALL</v>
          </cell>
          <cell r="N1058" t="str">
            <v>FLPC(含奖金)</v>
          </cell>
          <cell r="O1058" t="str">
            <v>USD/小时</v>
          </cell>
          <cell r="P1058">
            <v>135.69</v>
          </cell>
        </row>
        <row r="1059">
          <cell r="A1059" t="str">
            <v>Namibia - Chinese employees - L0</v>
          </cell>
          <cell r="B1059" t="str">
            <v>Current version</v>
          </cell>
          <cell r="C1059" t="str">
            <v>V2009R2</v>
          </cell>
          <cell r="D1059" t="str">
            <v>Labor Rate</v>
          </cell>
          <cell r="E1059" t="str">
            <v>SA</v>
          </cell>
          <cell r="F1059" t="str">
            <v>Southern Africa Sub-Regional Division</v>
          </cell>
          <cell r="G1059" t="str">
            <v>Angola Rep.O.</v>
          </cell>
          <cell r="H1059" t="str">
            <v>4017</v>
          </cell>
          <cell r="I1059" t="str">
            <v>纳米比亚</v>
          </cell>
          <cell r="J1059" t="str">
            <v>Namibia</v>
          </cell>
          <cell r="K1059" t="str">
            <v>Chinese employees</v>
          </cell>
          <cell r="L1059" t="str">
            <v>L0</v>
          </cell>
          <cell r="M1059" t="str">
            <v>ALL</v>
          </cell>
          <cell r="N1059" t="str">
            <v>FLPC(含奖金)</v>
          </cell>
          <cell r="O1059" t="str">
            <v>USD/小时</v>
          </cell>
          <cell r="P1059">
            <v>69.34</v>
          </cell>
        </row>
        <row r="1060">
          <cell r="A1060" t="str">
            <v>Namibia - Chinese employees - L1</v>
          </cell>
          <cell r="B1060" t="str">
            <v>Current version</v>
          </cell>
          <cell r="C1060" t="str">
            <v>V2009R2</v>
          </cell>
          <cell r="D1060" t="str">
            <v>Labor Rate</v>
          </cell>
          <cell r="E1060" t="str">
            <v>SA</v>
          </cell>
          <cell r="F1060" t="str">
            <v>Southern Africa Sub-Regional Division</v>
          </cell>
          <cell r="G1060" t="str">
            <v>Angola Rep.O.</v>
          </cell>
          <cell r="H1060" t="str">
            <v>4017</v>
          </cell>
          <cell r="I1060" t="str">
            <v>纳米比亚</v>
          </cell>
          <cell r="J1060" t="str">
            <v>Namibia</v>
          </cell>
          <cell r="K1060" t="str">
            <v>Chinese employees</v>
          </cell>
          <cell r="L1060" t="str">
            <v>L1</v>
          </cell>
          <cell r="M1060" t="str">
            <v>ALL</v>
          </cell>
          <cell r="N1060" t="str">
            <v>FLPC(含奖金)</v>
          </cell>
          <cell r="O1060" t="str">
            <v>USD/小时</v>
          </cell>
          <cell r="P1060">
            <v>76.92</v>
          </cell>
        </row>
        <row r="1061">
          <cell r="A1061" t="str">
            <v>Namibia - Chinese employees - L2</v>
          </cell>
          <cell r="B1061" t="str">
            <v>Current version</v>
          </cell>
          <cell r="C1061" t="str">
            <v>V2009R2</v>
          </cell>
          <cell r="D1061" t="str">
            <v>Labor Rate</v>
          </cell>
          <cell r="E1061" t="str">
            <v>SA</v>
          </cell>
          <cell r="F1061" t="str">
            <v>Southern Africa Sub-Regional Division</v>
          </cell>
          <cell r="G1061" t="str">
            <v>Angola Rep.O.</v>
          </cell>
          <cell r="H1061" t="str">
            <v>4017</v>
          </cell>
          <cell r="I1061" t="str">
            <v>纳米比亚</v>
          </cell>
          <cell r="J1061" t="str">
            <v>Namibia</v>
          </cell>
          <cell r="K1061" t="str">
            <v>Chinese employees</v>
          </cell>
          <cell r="L1061" t="str">
            <v>L2</v>
          </cell>
          <cell r="M1061" t="str">
            <v>ALL</v>
          </cell>
          <cell r="N1061" t="str">
            <v>FLPC(含奖金)</v>
          </cell>
          <cell r="O1061" t="str">
            <v>USD/小时</v>
          </cell>
          <cell r="P1061">
            <v>85.54</v>
          </cell>
        </row>
        <row r="1062">
          <cell r="A1062" t="str">
            <v>Namibia - Chinese employees - L3</v>
          </cell>
          <cell r="B1062" t="str">
            <v>Current version</v>
          </cell>
          <cell r="C1062" t="str">
            <v>V2009R2</v>
          </cell>
          <cell r="D1062" t="str">
            <v>Labor Rate</v>
          </cell>
          <cell r="E1062" t="str">
            <v>SA</v>
          </cell>
          <cell r="F1062" t="str">
            <v>Southern Africa Sub-Regional Division</v>
          </cell>
          <cell r="G1062" t="str">
            <v>Angola Rep.O.</v>
          </cell>
          <cell r="H1062" t="str">
            <v>4017</v>
          </cell>
          <cell r="I1062" t="str">
            <v>纳米比亚</v>
          </cell>
          <cell r="J1062" t="str">
            <v>Namibia</v>
          </cell>
          <cell r="K1062" t="str">
            <v>Chinese employees</v>
          </cell>
          <cell r="L1062" t="str">
            <v>L3</v>
          </cell>
          <cell r="M1062" t="str">
            <v>ALL</v>
          </cell>
          <cell r="N1062" t="str">
            <v>FLPC(含奖金)</v>
          </cell>
          <cell r="O1062" t="str">
            <v>USD/小时</v>
          </cell>
          <cell r="P1062">
            <v>98.94</v>
          </cell>
        </row>
        <row r="1063">
          <cell r="A1063" t="str">
            <v>Shanghai - Chinese employees - L2</v>
          </cell>
          <cell r="B1063" t="str">
            <v>Current version</v>
          </cell>
          <cell r="C1063" t="str">
            <v>V2009R2</v>
          </cell>
          <cell r="D1063" t="str">
            <v>Labor Rate</v>
          </cell>
          <cell r="E1063" t="str">
            <v>China</v>
          </cell>
          <cell r="F1063" t="str">
            <v>China</v>
          </cell>
          <cell r="G1063" t="str">
            <v>上海办事处</v>
          </cell>
          <cell r="H1063" t="str">
            <v>0022</v>
          </cell>
          <cell r="I1063" t="str">
            <v>上海</v>
          </cell>
          <cell r="J1063" t="str">
            <v>Shanghai</v>
          </cell>
          <cell r="K1063" t="str">
            <v>Chinese employees</v>
          </cell>
          <cell r="L1063" t="str">
            <v>L2</v>
          </cell>
          <cell r="M1063" t="str">
            <v>ALL</v>
          </cell>
          <cell r="N1063" t="str">
            <v>FLPC(含奖金)</v>
          </cell>
          <cell r="O1063" t="str">
            <v>USD/小时</v>
          </cell>
          <cell r="P1063">
            <v>23.63</v>
          </cell>
        </row>
        <row r="1064">
          <cell r="A1064" t="str">
            <v>Shanghai - Chinese employees - L3</v>
          </cell>
          <cell r="B1064" t="str">
            <v>Current version</v>
          </cell>
          <cell r="C1064" t="str">
            <v>V2009R2</v>
          </cell>
          <cell r="D1064" t="str">
            <v>Labor Rate</v>
          </cell>
          <cell r="E1064" t="str">
            <v>China</v>
          </cell>
          <cell r="F1064" t="str">
            <v>China</v>
          </cell>
          <cell r="G1064" t="str">
            <v>上海办事处</v>
          </cell>
          <cell r="H1064" t="str">
            <v>0022</v>
          </cell>
          <cell r="I1064" t="str">
            <v>上海</v>
          </cell>
          <cell r="J1064" t="str">
            <v>Shanghai</v>
          </cell>
          <cell r="K1064" t="str">
            <v>Chinese employees</v>
          </cell>
          <cell r="L1064" t="str">
            <v>L3</v>
          </cell>
          <cell r="M1064" t="str">
            <v>ALL</v>
          </cell>
          <cell r="N1064" t="str">
            <v>FLPC(含奖金)</v>
          </cell>
          <cell r="O1064" t="str">
            <v>USD/小时</v>
          </cell>
          <cell r="P1064">
            <v>32.57</v>
          </cell>
        </row>
        <row r="1065">
          <cell r="A1065" t="str">
            <v>Shanghai - Chinese employees - L4</v>
          </cell>
          <cell r="B1065" t="str">
            <v>Current version</v>
          </cell>
          <cell r="C1065" t="str">
            <v>V2009R2</v>
          </cell>
          <cell r="D1065" t="str">
            <v>Labor Rate</v>
          </cell>
          <cell r="E1065" t="str">
            <v>China</v>
          </cell>
          <cell r="F1065" t="str">
            <v>China</v>
          </cell>
          <cell r="G1065" t="str">
            <v>上海办事处</v>
          </cell>
          <cell r="H1065" t="str">
            <v>0022</v>
          </cell>
          <cell r="I1065" t="str">
            <v>上海</v>
          </cell>
          <cell r="J1065" t="str">
            <v>Shanghai</v>
          </cell>
          <cell r="K1065" t="str">
            <v>Chinese employees</v>
          </cell>
          <cell r="L1065" t="str">
            <v>L4</v>
          </cell>
          <cell r="M1065" t="str">
            <v>ALL</v>
          </cell>
          <cell r="N1065" t="str">
            <v>FLPC(含奖金)</v>
          </cell>
          <cell r="O1065" t="str">
            <v>USD/小时</v>
          </cell>
          <cell r="P1065">
            <v>56.75</v>
          </cell>
        </row>
        <row r="1066">
          <cell r="A1066" t="str">
            <v>Nanjing - Chinese employees - L0</v>
          </cell>
          <cell r="B1066" t="str">
            <v>Current version</v>
          </cell>
          <cell r="C1066" t="str">
            <v>V2009R2</v>
          </cell>
          <cell r="D1066" t="str">
            <v>Labor Rate</v>
          </cell>
          <cell r="E1066" t="str">
            <v>China</v>
          </cell>
          <cell r="F1066" t="str">
            <v>China</v>
          </cell>
          <cell r="G1066" t="str">
            <v>南京办事处</v>
          </cell>
          <cell r="H1066" t="str">
            <v>0023</v>
          </cell>
          <cell r="I1066" t="str">
            <v>南京</v>
          </cell>
          <cell r="J1066" t="str">
            <v>Nanjing</v>
          </cell>
          <cell r="K1066" t="str">
            <v>Chinese employees</v>
          </cell>
          <cell r="L1066" t="str">
            <v>L0</v>
          </cell>
          <cell r="M1066" t="str">
            <v>ALL</v>
          </cell>
          <cell r="N1066" t="str">
            <v>FLPC(含奖金)</v>
          </cell>
          <cell r="O1066" t="str">
            <v>USD/小时</v>
          </cell>
          <cell r="P1066">
            <v>11.56</v>
          </cell>
        </row>
        <row r="1067">
          <cell r="A1067" t="str">
            <v>Nanjing - Chinese employees - L1</v>
          </cell>
          <cell r="B1067" t="str">
            <v>Current version</v>
          </cell>
          <cell r="C1067" t="str">
            <v>V2009R2</v>
          </cell>
          <cell r="D1067" t="str">
            <v>Labor Rate</v>
          </cell>
          <cell r="E1067" t="str">
            <v>China</v>
          </cell>
          <cell r="F1067" t="str">
            <v>China</v>
          </cell>
          <cell r="G1067" t="str">
            <v>南京办事处</v>
          </cell>
          <cell r="H1067" t="str">
            <v>0023</v>
          </cell>
          <cell r="I1067" t="str">
            <v>南京</v>
          </cell>
          <cell r="J1067" t="str">
            <v>Nanjing</v>
          </cell>
          <cell r="K1067" t="str">
            <v>Chinese employees</v>
          </cell>
          <cell r="L1067" t="str">
            <v>L1</v>
          </cell>
          <cell r="M1067" t="str">
            <v>ALL</v>
          </cell>
          <cell r="N1067" t="str">
            <v>FLPC(含奖金)</v>
          </cell>
          <cell r="O1067" t="str">
            <v>USD/小时</v>
          </cell>
          <cell r="P1067">
            <v>16.82</v>
          </cell>
        </row>
        <row r="1068">
          <cell r="A1068" t="str">
            <v>Nanjing - Chinese employees - L2</v>
          </cell>
          <cell r="B1068" t="str">
            <v>Current version</v>
          </cell>
          <cell r="C1068" t="str">
            <v>V2009R2</v>
          </cell>
          <cell r="D1068" t="str">
            <v>Labor Rate</v>
          </cell>
          <cell r="E1068" t="str">
            <v>China</v>
          </cell>
          <cell r="F1068" t="str">
            <v>China</v>
          </cell>
          <cell r="G1068" t="str">
            <v>南京办事处</v>
          </cell>
          <cell r="H1068" t="str">
            <v>0023</v>
          </cell>
          <cell r="I1068" t="str">
            <v>南京</v>
          </cell>
          <cell r="J1068" t="str">
            <v>Nanjing</v>
          </cell>
          <cell r="K1068" t="str">
            <v>Chinese employees</v>
          </cell>
          <cell r="L1068" t="str">
            <v>L2</v>
          </cell>
          <cell r="M1068" t="str">
            <v>ALL</v>
          </cell>
          <cell r="N1068" t="str">
            <v>FLPC(含奖金)</v>
          </cell>
          <cell r="O1068" t="str">
            <v>USD/小时</v>
          </cell>
          <cell r="P1068">
            <v>23.63</v>
          </cell>
        </row>
        <row r="1069">
          <cell r="A1069" t="str">
            <v>Nanjing - Chinese employees - L3</v>
          </cell>
          <cell r="B1069" t="str">
            <v>Current version</v>
          </cell>
          <cell r="C1069" t="str">
            <v>V2009R2</v>
          </cell>
          <cell r="D1069" t="str">
            <v>Labor Rate</v>
          </cell>
          <cell r="E1069" t="str">
            <v>China</v>
          </cell>
          <cell r="F1069" t="str">
            <v>China</v>
          </cell>
          <cell r="G1069" t="str">
            <v>南京办事处</v>
          </cell>
          <cell r="H1069" t="str">
            <v>0023</v>
          </cell>
          <cell r="I1069" t="str">
            <v>南京</v>
          </cell>
          <cell r="J1069" t="str">
            <v>Nanjing</v>
          </cell>
          <cell r="K1069" t="str">
            <v>Chinese employees</v>
          </cell>
          <cell r="L1069" t="str">
            <v>L3</v>
          </cell>
          <cell r="M1069" t="str">
            <v>ALL</v>
          </cell>
          <cell r="N1069" t="str">
            <v>FLPC(含奖金)</v>
          </cell>
          <cell r="O1069" t="str">
            <v>USD/小时</v>
          </cell>
          <cell r="P1069">
            <v>32.57</v>
          </cell>
        </row>
        <row r="1070">
          <cell r="A1070" t="str">
            <v>Nanjing - Chinese employees - L4</v>
          </cell>
          <cell r="B1070" t="str">
            <v>Current version</v>
          </cell>
          <cell r="C1070" t="str">
            <v>V2009R2</v>
          </cell>
          <cell r="D1070" t="str">
            <v>Labor Rate</v>
          </cell>
          <cell r="E1070" t="str">
            <v>China</v>
          </cell>
          <cell r="F1070" t="str">
            <v>China</v>
          </cell>
          <cell r="G1070" t="str">
            <v>南京办事处</v>
          </cell>
          <cell r="H1070" t="str">
            <v>0023</v>
          </cell>
          <cell r="I1070" t="str">
            <v>南京</v>
          </cell>
          <cell r="J1070" t="str">
            <v>Nanjing</v>
          </cell>
          <cell r="K1070" t="str">
            <v>Chinese employees</v>
          </cell>
          <cell r="L1070" t="str">
            <v>L4</v>
          </cell>
          <cell r="M1070" t="str">
            <v>ALL</v>
          </cell>
          <cell r="N1070" t="str">
            <v>FLPC(含奖金)</v>
          </cell>
          <cell r="O1070" t="str">
            <v>USD/小时</v>
          </cell>
          <cell r="P1070">
            <v>56.75</v>
          </cell>
        </row>
        <row r="1071">
          <cell r="A1071" t="str">
            <v>Hangzhou - Chinese employees - L0</v>
          </cell>
          <cell r="B1071" t="str">
            <v>Current version</v>
          </cell>
          <cell r="C1071" t="str">
            <v>V2009R2</v>
          </cell>
          <cell r="D1071" t="str">
            <v>Labor Rate</v>
          </cell>
          <cell r="E1071" t="str">
            <v>China</v>
          </cell>
          <cell r="F1071" t="str">
            <v>China</v>
          </cell>
          <cell r="G1071" t="str">
            <v>杭州办事处</v>
          </cell>
          <cell r="H1071" t="str">
            <v>0024</v>
          </cell>
          <cell r="I1071" t="str">
            <v>杭州</v>
          </cell>
          <cell r="J1071" t="str">
            <v>Hangzhou</v>
          </cell>
          <cell r="K1071" t="str">
            <v>Chinese employees</v>
          </cell>
          <cell r="L1071" t="str">
            <v>L0</v>
          </cell>
          <cell r="M1071" t="str">
            <v>ALL</v>
          </cell>
          <cell r="N1071" t="str">
            <v>FLPC(含奖金)</v>
          </cell>
          <cell r="O1071" t="str">
            <v>USD/小时</v>
          </cell>
          <cell r="P1071">
            <v>11.56</v>
          </cell>
        </row>
        <row r="1072">
          <cell r="A1072" t="str">
            <v>Hangzhou - Chinese employees - L1</v>
          </cell>
          <cell r="B1072" t="str">
            <v>Current version</v>
          </cell>
          <cell r="C1072" t="str">
            <v>V2009R2</v>
          </cell>
          <cell r="D1072" t="str">
            <v>Labor Rate</v>
          </cell>
          <cell r="E1072" t="str">
            <v>China</v>
          </cell>
          <cell r="F1072" t="str">
            <v>China</v>
          </cell>
          <cell r="G1072" t="str">
            <v>杭州办事处</v>
          </cell>
          <cell r="H1072" t="str">
            <v>0024</v>
          </cell>
          <cell r="I1072" t="str">
            <v>杭州</v>
          </cell>
          <cell r="J1072" t="str">
            <v>Hangzhou</v>
          </cell>
          <cell r="K1072" t="str">
            <v>Chinese employees</v>
          </cell>
          <cell r="L1072" t="str">
            <v>L1</v>
          </cell>
          <cell r="M1072" t="str">
            <v>ALL</v>
          </cell>
          <cell r="N1072" t="str">
            <v>FLPC(含奖金)</v>
          </cell>
          <cell r="O1072" t="str">
            <v>USD/小时</v>
          </cell>
          <cell r="P1072">
            <v>16.82</v>
          </cell>
        </row>
        <row r="1073">
          <cell r="A1073" t="str">
            <v>Hangzhou - Chinese employees - L2</v>
          </cell>
          <cell r="B1073" t="str">
            <v>Current version</v>
          </cell>
          <cell r="C1073" t="str">
            <v>V2009R2</v>
          </cell>
          <cell r="D1073" t="str">
            <v>Labor Rate</v>
          </cell>
          <cell r="E1073" t="str">
            <v>China</v>
          </cell>
          <cell r="F1073" t="str">
            <v>China</v>
          </cell>
          <cell r="G1073" t="str">
            <v>杭州办事处</v>
          </cell>
          <cell r="H1073" t="str">
            <v>0024</v>
          </cell>
          <cell r="I1073" t="str">
            <v>杭州</v>
          </cell>
          <cell r="J1073" t="str">
            <v>Hangzhou</v>
          </cell>
          <cell r="K1073" t="str">
            <v>Chinese employees</v>
          </cell>
          <cell r="L1073" t="str">
            <v>L2</v>
          </cell>
          <cell r="M1073" t="str">
            <v>ALL</v>
          </cell>
          <cell r="N1073" t="str">
            <v>FLPC(含奖金)</v>
          </cell>
          <cell r="O1073" t="str">
            <v>USD/小时</v>
          </cell>
          <cell r="P1073">
            <v>23.63</v>
          </cell>
        </row>
        <row r="1074">
          <cell r="A1074" t="str">
            <v>Hangzhou - Chinese employees - L3</v>
          </cell>
          <cell r="B1074" t="str">
            <v>Current version</v>
          </cell>
          <cell r="C1074" t="str">
            <v>V2009R2</v>
          </cell>
          <cell r="D1074" t="str">
            <v>Labor Rate</v>
          </cell>
          <cell r="E1074" t="str">
            <v>China</v>
          </cell>
          <cell r="F1074" t="str">
            <v>China</v>
          </cell>
          <cell r="G1074" t="str">
            <v>杭州办事处</v>
          </cell>
          <cell r="H1074" t="str">
            <v>0024</v>
          </cell>
          <cell r="I1074" t="str">
            <v>杭州</v>
          </cell>
          <cell r="J1074" t="str">
            <v>Hangzhou</v>
          </cell>
          <cell r="K1074" t="str">
            <v>Chinese employees</v>
          </cell>
          <cell r="L1074" t="str">
            <v>L3</v>
          </cell>
          <cell r="M1074" t="str">
            <v>ALL</v>
          </cell>
          <cell r="N1074" t="str">
            <v>FLPC(含奖金)</v>
          </cell>
          <cell r="O1074" t="str">
            <v>USD/小时</v>
          </cell>
          <cell r="P1074">
            <v>32.57</v>
          </cell>
        </row>
        <row r="1075">
          <cell r="A1075" t="str">
            <v>Hangzhou - Chinese employees - L4</v>
          </cell>
          <cell r="B1075" t="str">
            <v>Current version</v>
          </cell>
          <cell r="C1075" t="str">
            <v>V2009R2</v>
          </cell>
          <cell r="D1075" t="str">
            <v>Labor Rate</v>
          </cell>
          <cell r="E1075" t="str">
            <v>China</v>
          </cell>
          <cell r="F1075" t="str">
            <v>China</v>
          </cell>
          <cell r="G1075" t="str">
            <v>杭州办事处</v>
          </cell>
          <cell r="H1075" t="str">
            <v>0024</v>
          </cell>
          <cell r="I1075" t="str">
            <v>杭州</v>
          </cell>
          <cell r="J1075" t="str">
            <v>Hangzhou</v>
          </cell>
          <cell r="K1075" t="str">
            <v>Chinese employees</v>
          </cell>
          <cell r="L1075" t="str">
            <v>L4</v>
          </cell>
          <cell r="M1075" t="str">
            <v>ALL</v>
          </cell>
          <cell r="N1075" t="str">
            <v>FLPC(含奖金)</v>
          </cell>
          <cell r="O1075" t="str">
            <v>USD/小时</v>
          </cell>
          <cell r="P1075">
            <v>56.75</v>
          </cell>
        </row>
        <row r="1076">
          <cell r="A1076" t="str">
            <v>Hefei - Chinese employees - L0</v>
          </cell>
          <cell r="B1076" t="str">
            <v>Current version</v>
          </cell>
          <cell r="C1076" t="str">
            <v>V2009R2</v>
          </cell>
          <cell r="D1076" t="str">
            <v>Labor Rate</v>
          </cell>
          <cell r="E1076" t="str">
            <v>China</v>
          </cell>
          <cell r="F1076" t="str">
            <v>China</v>
          </cell>
          <cell r="G1076" t="str">
            <v>合肥办事处</v>
          </cell>
          <cell r="H1076" t="str">
            <v>0025</v>
          </cell>
          <cell r="I1076" t="str">
            <v>合肥</v>
          </cell>
          <cell r="J1076" t="str">
            <v>Hefei</v>
          </cell>
          <cell r="K1076" t="str">
            <v>Chinese employees</v>
          </cell>
          <cell r="L1076" t="str">
            <v>L0</v>
          </cell>
          <cell r="M1076" t="str">
            <v>ALL</v>
          </cell>
          <cell r="N1076" t="str">
            <v>FLPC(含奖金)</v>
          </cell>
          <cell r="O1076" t="str">
            <v>USD/小时</v>
          </cell>
          <cell r="P1076">
            <v>11.56</v>
          </cell>
        </row>
        <row r="1077">
          <cell r="A1077" t="str">
            <v>Hefei - Chinese employees - L1</v>
          </cell>
          <cell r="B1077" t="str">
            <v>Current version</v>
          </cell>
          <cell r="C1077" t="str">
            <v>V2009R2</v>
          </cell>
          <cell r="D1077" t="str">
            <v>Labor Rate</v>
          </cell>
          <cell r="E1077" t="str">
            <v>China</v>
          </cell>
          <cell r="F1077" t="str">
            <v>China</v>
          </cell>
          <cell r="G1077" t="str">
            <v>合肥办事处</v>
          </cell>
          <cell r="H1077" t="str">
            <v>0025</v>
          </cell>
          <cell r="I1077" t="str">
            <v>合肥</v>
          </cell>
          <cell r="J1077" t="str">
            <v>Hefei</v>
          </cell>
          <cell r="K1077" t="str">
            <v>Chinese employees</v>
          </cell>
          <cell r="L1077" t="str">
            <v>L1</v>
          </cell>
          <cell r="M1077" t="str">
            <v>ALL</v>
          </cell>
          <cell r="N1077" t="str">
            <v>FLPC(含奖金)</v>
          </cell>
          <cell r="O1077" t="str">
            <v>USD/小时</v>
          </cell>
          <cell r="P1077">
            <v>16.82</v>
          </cell>
        </row>
        <row r="1078">
          <cell r="A1078" t="str">
            <v>Hefei - Chinese employees - L2</v>
          </cell>
          <cell r="B1078" t="str">
            <v>Current version</v>
          </cell>
          <cell r="C1078" t="str">
            <v>V2009R2</v>
          </cell>
          <cell r="D1078" t="str">
            <v>Labor Rate</v>
          </cell>
          <cell r="E1078" t="str">
            <v>China</v>
          </cell>
          <cell r="F1078" t="str">
            <v>China</v>
          </cell>
          <cell r="G1078" t="str">
            <v>合肥办事处</v>
          </cell>
          <cell r="H1078" t="str">
            <v>0025</v>
          </cell>
          <cell r="I1078" t="str">
            <v>合肥</v>
          </cell>
          <cell r="J1078" t="str">
            <v>Hefei</v>
          </cell>
          <cell r="K1078" t="str">
            <v>Chinese employees</v>
          </cell>
          <cell r="L1078" t="str">
            <v>L2</v>
          </cell>
          <cell r="M1078" t="str">
            <v>ALL</v>
          </cell>
          <cell r="N1078" t="str">
            <v>FLPC(含奖金)</v>
          </cell>
          <cell r="O1078" t="str">
            <v>USD/小时</v>
          </cell>
          <cell r="P1078">
            <v>23.63</v>
          </cell>
        </row>
        <row r="1079">
          <cell r="A1079" t="str">
            <v>Hefei - Chinese employees - L3</v>
          </cell>
          <cell r="B1079" t="str">
            <v>Current version</v>
          </cell>
          <cell r="C1079" t="str">
            <v>V2009R2</v>
          </cell>
          <cell r="D1079" t="str">
            <v>Labor Rate</v>
          </cell>
          <cell r="E1079" t="str">
            <v>China</v>
          </cell>
          <cell r="F1079" t="str">
            <v>China</v>
          </cell>
          <cell r="G1079" t="str">
            <v>合肥办事处</v>
          </cell>
          <cell r="H1079" t="str">
            <v>0025</v>
          </cell>
          <cell r="I1079" t="str">
            <v>合肥</v>
          </cell>
          <cell r="J1079" t="str">
            <v>Hefei</v>
          </cell>
          <cell r="K1079" t="str">
            <v>Chinese employees</v>
          </cell>
          <cell r="L1079" t="str">
            <v>L3</v>
          </cell>
          <cell r="M1079" t="str">
            <v>ALL</v>
          </cell>
          <cell r="N1079" t="str">
            <v>FLPC(含奖金)</v>
          </cell>
          <cell r="O1079" t="str">
            <v>USD/小时</v>
          </cell>
          <cell r="P1079">
            <v>32.57</v>
          </cell>
        </row>
        <row r="1080">
          <cell r="A1080" t="str">
            <v>Hefei - Chinese employees - L4</v>
          </cell>
          <cell r="B1080" t="str">
            <v>Current version</v>
          </cell>
          <cell r="C1080" t="str">
            <v>V2009R2</v>
          </cell>
          <cell r="D1080" t="str">
            <v>Labor Rate</v>
          </cell>
          <cell r="E1080" t="str">
            <v>China</v>
          </cell>
          <cell r="F1080" t="str">
            <v>China</v>
          </cell>
          <cell r="G1080" t="str">
            <v>合肥办事处</v>
          </cell>
          <cell r="H1080" t="str">
            <v>0025</v>
          </cell>
          <cell r="I1080" t="str">
            <v>合肥</v>
          </cell>
          <cell r="J1080" t="str">
            <v>Hefei</v>
          </cell>
          <cell r="K1080" t="str">
            <v>Chinese employees</v>
          </cell>
          <cell r="L1080" t="str">
            <v>L4</v>
          </cell>
          <cell r="M1080" t="str">
            <v>ALL</v>
          </cell>
          <cell r="N1080" t="str">
            <v>FLPC(含奖金)</v>
          </cell>
          <cell r="O1080" t="str">
            <v>USD/小时</v>
          </cell>
          <cell r="P1080">
            <v>56.75</v>
          </cell>
        </row>
        <row r="1081">
          <cell r="A1081" t="str">
            <v>Jinan - Chinese employees - L0</v>
          </cell>
          <cell r="B1081" t="str">
            <v>Current version</v>
          </cell>
          <cell r="C1081" t="str">
            <v>V2009R2</v>
          </cell>
          <cell r="D1081" t="str">
            <v>Labor Rate</v>
          </cell>
          <cell r="E1081" t="str">
            <v>China</v>
          </cell>
          <cell r="F1081" t="str">
            <v>China</v>
          </cell>
          <cell r="G1081" t="str">
            <v>济南办事处</v>
          </cell>
          <cell r="H1081" t="str">
            <v>0026</v>
          </cell>
          <cell r="I1081" t="str">
            <v>济南</v>
          </cell>
          <cell r="J1081" t="str">
            <v>Jinan</v>
          </cell>
          <cell r="K1081" t="str">
            <v>Chinese employees</v>
          </cell>
          <cell r="L1081" t="str">
            <v>L0</v>
          </cell>
          <cell r="M1081" t="str">
            <v>ALL</v>
          </cell>
          <cell r="N1081" t="str">
            <v>FLPC(含奖金)</v>
          </cell>
          <cell r="O1081" t="str">
            <v>USD/小时</v>
          </cell>
          <cell r="P1081">
            <v>11.56</v>
          </cell>
        </row>
        <row r="1082">
          <cell r="A1082" t="str">
            <v>Jinan - Chinese employees - L1</v>
          </cell>
          <cell r="B1082" t="str">
            <v>Current version</v>
          </cell>
          <cell r="C1082" t="str">
            <v>V2009R2</v>
          </cell>
          <cell r="D1082" t="str">
            <v>Labor Rate</v>
          </cell>
          <cell r="E1082" t="str">
            <v>China</v>
          </cell>
          <cell r="F1082" t="str">
            <v>China</v>
          </cell>
          <cell r="G1082" t="str">
            <v>济南办事处</v>
          </cell>
          <cell r="H1082" t="str">
            <v>0026</v>
          </cell>
          <cell r="I1082" t="str">
            <v>济南</v>
          </cell>
          <cell r="J1082" t="str">
            <v>Jinan</v>
          </cell>
          <cell r="K1082" t="str">
            <v>Chinese employees</v>
          </cell>
          <cell r="L1082" t="str">
            <v>L1</v>
          </cell>
          <cell r="M1082" t="str">
            <v>ALL</v>
          </cell>
          <cell r="N1082" t="str">
            <v>FLPC(含奖金)</v>
          </cell>
          <cell r="O1082" t="str">
            <v>USD/小时</v>
          </cell>
          <cell r="P1082">
            <v>16.82</v>
          </cell>
        </row>
        <row r="1083">
          <cell r="A1083" t="str">
            <v>Jinan - Chinese employees - L2</v>
          </cell>
          <cell r="B1083" t="str">
            <v>Current version</v>
          </cell>
          <cell r="C1083" t="str">
            <v>V2009R2</v>
          </cell>
          <cell r="D1083" t="str">
            <v>Labor Rate</v>
          </cell>
          <cell r="E1083" t="str">
            <v>China</v>
          </cell>
          <cell r="F1083" t="str">
            <v>China</v>
          </cell>
          <cell r="G1083" t="str">
            <v>济南办事处</v>
          </cell>
          <cell r="H1083" t="str">
            <v>0026</v>
          </cell>
          <cell r="I1083" t="str">
            <v>济南</v>
          </cell>
          <cell r="J1083" t="str">
            <v>Jinan</v>
          </cell>
          <cell r="K1083" t="str">
            <v>Chinese employees</v>
          </cell>
          <cell r="L1083" t="str">
            <v>L2</v>
          </cell>
          <cell r="M1083" t="str">
            <v>ALL</v>
          </cell>
          <cell r="N1083" t="str">
            <v>FLPC(含奖金)</v>
          </cell>
          <cell r="O1083" t="str">
            <v>USD/小时</v>
          </cell>
          <cell r="P1083">
            <v>23.63</v>
          </cell>
        </row>
        <row r="1084">
          <cell r="A1084" t="str">
            <v>Jinan - Chinese employees - L3</v>
          </cell>
          <cell r="B1084" t="str">
            <v>Current version</v>
          </cell>
          <cell r="C1084" t="str">
            <v>V2009R2</v>
          </cell>
          <cell r="D1084" t="str">
            <v>Labor Rate</v>
          </cell>
          <cell r="E1084" t="str">
            <v>China</v>
          </cell>
          <cell r="F1084" t="str">
            <v>China</v>
          </cell>
          <cell r="G1084" t="str">
            <v>济南办事处</v>
          </cell>
          <cell r="H1084" t="str">
            <v>0026</v>
          </cell>
          <cell r="I1084" t="str">
            <v>济南</v>
          </cell>
          <cell r="J1084" t="str">
            <v>Jinan</v>
          </cell>
          <cell r="K1084" t="str">
            <v>Chinese employees</v>
          </cell>
          <cell r="L1084" t="str">
            <v>L3</v>
          </cell>
          <cell r="M1084" t="str">
            <v>ALL</v>
          </cell>
          <cell r="N1084" t="str">
            <v>FLPC(含奖金)</v>
          </cell>
          <cell r="O1084" t="str">
            <v>USD/小时</v>
          </cell>
          <cell r="P1084">
            <v>32.57</v>
          </cell>
        </row>
        <row r="1085">
          <cell r="A1085" t="str">
            <v>Jinan - Chinese employees - L4</v>
          </cell>
          <cell r="B1085" t="str">
            <v>Current version</v>
          </cell>
          <cell r="C1085" t="str">
            <v>V2009R2</v>
          </cell>
          <cell r="D1085" t="str">
            <v>Labor Rate</v>
          </cell>
          <cell r="E1085" t="str">
            <v>China</v>
          </cell>
          <cell r="F1085" t="str">
            <v>China</v>
          </cell>
          <cell r="G1085" t="str">
            <v>济南办事处</v>
          </cell>
          <cell r="H1085" t="str">
            <v>0026</v>
          </cell>
          <cell r="I1085" t="str">
            <v>济南</v>
          </cell>
          <cell r="J1085" t="str">
            <v>Jinan</v>
          </cell>
          <cell r="K1085" t="str">
            <v>Chinese employees</v>
          </cell>
          <cell r="L1085" t="str">
            <v>L4</v>
          </cell>
          <cell r="M1085" t="str">
            <v>ALL</v>
          </cell>
          <cell r="N1085" t="str">
            <v>FLPC(含奖金)</v>
          </cell>
          <cell r="O1085" t="str">
            <v>USD/小时</v>
          </cell>
          <cell r="P1085">
            <v>56.75</v>
          </cell>
        </row>
        <row r="1086">
          <cell r="A1086" t="str">
            <v>Fuzhou - Chinese employees - L0</v>
          </cell>
          <cell r="B1086" t="str">
            <v>Current version</v>
          </cell>
          <cell r="C1086" t="str">
            <v>V2009R2</v>
          </cell>
          <cell r="D1086" t="str">
            <v>Labor Rate</v>
          </cell>
          <cell r="E1086" t="str">
            <v>China</v>
          </cell>
          <cell r="F1086" t="str">
            <v>China</v>
          </cell>
          <cell r="G1086" t="str">
            <v>福州办事处</v>
          </cell>
          <cell r="H1086" t="str">
            <v>0028</v>
          </cell>
          <cell r="I1086" t="str">
            <v>福州</v>
          </cell>
          <cell r="J1086" t="str">
            <v>Fuzhou</v>
          </cell>
          <cell r="K1086" t="str">
            <v>Chinese employees</v>
          </cell>
          <cell r="L1086" t="str">
            <v>L0</v>
          </cell>
          <cell r="M1086" t="str">
            <v>ALL</v>
          </cell>
          <cell r="N1086" t="str">
            <v>FLPC(含奖金)</v>
          </cell>
          <cell r="O1086" t="str">
            <v>USD/小时</v>
          </cell>
          <cell r="P1086">
            <v>11.56</v>
          </cell>
        </row>
        <row r="1087">
          <cell r="A1087" t="str">
            <v>Khabarovsk - Chinese employees - L0</v>
          </cell>
          <cell r="B1087" t="str">
            <v>Current version</v>
          </cell>
          <cell r="C1087" t="str">
            <v>V2009R2</v>
          </cell>
          <cell r="D1087" t="str">
            <v>Labor Rate</v>
          </cell>
          <cell r="E1087" t="str">
            <v>CIS</v>
          </cell>
          <cell r="F1087" t="str">
            <v>Russia</v>
          </cell>
          <cell r="G1087" t="str">
            <v>Russia Rep.O.</v>
          </cell>
          <cell r="H1087" t="str">
            <v>3031</v>
          </cell>
          <cell r="I1087" t="str">
            <v>哈巴罗夫斯克</v>
          </cell>
          <cell r="J1087" t="str">
            <v>Khabarovsk</v>
          </cell>
          <cell r="K1087" t="str">
            <v>Chinese employees</v>
          </cell>
          <cell r="L1087" t="str">
            <v>L0</v>
          </cell>
          <cell r="M1087" t="str">
            <v>ALL</v>
          </cell>
          <cell r="N1087" t="str">
            <v>FLPC(含奖金)</v>
          </cell>
          <cell r="O1087" t="str">
            <v>USD/小时</v>
          </cell>
          <cell r="P1087">
            <v>57.12</v>
          </cell>
        </row>
        <row r="1088">
          <cell r="A1088" t="str">
            <v>Khabarovsk - Chinese employees - L1</v>
          </cell>
          <cell r="B1088" t="str">
            <v>Current version</v>
          </cell>
          <cell r="C1088" t="str">
            <v>V2009R2</v>
          </cell>
          <cell r="D1088" t="str">
            <v>Labor Rate</v>
          </cell>
          <cell r="E1088" t="str">
            <v>CIS</v>
          </cell>
          <cell r="F1088" t="str">
            <v>Russia</v>
          </cell>
          <cell r="G1088" t="str">
            <v>Russia Rep.O.</v>
          </cell>
          <cell r="H1088" t="str">
            <v>3031</v>
          </cell>
          <cell r="I1088" t="str">
            <v>哈巴罗夫斯克</v>
          </cell>
          <cell r="J1088" t="str">
            <v>Khabarovsk</v>
          </cell>
          <cell r="K1088" t="str">
            <v>Chinese employees</v>
          </cell>
          <cell r="L1088" t="str">
            <v>L1</v>
          </cell>
          <cell r="M1088" t="str">
            <v>ALL</v>
          </cell>
          <cell r="N1088" t="str">
            <v>FLPC(含奖金)</v>
          </cell>
          <cell r="O1088" t="str">
            <v>USD/小时</v>
          </cell>
          <cell r="P1088">
            <v>63.68</v>
          </cell>
        </row>
        <row r="1089">
          <cell r="A1089" t="str">
            <v>Khabarovsk - Chinese employees - L2</v>
          </cell>
          <cell r="B1089" t="str">
            <v>Current version</v>
          </cell>
          <cell r="C1089" t="str">
            <v>V2009R2</v>
          </cell>
          <cell r="D1089" t="str">
            <v>Labor Rate</v>
          </cell>
          <cell r="E1089" t="str">
            <v>CIS</v>
          </cell>
          <cell r="F1089" t="str">
            <v>Russia</v>
          </cell>
          <cell r="G1089" t="str">
            <v>Russia Rep.O.</v>
          </cell>
          <cell r="H1089" t="str">
            <v>3031</v>
          </cell>
          <cell r="I1089" t="str">
            <v>哈巴罗夫斯克</v>
          </cell>
          <cell r="J1089" t="str">
            <v>Khabarovsk</v>
          </cell>
          <cell r="K1089" t="str">
            <v>Chinese employees</v>
          </cell>
          <cell r="L1089" t="str">
            <v>L2</v>
          </cell>
          <cell r="M1089" t="str">
            <v>ALL</v>
          </cell>
          <cell r="N1089" t="str">
            <v>FLPC(含奖金)</v>
          </cell>
          <cell r="O1089" t="str">
            <v>USD/小时</v>
          </cell>
          <cell r="P1089">
            <v>71.930000000000007</v>
          </cell>
        </row>
        <row r="1090">
          <cell r="A1090" t="str">
            <v>Khabarovsk - Chinese employees - L3</v>
          </cell>
          <cell r="B1090" t="str">
            <v>Current version</v>
          </cell>
          <cell r="C1090" t="str">
            <v>V2009R2</v>
          </cell>
          <cell r="D1090" t="str">
            <v>Labor Rate</v>
          </cell>
          <cell r="E1090" t="str">
            <v>CIS</v>
          </cell>
          <cell r="F1090" t="str">
            <v>Russia</v>
          </cell>
          <cell r="G1090" t="str">
            <v>Russia Rep.O.</v>
          </cell>
          <cell r="H1090" t="str">
            <v>3031</v>
          </cell>
          <cell r="I1090" t="str">
            <v>哈巴罗夫斯克</v>
          </cell>
          <cell r="J1090" t="str">
            <v>Khabarovsk</v>
          </cell>
          <cell r="K1090" t="str">
            <v>Chinese employees</v>
          </cell>
          <cell r="L1090" t="str">
            <v>L3</v>
          </cell>
          <cell r="M1090" t="str">
            <v>ALL</v>
          </cell>
          <cell r="N1090" t="str">
            <v>FLPC(含奖金)</v>
          </cell>
          <cell r="O1090" t="str">
            <v>USD/小时</v>
          </cell>
          <cell r="P1090">
            <v>83.76</v>
          </cell>
        </row>
        <row r="1091">
          <cell r="A1091" t="str">
            <v>Khabarovsk - Chinese employees - L4</v>
          </cell>
          <cell r="B1091" t="str">
            <v>Current version</v>
          </cell>
          <cell r="C1091" t="str">
            <v>V2009R2</v>
          </cell>
          <cell r="D1091" t="str">
            <v>Labor Rate</v>
          </cell>
          <cell r="E1091" t="str">
            <v>CIS</v>
          </cell>
          <cell r="F1091" t="str">
            <v>Russia</v>
          </cell>
          <cell r="G1091" t="str">
            <v>Russia Rep.O.</v>
          </cell>
          <cell r="H1091" t="str">
            <v>3031</v>
          </cell>
          <cell r="I1091" t="str">
            <v>哈巴罗夫斯克</v>
          </cell>
          <cell r="J1091" t="str">
            <v>Khabarovsk</v>
          </cell>
          <cell r="K1091" t="str">
            <v>Chinese employees</v>
          </cell>
          <cell r="L1091" t="str">
            <v>L4</v>
          </cell>
          <cell r="M1091" t="str">
            <v>ALL</v>
          </cell>
          <cell r="N1091" t="str">
            <v>FLPC(含奖金)</v>
          </cell>
          <cell r="O1091" t="str">
            <v>USD/小时</v>
          </cell>
          <cell r="P1091">
            <v>126.27</v>
          </cell>
        </row>
        <row r="1092">
          <cell r="A1092" t="str">
            <v>Ukraine - Chinese employees - L0</v>
          </cell>
          <cell r="B1092" t="str">
            <v>Current version</v>
          </cell>
          <cell r="C1092" t="str">
            <v>V2009R2</v>
          </cell>
          <cell r="D1092" t="str">
            <v>Labor Rate</v>
          </cell>
          <cell r="E1092" t="str">
            <v>CIS</v>
          </cell>
          <cell r="F1092" t="str">
            <v>Russia</v>
          </cell>
          <cell r="G1092" t="str">
            <v>Ukraine Rep.O.</v>
          </cell>
          <cell r="H1092" t="str">
            <v>3306</v>
          </cell>
          <cell r="I1092" t="str">
            <v>乌克兰</v>
          </cell>
          <cell r="J1092" t="str">
            <v>Ukraine</v>
          </cell>
          <cell r="K1092" t="str">
            <v>Chinese employees</v>
          </cell>
          <cell r="L1092" t="str">
            <v>L0</v>
          </cell>
          <cell r="M1092" t="str">
            <v>ALL</v>
          </cell>
          <cell r="N1092" t="str">
            <v>FLPC(含奖金)</v>
          </cell>
          <cell r="O1092" t="str">
            <v>USD/小时</v>
          </cell>
          <cell r="P1092">
            <v>52.9</v>
          </cell>
        </row>
        <row r="1093">
          <cell r="A1093" t="str">
            <v>Ukraine - Chinese employees - L1</v>
          </cell>
          <cell r="B1093" t="str">
            <v>Current version</v>
          </cell>
          <cell r="C1093" t="str">
            <v>V2009R2</v>
          </cell>
          <cell r="D1093" t="str">
            <v>Labor Rate</v>
          </cell>
          <cell r="E1093" t="str">
            <v>CIS</v>
          </cell>
          <cell r="F1093" t="str">
            <v>Russia</v>
          </cell>
          <cell r="G1093" t="str">
            <v>Ukraine Rep.O.</v>
          </cell>
          <cell r="H1093" t="str">
            <v>3306</v>
          </cell>
          <cell r="I1093" t="str">
            <v>乌克兰</v>
          </cell>
          <cell r="J1093" t="str">
            <v>Ukraine</v>
          </cell>
          <cell r="K1093" t="str">
            <v>Chinese employees</v>
          </cell>
          <cell r="L1093" t="str">
            <v>L1</v>
          </cell>
          <cell r="M1093" t="str">
            <v>ALL</v>
          </cell>
          <cell r="N1093" t="str">
            <v>FLPC(含奖金)</v>
          </cell>
          <cell r="O1093" t="str">
            <v>USD/小时</v>
          </cell>
          <cell r="P1093">
            <v>59.52</v>
          </cell>
        </row>
        <row r="1094">
          <cell r="A1094" t="str">
            <v>Ukraine - Chinese employees - L2</v>
          </cell>
          <cell r="B1094" t="str">
            <v>Current version</v>
          </cell>
          <cell r="C1094" t="str">
            <v>V2009R2</v>
          </cell>
          <cell r="D1094" t="str">
            <v>Labor Rate</v>
          </cell>
          <cell r="E1094" t="str">
            <v>CIS</v>
          </cell>
          <cell r="F1094" t="str">
            <v>Russia</v>
          </cell>
          <cell r="G1094" t="str">
            <v>Ukraine Rep.O.</v>
          </cell>
          <cell r="H1094" t="str">
            <v>3306</v>
          </cell>
          <cell r="I1094" t="str">
            <v>乌克兰</v>
          </cell>
          <cell r="J1094" t="str">
            <v>Ukraine</v>
          </cell>
          <cell r="K1094" t="str">
            <v>Chinese employees</v>
          </cell>
          <cell r="L1094" t="str">
            <v>L2</v>
          </cell>
          <cell r="M1094" t="str">
            <v>ALL</v>
          </cell>
          <cell r="N1094" t="str">
            <v>FLPC(含奖金)</v>
          </cell>
          <cell r="O1094" t="str">
            <v>USD/小时</v>
          </cell>
          <cell r="P1094">
            <v>68.180000000000007</v>
          </cell>
        </row>
        <row r="1095">
          <cell r="A1095" t="str">
            <v>Ukraine - Chinese employees - L3</v>
          </cell>
          <cell r="B1095" t="str">
            <v>Current version</v>
          </cell>
          <cell r="C1095" t="str">
            <v>V2009R2</v>
          </cell>
          <cell r="D1095" t="str">
            <v>Labor Rate</v>
          </cell>
          <cell r="E1095" t="str">
            <v>CIS</v>
          </cell>
          <cell r="F1095" t="str">
            <v>Russia</v>
          </cell>
          <cell r="G1095" t="str">
            <v>Ukraine Rep.O.</v>
          </cell>
          <cell r="H1095" t="str">
            <v>3306</v>
          </cell>
          <cell r="I1095" t="str">
            <v>乌克兰</v>
          </cell>
          <cell r="J1095" t="str">
            <v>Ukraine</v>
          </cell>
          <cell r="K1095" t="str">
            <v>Chinese employees</v>
          </cell>
          <cell r="L1095" t="str">
            <v>L3</v>
          </cell>
          <cell r="M1095" t="str">
            <v>ALL</v>
          </cell>
          <cell r="N1095" t="str">
            <v>FLPC(含奖金)</v>
          </cell>
          <cell r="O1095" t="str">
            <v>USD/小时</v>
          </cell>
          <cell r="P1095">
            <v>80.97</v>
          </cell>
        </row>
        <row r="1096">
          <cell r="A1096" t="str">
            <v>Ukraine - Chinese employees - L4</v>
          </cell>
          <cell r="B1096" t="str">
            <v>Current version</v>
          </cell>
          <cell r="C1096" t="str">
            <v>V2009R2</v>
          </cell>
          <cell r="D1096" t="str">
            <v>Labor Rate</v>
          </cell>
          <cell r="E1096" t="str">
            <v>CIS</v>
          </cell>
          <cell r="F1096" t="str">
            <v>Russia</v>
          </cell>
          <cell r="G1096" t="str">
            <v>Ukraine Rep.O.</v>
          </cell>
          <cell r="H1096" t="str">
            <v>3306</v>
          </cell>
          <cell r="I1096" t="str">
            <v>乌克兰</v>
          </cell>
          <cell r="J1096" t="str">
            <v>Ukraine</v>
          </cell>
          <cell r="K1096" t="str">
            <v>Chinese employees</v>
          </cell>
          <cell r="L1096" t="str">
            <v>L4</v>
          </cell>
          <cell r="M1096" t="str">
            <v>ALL</v>
          </cell>
          <cell r="N1096" t="str">
            <v>FLPC(含奖金)</v>
          </cell>
          <cell r="O1096" t="str">
            <v>USD/小时</v>
          </cell>
          <cell r="P1096">
            <v>133.13</v>
          </cell>
        </row>
        <row r="1097">
          <cell r="A1097" t="str">
            <v>Byelorussia - Chinese employees - L0</v>
          </cell>
          <cell r="B1097" t="str">
            <v>Current version</v>
          </cell>
          <cell r="C1097" t="str">
            <v>V2009R2</v>
          </cell>
          <cell r="D1097" t="str">
            <v>Labor Rate</v>
          </cell>
          <cell r="E1097" t="str">
            <v>CIS</v>
          </cell>
          <cell r="F1097" t="str">
            <v>Russia</v>
          </cell>
          <cell r="G1097" t="str">
            <v>Byelorussi</v>
          </cell>
          <cell r="H1097" t="str">
            <v>3307</v>
          </cell>
          <cell r="I1097" t="str">
            <v>白俄罗斯</v>
          </cell>
          <cell r="J1097" t="str">
            <v>Byelorussia</v>
          </cell>
          <cell r="K1097" t="str">
            <v>Chinese employees</v>
          </cell>
          <cell r="L1097" t="str">
            <v>L0</v>
          </cell>
          <cell r="M1097" t="str">
            <v>ALL</v>
          </cell>
          <cell r="N1097" t="str">
            <v>FLPC(含奖金)</v>
          </cell>
          <cell r="O1097" t="str">
            <v>USD/小时</v>
          </cell>
          <cell r="P1097">
            <v>54.6</v>
          </cell>
        </row>
        <row r="1098">
          <cell r="A1098" t="str">
            <v>Byelorussia - Chinese employees - L1</v>
          </cell>
          <cell r="B1098" t="str">
            <v>Current version</v>
          </cell>
          <cell r="C1098" t="str">
            <v>V2009R2</v>
          </cell>
          <cell r="D1098" t="str">
            <v>Labor Rate</v>
          </cell>
          <cell r="E1098" t="str">
            <v>CIS</v>
          </cell>
          <cell r="F1098" t="str">
            <v>Russia</v>
          </cell>
          <cell r="G1098" t="str">
            <v>Byelorussi</v>
          </cell>
          <cell r="H1098" t="str">
            <v>3307</v>
          </cell>
          <cell r="I1098" t="str">
            <v>白俄罗斯</v>
          </cell>
          <cell r="J1098" t="str">
            <v>Byelorussia</v>
          </cell>
          <cell r="K1098" t="str">
            <v>Chinese employees</v>
          </cell>
          <cell r="L1098" t="str">
            <v>L1</v>
          </cell>
          <cell r="M1098" t="str">
            <v>ALL</v>
          </cell>
          <cell r="N1098" t="str">
            <v>FLPC(含奖金)</v>
          </cell>
          <cell r="O1098" t="str">
            <v>USD/小时</v>
          </cell>
          <cell r="P1098">
            <v>63.55</v>
          </cell>
        </row>
        <row r="1099">
          <cell r="A1099" t="str">
            <v>Byelorussia - Chinese employees - L2</v>
          </cell>
          <cell r="B1099" t="str">
            <v>Current version</v>
          </cell>
          <cell r="C1099" t="str">
            <v>V2009R2</v>
          </cell>
          <cell r="D1099" t="str">
            <v>Labor Rate</v>
          </cell>
          <cell r="E1099" t="str">
            <v>CIS</v>
          </cell>
          <cell r="F1099" t="str">
            <v>Russia</v>
          </cell>
          <cell r="G1099" t="str">
            <v>Byelorussi</v>
          </cell>
          <cell r="H1099" t="str">
            <v>3307</v>
          </cell>
          <cell r="I1099" t="str">
            <v>白俄罗斯</v>
          </cell>
          <cell r="J1099" t="str">
            <v>Byelorussia</v>
          </cell>
          <cell r="K1099" t="str">
            <v>Chinese employees</v>
          </cell>
          <cell r="L1099" t="str">
            <v>L2</v>
          </cell>
          <cell r="M1099" t="str">
            <v>ALL</v>
          </cell>
          <cell r="N1099" t="str">
            <v>FLPC(含奖金)</v>
          </cell>
          <cell r="O1099" t="str">
            <v>USD/小时</v>
          </cell>
          <cell r="P1099">
            <v>72.88</v>
          </cell>
        </row>
        <row r="1100">
          <cell r="A1100" t="str">
            <v>Byelorussia - Chinese employees - L3</v>
          </cell>
          <cell r="B1100" t="str">
            <v>Current version</v>
          </cell>
          <cell r="C1100" t="str">
            <v>V2009R2</v>
          </cell>
          <cell r="D1100" t="str">
            <v>Labor Rate</v>
          </cell>
          <cell r="E1100" t="str">
            <v>CIS</v>
          </cell>
          <cell r="F1100" t="str">
            <v>Russia</v>
          </cell>
          <cell r="G1100" t="str">
            <v>Byelorussi</v>
          </cell>
          <cell r="H1100" t="str">
            <v>3307</v>
          </cell>
          <cell r="I1100" t="str">
            <v>白俄罗斯</v>
          </cell>
          <cell r="J1100" t="str">
            <v>Byelorussia</v>
          </cell>
          <cell r="K1100" t="str">
            <v>Chinese employees</v>
          </cell>
          <cell r="L1100" t="str">
            <v>L3</v>
          </cell>
          <cell r="M1100" t="str">
            <v>ALL</v>
          </cell>
          <cell r="N1100" t="str">
            <v>FLPC(含奖金)</v>
          </cell>
          <cell r="O1100" t="str">
            <v>USD/小时</v>
          </cell>
          <cell r="P1100">
            <v>87.61</v>
          </cell>
        </row>
        <row r="1101">
          <cell r="A1101" t="str">
            <v>Byelorussia - Chinese employees - L4</v>
          </cell>
          <cell r="B1101" t="str">
            <v>Current version</v>
          </cell>
          <cell r="C1101" t="str">
            <v>V2009R2</v>
          </cell>
          <cell r="D1101" t="str">
            <v>Labor Rate</v>
          </cell>
          <cell r="E1101" t="str">
            <v>CIS</v>
          </cell>
          <cell r="F1101" t="str">
            <v>Russia</v>
          </cell>
          <cell r="G1101" t="str">
            <v>Byelorussi</v>
          </cell>
          <cell r="H1101" t="str">
            <v>3307</v>
          </cell>
          <cell r="I1101" t="str">
            <v>白俄罗斯</v>
          </cell>
          <cell r="J1101" t="str">
            <v>Byelorussia</v>
          </cell>
          <cell r="K1101" t="str">
            <v>Chinese employees</v>
          </cell>
          <cell r="L1101" t="str">
            <v>L4</v>
          </cell>
          <cell r="M1101" t="str">
            <v>ALL</v>
          </cell>
          <cell r="N1101" t="str">
            <v>FLPC(含奖金)</v>
          </cell>
          <cell r="O1101" t="str">
            <v>USD/小时</v>
          </cell>
          <cell r="P1101">
            <v>129.91999999999999</v>
          </cell>
        </row>
        <row r="1102">
          <cell r="A1102" t="str">
            <v>Usa - Chinese employees - L0</v>
          </cell>
          <cell r="B1102" t="str">
            <v>Current version</v>
          </cell>
          <cell r="C1102" t="str">
            <v>V2009R2</v>
          </cell>
          <cell r="D1102" t="str">
            <v>Labor Rate</v>
          </cell>
          <cell r="E1102" t="str">
            <v>USA Rep.O.</v>
          </cell>
          <cell r="F1102" t="str">
            <v>USA Rep.O.</v>
          </cell>
          <cell r="G1102" t="str">
            <v>Usa</v>
          </cell>
          <cell r="H1102" t="str">
            <v>7001</v>
          </cell>
          <cell r="I1102" t="str">
            <v>美国</v>
          </cell>
          <cell r="J1102" t="str">
            <v>Usa</v>
          </cell>
          <cell r="K1102" t="str">
            <v>Chinese employees</v>
          </cell>
          <cell r="L1102" t="str">
            <v>L0</v>
          </cell>
          <cell r="M1102" t="str">
            <v>ALL</v>
          </cell>
          <cell r="N1102" t="str">
            <v>FLPC(含奖金)</v>
          </cell>
          <cell r="O1102" t="str">
            <v>USD/小时</v>
          </cell>
          <cell r="P1102">
            <v>73.489999999999995</v>
          </cell>
        </row>
        <row r="1103">
          <cell r="A1103" t="str">
            <v>Usa - Chinese employees - L1</v>
          </cell>
          <cell r="B1103" t="str">
            <v>Current version</v>
          </cell>
          <cell r="C1103" t="str">
            <v>V2009R2</v>
          </cell>
          <cell r="D1103" t="str">
            <v>Labor Rate</v>
          </cell>
          <cell r="E1103" t="str">
            <v>USA Rep.O.</v>
          </cell>
          <cell r="F1103" t="str">
            <v>USA Rep.O.</v>
          </cell>
          <cell r="G1103" t="str">
            <v>Usa</v>
          </cell>
          <cell r="H1103" t="str">
            <v>7001</v>
          </cell>
          <cell r="I1103" t="str">
            <v>美国</v>
          </cell>
          <cell r="J1103" t="str">
            <v>Usa</v>
          </cell>
          <cell r="K1103" t="str">
            <v>Chinese employees</v>
          </cell>
          <cell r="L1103" t="str">
            <v>L1</v>
          </cell>
          <cell r="M1103" t="str">
            <v>ALL</v>
          </cell>
          <cell r="N1103" t="str">
            <v>FLPC(含奖金)</v>
          </cell>
          <cell r="O1103" t="str">
            <v>USD/小时</v>
          </cell>
          <cell r="P1103">
            <v>80.930000000000007</v>
          </cell>
        </row>
        <row r="1104">
          <cell r="A1104" t="str">
            <v>Usa - Chinese employees - L2</v>
          </cell>
          <cell r="B1104" t="str">
            <v>Current version</v>
          </cell>
          <cell r="C1104" t="str">
            <v>V2009R2</v>
          </cell>
          <cell r="D1104" t="str">
            <v>Labor Rate</v>
          </cell>
          <cell r="E1104" t="str">
            <v>USA Rep.O.</v>
          </cell>
          <cell r="F1104" t="str">
            <v>USA Rep.O.</v>
          </cell>
          <cell r="G1104" t="str">
            <v>Usa</v>
          </cell>
          <cell r="H1104" t="str">
            <v>7001</v>
          </cell>
          <cell r="I1104" t="str">
            <v>美国</v>
          </cell>
          <cell r="J1104" t="str">
            <v>Usa</v>
          </cell>
          <cell r="K1104" t="str">
            <v>Chinese employees</v>
          </cell>
          <cell r="L1104" t="str">
            <v>L2</v>
          </cell>
          <cell r="M1104" t="str">
            <v>ALL</v>
          </cell>
          <cell r="N1104" t="str">
            <v>FLPC(含奖金)</v>
          </cell>
          <cell r="O1104" t="str">
            <v>USD/小时</v>
          </cell>
          <cell r="P1104">
            <v>92.72</v>
          </cell>
        </row>
        <row r="1105">
          <cell r="A1105" t="str">
            <v>Usa - Chinese employees - L3</v>
          </cell>
          <cell r="B1105" t="str">
            <v>Current version</v>
          </cell>
          <cell r="C1105" t="str">
            <v>V2009R2</v>
          </cell>
          <cell r="D1105" t="str">
            <v>Labor Rate</v>
          </cell>
          <cell r="E1105" t="str">
            <v>USA Rep.O.</v>
          </cell>
          <cell r="F1105" t="str">
            <v>USA Rep.O.</v>
          </cell>
          <cell r="G1105" t="str">
            <v>Usa</v>
          </cell>
          <cell r="H1105" t="str">
            <v>7001</v>
          </cell>
          <cell r="I1105" t="str">
            <v>美国</v>
          </cell>
          <cell r="J1105" t="str">
            <v>Usa</v>
          </cell>
          <cell r="K1105" t="str">
            <v>Chinese employees</v>
          </cell>
          <cell r="L1105" t="str">
            <v>L3</v>
          </cell>
          <cell r="M1105" t="str">
            <v>ALL</v>
          </cell>
          <cell r="N1105" t="str">
            <v>FLPC(含奖金)</v>
          </cell>
          <cell r="O1105" t="str">
            <v>USD/小时</v>
          </cell>
          <cell r="P1105">
            <v>109.66</v>
          </cell>
        </row>
        <row r="1106">
          <cell r="A1106" t="str">
            <v>Usa - Chinese employees - L4</v>
          </cell>
          <cell r="B1106" t="str">
            <v>Current version</v>
          </cell>
          <cell r="C1106" t="str">
            <v>V2009R2</v>
          </cell>
          <cell r="D1106" t="str">
            <v>Labor Rate</v>
          </cell>
          <cell r="E1106" t="str">
            <v>USA Rep.O.</v>
          </cell>
          <cell r="F1106" t="str">
            <v>USA Rep.O.</v>
          </cell>
          <cell r="G1106" t="str">
            <v>Usa</v>
          </cell>
          <cell r="H1106" t="str">
            <v>7001</v>
          </cell>
          <cell r="I1106" t="str">
            <v>美国</v>
          </cell>
          <cell r="J1106" t="str">
            <v>Usa</v>
          </cell>
          <cell r="K1106" t="str">
            <v>Chinese employees</v>
          </cell>
          <cell r="L1106" t="str">
            <v>L4</v>
          </cell>
          <cell r="M1106" t="str">
            <v>ALL</v>
          </cell>
          <cell r="N1106" t="str">
            <v>FLPC(含奖金)</v>
          </cell>
          <cell r="O1106" t="str">
            <v>USD/小时</v>
          </cell>
          <cell r="P1106">
            <v>171.8</v>
          </cell>
        </row>
        <row r="1107">
          <cell r="A1107" t="str">
            <v>Canada - Chinese employees - L0</v>
          </cell>
          <cell r="B1107" t="str">
            <v>Current version</v>
          </cell>
          <cell r="C1107" t="str">
            <v>V2009R2</v>
          </cell>
          <cell r="D1107" t="str">
            <v>Labor Rate</v>
          </cell>
          <cell r="E1107" t="str">
            <v>USA Rep.O.</v>
          </cell>
          <cell r="F1107" t="str">
            <v>USA Rep.O.</v>
          </cell>
          <cell r="G1107" t="str">
            <v>Canada</v>
          </cell>
          <cell r="H1107" t="str">
            <v>7002</v>
          </cell>
          <cell r="I1107" t="str">
            <v>加拿大</v>
          </cell>
          <cell r="J1107" t="str">
            <v>Canada</v>
          </cell>
          <cell r="K1107" t="str">
            <v>Chinese employees</v>
          </cell>
          <cell r="L1107" t="str">
            <v>L0</v>
          </cell>
          <cell r="M1107" t="str">
            <v>ALL</v>
          </cell>
          <cell r="N1107" t="str">
            <v>FLPC(含奖金)</v>
          </cell>
          <cell r="O1107" t="str">
            <v>USD/小时</v>
          </cell>
          <cell r="P1107">
            <v>63.07</v>
          </cell>
        </row>
        <row r="1108">
          <cell r="A1108" t="str">
            <v>Canada - Chinese employees - L1</v>
          </cell>
          <cell r="B1108" t="str">
            <v>Current version</v>
          </cell>
          <cell r="C1108" t="str">
            <v>V2009R2</v>
          </cell>
          <cell r="D1108" t="str">
            <v>Labor Rate</v>
          </cell>
          <cell r="E1108" t="str">
            <v>USA Rep.O.</v>
          </cell>
          <cell r="F1108" t="str">
            <v>USA Rep.O.</v>
          </cell>
          <cell r="G1108" t="str">
            <v>Canada</v>
          </cell>
          <cell r="H1108" t="str">
            <v>7002</v>
          </cell>
          <cell r="I1108" t="str">
            <v>加拿大</v>
          </cell>
          <cell r="J1108" t="str">
            <v>Canada</v>
          </cell>
          <cell r="K1108" t="str">
            <v>Chinese employees</v>
          </cell>
          <cell r="L1108" t="str">
            <v>L1</v>
          </cell>
          <cell r="M1108" t="str">
            <v>ALL</v>
          </cell>
          <cell r="N1108" t="str">
            <v>FLPC(含奖金)</v>
          </cell>
          <cell r="O1108" t="str">
            <v>USD/小时</v>
          </cell>
          <cell r="P1108">
            <v>73.099999999999994</v>
          </cell>
        </row>
        <row r="1109">
          <cell r="A1109" t="str">
            <v>Canada - Chinese employees - L2</v>
          </cell>
          <cell r="B1109" t="str">
            <v>Current version</v>
          </cell>
          <cell r="C1109" t="str">
            <v>V2009R2</v>
          </cell>
          <cell r="D1109" t="str">
            <v>Labor Rate</v>
          </cell>
          <cell r="E1109" t="str">
            <v>USA Rep.O.</v>
          </cell>
          <cell r="F1109" t="str">
            <v>USA Rep.O.</v>
          </cell>
          <cell r="G1109" t="str">
            <v>Canada</v>
          </cell>
          <cell r="H1109" t="str">
            <v>7002</v>
          </cell>
          <cell r="I1109" t="str">
            <v>加拿大</v>
          </cell>
          <cell r="J1109" t="str">
            <v>Canada</v>
          </cell>
          <cell r="K1109" t="str">
            <v>Chinese employees</v>
          </cell>
          <cell r="L1109" t="str">
            <v>L2</v>
          </cell>
          <cell r="M1109" t="str">
            <v>ALL</v>
          </cell>
          <cell r="N1109" t="str">
            <v>FLPC(含奖金)</v>
          </cell>
          <cell r="O1109" t="str">
            <v>USD/小时</v>
          </cell>
          <cell r="P1109">
            <v>82.8</v>
          </cell>
        </row>
        <row r="1110">
          <cell r="A1110" t="str">
            <v>Canada - Chinese employees - L3</v>
          </cell>
          <cell r="B1110" t="str">
            <v>Current version</v>
          </cell>
          <cell r="C1110" t="str">
            <v>V2009R2</v>
          </cell>
          <cell r="D1110" t="str">
            <v>Labor Rate</v>
          </cell>
          <cell r="E1110" t="str">
            <v>USA Rep.O.</v>
          </cell>
          <cell r="F1110" t="str">
            <v>USA Rep.O.</v>
          </cell>
          <cell r="G1110" t="str">
            <v>Canada</v>
          </cell>
          <cell r="H1110" t="str">
            <v>7002</v>
          </cell>
          <cell r="I1110" t="str">
            <v>加拿大</v>
          </cell>
          <cell r="J1110" t="str">
            <v>Canada</v>
          </cell>
          <cell r="K1110" t="str">
            <v>Chinese employees</v>
          </cell>
          <cell r="L1110" t="str">
            <v>L3</v>
          </cell>
          <cell r="M1110" t="str">
            <v>ALL</v>
          </cell>
          <cell r="N1110" t="str">
            <v>FLPC(含奖金)</v>
          </cell>
          <cell r="O1110" t="str">
            <v>USD/小时</v>
          </cell>
          <cell r="P1110">
            <v>102.72</v>
          </cell>
        </row>
        <row r="1111">
          <cell r="A1111" t="str">
            <v>Canada - Chinese employees - L4</v>
          </cell>
          <cell r="B1111" t="str">
            <v>Current version</v>
          </cell>
          <cell r="C1111" t="str">
            <v>V2009R2</v>
          </cell>
          <cell r="D1111" t="str">
            <v>Labor Rate</v>
          </cell>
          <cell r="E1111" t="str">
            <v>USA Rep.O.</v>
          </cell>
          <cell r="F1111" t="str">
            <v>USA Rep.O.</v>
          </cell>
          <cell r="G1111" t="str">
            <v>Canada</v>
          </cell>
          <cell r="H1111" t="str">
            <v>7002</v>
          </cell>
          <cell r="I1111" t="str">
            <v>加拿大</v>
          </cell>
          <cell r="J1111" t="str">
            <v>Canada</v>
          </cell>
          <cell r="K1111" t="str">
            <v>Chinese employees</v>
          </cell>
          <cell r="L1111" t="str">
            <v>L4</v>
          </cell>
          <cell r="M1111" t="str">
            <v>ALL</v>
          </cell>
          <cell r="N1111" t="str">
            <v>FLPC(含奖金)</v>
          </cell>
          <cell r="O1111" t="str">
            <v>USD/小时</v>
          </cell>
          <cell r="P1111">
            <v>166.37</v>
          </cell>
        </row>
        <row r="1112">
          <cell r="A1112" t="str">
            <v>东亚地区部总部 - Chinese employees - L0</v>
          </cell>
          <cell r="B1112" t="str">
            <v>Current version</v>
          </cell>
          <cell r="C1112" t="str">
            <v>V2009R2</v>
          </cell>
          <cell r="D1112" t="str">
            <v>Labor Rate</v>
          </cell>
          <cell r="E1112" t="str">
            <v>AP</v>
          </cell>
          <cell r="F1112" t="str">
            <v>Eastern Asia Sub-Regional Division</v>
          </cell>
          <cell r="G1112" t="str">
            <v>东亚地区部总部</v>
          </cell>
          <cell r="H1112" t="str">
            <v>1106</v>
          </cell>
          <cell r="I1112" t="str">
            <v>东亚地区部总部</v>
          </cell>
          <cell r="J1112" t="str">
            <v>东亚地区部总部</v>
          </cell>
          <cell r="K1112" t="str">
            <v>Chinese employees</v>
          </cell>
          <cell r="L1112" t="str">
            <v>L0</v>
          </cell>
          <cell r="M1112" t="str">
            <v>ALL</v>
          </cell>
          <cell r="N1112" t="str">
            <v>FLPC(含奖金)</v>
          </cell>
          <cell r="O1112" t="str">
            <v>USD/小时</v>
          </cell>
          <cell r="P1112">
            <v>11.56</v>
          </cell>
        </row>
        <row r="1113">
          <cell r="A1113" t="str">
            <v>东亚地区部总部 - Chinese employees - L1</v>
          </cell>
          <cell r="B1113" t="str">
            <v>Current version</v>
          </cell>
          <cell r="C1113" t="str">
            <v>V2009R2</v>
          </cell>
          <cell r="D1113" t="str">
            <v>Labor Rate</v>
          </cell>
          <cell r="E1113" t="str">
            <v>AP</v>
          </cell>
          <cell r="F1113" t="str">
            <v>Eastern Asia Sub-Regional Division</v>
          </cell>
          <cell r="G1113" t="str">
            <v>东亚地区部总部</v>
          </cell>
          <cell r="H1113" t="str">
            <v>1106</v>
          </cell>
          <cell r="I1113" t="str">
            <v>东亚地区部总部</v>
          </cell>
          <cell r="J1113" t="str">
            <v>东亚地区部总部</v>
          </cell>
          <cell r="K1113" t="str">
            <v>Chinese employees</v>
          </cell>
          <cell r="L1113" t="str">
            <v>L1</v>
          </cell>
          <cell r="M1113" t="str">
            <v>ALL</v>
          </cell>
          <cell r="N1113" t="str">
            <v>FLPC(含奖金)</v>
          </cell>
          <cell r="O1113" t="str">
            <v>USD/小时</v>
          </cell>
          <cell r="P1113">
            <v>16.82</v>
          </cell>
        </row>
        <row r="1114">
          <cell r="A1114" t="str">
            <v>东亚地区部总部 - Chinese employees - L2</v>
          </cell>
          <cell r="B1114" t="str">
            <v>Current version</v>
          </cell>
          <cell r="C1114" t="str">
            <v>V2009R2</v>
          </cell>
          <cell r="D1114" t="str">
            <v>Labor Rate</v>
          </cell>
          <cell r="E1114" t="str">
            <v>AP</v>
          </cell>
          <cell r="F1114" t="str">
            <v>Eastern Asia Sub-Regional Division</v>
          </cell>
          <cell r="G1114" t="str">
            <v>东亚地区部总部</v>
          </cell>
          <cell r="H1114" t="str">
            <v>1106</v>
          </cell>
          <cell r="I1114" t="str">
            <v>东亚地区部总部</v>
          </cell>
          <cell r="J1114" t="str">
            <v>东亚地区部总部</v>
          </cell>
          <cell r="K1114" t="str">
            <v>Chinese employees</v>
          </cell>
          <cell r="L1114" t="str">
            <v>L2</v>
          </cell>
          <cell r="M1114" t="str">
            <v>ALL</v>
          </cell>
          <cell r="N1114" t="str">
            <v>FLPC(含奖金)</v>
          </cell>
          <cell r="O1114" t="str">
            <v>USD/小时</v>
          </cell>
          <cell r="P1114">
            <v>23.63</v>
          </cell>
        </row>
        <row r="1115">
          <cell r="A1115" t="str">
            <v>东亚地区部总部 - Chinese employees - L3</v>
          </cell>
          <cell r="B1115" t="str">
            <v>Current version</v>
          </cell>
          <cell r="C1115" t="str">
            <v>V2009R2</v>
          </cell>
          <cell r="D1115" t="str">
            <v>Labor Rate</v>
          </cell>
          <cell r="E1115" t="str">
            <v>AP</v>
          </cell>
          <cell r="F1115" t="str">
            <v>Eastern Asia Sub-Regional Division</v>
          </cell>
          <cell r="G1115" t="str">
            <v>东亚地区部总部</v>
          </cell>
          <cell r="H1115" t="str">
            <v>1106</v>
          </cell>
          <cell r="I1115" t="str">
            <v>东亚地区部总部</v>
          </cell>
          <cell r="J1115" t="str">
            <v>东亚地区部总部</v>
          </cell>
          <cell r="K1115" t="str">
            <v>Chinese employees</v>
          </cell>
          <cell r="L1115" t="str">
            <v>L3</v>
          </cell>
          <cell r="M1115" t="str">
            <v>ALL</v>
          </cell>
          <cell r="N1115" t="str">
            <v>FLPC(含奖金)</v>
          </cell>
          <cell r="O1115" t="str">
            <v>USD/小时</v>
          </cell>
          <cell r="P1115">
            <v>32.57</v>
          </cell>
        </row>
        <row r="1116">
          <cell r="A1116" t="str">
            <v>东亚地区部总部 - Chinese employees - L4</v>
          </cell>
          <cell r="B1116" t="str">
            <v>Current version</v>
          </cell>
          <cell r="C1116" t="str">
            <v>V2009R2</v>
          </cell>
          <cell r="D1116" t="str">
            <v>Labor Rate</v>
          </cell>
          <cell r="E1116" t="str">
            <v>AP</v>
          </cell>
          <cell r="F1116" t="str">
            <v>Eastern Asia Sub-Regional Division</v>
          </cell>
          <cell r="G1116" t="str">
            <v>东亚地区部总部</v>
          </cell>
          <cell r="H1116" t="str">
            <v>1106</v>
          </cell>
          <cell r="I1116" t="str">
            <v>东亚地区部总部</v>
          </cell>
          <cell r="J1116" t="str">
            <v>东亚地区部总部</v>
          </cell>
          <cell r="K1116" t="str">
            <v>Chinese employees</v>
          </cell>
          <cell r="L1116" t="str">
            <v>L4</v>
          </cell>
          <cell r="M1116" t="str">
            <v>ALL</v>
          </cell>
          <cell r="N1116" t="str">
            <v>FLPC(含奖金)</v>
          </cell>
          <cell r="O1116" t="str">
            <v>USD/小时</v>
          </cell>
          <cell r="P1116">
            <v>56.75</v>
          </cell>
        </row>
        <row r="1117">
          <cell r="A1117" t="str">
            <v>南太平洋地区部总部 - Chinese employees - L0</v>
          </cell>
          <cell r="B1117" t="str">
            <v>Current version</v>
          </cell>
          <cell r="C1117" t="str">
            <v>V2009R2</v>
          </cell>
          <cell r="D1117" t="str">
            <v>Labor Rate</v>
          </cell>
          <cell r="E1117" t="str">
            <v>AP</v>
          </cell>
          <cell r="F1117" t="str">
            <v>Southern Pacific Sub-Regional Division</v>
          </cell>
          <cell r="G1117" t="str">
            <v>南太平洋地区部总部</v>
          </cell>
          <cell r="H1117" t="str">
            <v>1108</v>
          </cell>
          <cell r="I1117" t="str">
            <v>南太平洋地区部总部</v>
          </cell>
          <cell r="J1117" t="str">
            <v>南太平洋地区部总部</v>
          </cell>
          <cell r="K1117" t="str">
            <v>Chinese employees</v>
          </cell>
          <cell r="L1117" t="str">
            <v>L0</v>
          </cell>
          <cell r="M1117" t="str">
            <v>ALL</v>
          </cell>
          <cell r="N1117" t="str">
            <v>FLPC(含奖金)</v>
          </cell>
          <cell r="O1117" t="str">
            <v>USD/小时</v>
          </cell>
          <cell r="P1117">
            <v>40.01</v>
          </cell>
        </row>
        <row r="1118">
          <cell r="A1118" t="str">
            <v>南太平洋地区部总部 - Chinese employees - L1</v>
          </cell>
          <cell r="B1118" t="str">
            <v>Current version</v>
          </cell>
          <cell r="C1118" t="str">
            <v>V2009R2</v>
          </cell>
          <cell r="D1118" t="str">
            <v>Labor Rate</v>
          </cell>
          <cell r="E1118" t="str">
            <v>AP</v>
          </cell>
          <cell r="F1118" t="str">
            <v>Southern Pacific Sub-Regional Division</v>
          </cell>
          <cell r="G1118" t="str">
            <v>南太平洋地区部总部</v>
          </cell>
          <cell r="H1118" t="str">
            <v>1108</v>
          </cell>
          <cell r="I1118" t="str">
            <v>南太平洋地区部总部</v>
          </cell>
          <cell r="J1118" t="str">
            <v>南太平洋地区部总部</v>
          </cell>
          <cell r="K1118" t="str">
            <v>Chinese employees</v>
          </cell>
          <cell r="L1118" t="str">
            <v>L1</v>
          </cell>
          <cell r="M1118" t="str">
            <v>ALL</v>
          </cell>
          <cell r="N1118" t="str">
            <v>FLPC(含奖金)</v>
          </cell>
          <cell r="O1118" t="str">
            <v>USD/小时</v>
          </cell>
          <cell r="P1118">
            <v>47.06</v>
          </cell>
        </row>
        <row r="1119">
          <cell r="A1119" t="str">
            <v>南太平洋地区部总部 - Chinese employees - L2</v>
          </cell>
          <cell r="B1119" t="str">
            <v>Current version</v>
          </cell>
          <cell r="C1119" t="str">
            <v>V2009R2</v>
          </cell>
          <cell r="D1119" t="str">
            <v>Labor Rate</v>
          </cell>
          <cell r="E1119" t="str">
            <v>AP</v>
          </cell>
          <cell r="F1119" t="str">
            <v>Southern Pacific Sub-Regional Division</v>
          </cell>
          <cell r="G1119" t="str">
            <v>南太平洋地区部总部</v>
          </cell>
          <cell r="H1119" t="str">
            <v>1108</v>
          </cell>
          <cell r="I1119" t="str">
            <v>南太平洋地区部总部</v>
          </cell>
          <cell r="J1119" t="str">
            <v>南太平洋地区部总部</v>
          </cell>
          <cell r="K1119" t="str">
            <v>Chinese employees</v>
          </cell>
          <cell r="L1119" t="str">
            <v>L2</v>
          </cell>
          <cell r="M1119" t="str">
            <v>ALL</v>
          </cell>
          <cell r="N1119" t="str">
            <v>FLPC(含奖金)</v>
          </cell>
          <cell r="O1119" t="str">
            <v>USD/小时</v>
          </cell>
          <cell r="P1119">
            <v>55.47</v>
          </cell>
        </row>
        <row r="1120">
          <cell r="A1120" t="str">
            <v>南太平洋地区部总部 - Chinese employees - L3</v>
          </cell>
          <cell r="B1120" t="str">
            <v>Current version</v>
          </cell>
          <cell r="C1120" t="str">
            <v>V2009R2</v>
          </cell>
          <cell r="D1120" t="str">
            <v>Labor Rate</v>
          </cell>
          <cell r="E1120" t="str">
            <v>AP</v>
          </cell>
          <cell r="F1120" t="str">
            <v>Southern Pacific Sub-Regional Division</v>
          </cell>
          <cell r="G1120" t="str">
            <v>南太平洋地区部总部</v>
          </cell>
          <cell r="H1120" t="str">
            <v>1108</v>
          </cell>
          <cell r="I1120" t="str">
            <v>南太平洋地区部总部</v>
          </cell>
          <cell r="J1120" t="str">
            <v>南太平洋地区部总部</v>
          </cell>
          <cell r="K1120" t="str">
            <v>Chinese employees</v>
          </cell>
          <cell r="L1120" t="str">
            <v>L3</v>
          </cell>
          <cell r="M1120" t="str">
            <v>ALL</v>
          </cell>
          <cell r="N1120" t="str">
            <v>FLPC(含奖金)</v>
          </cell>
          <cell r="O1120" t="str">
            <v>USD/小时</v>
          </cell>
          <cell r="P1120">
            <v>67.760000000000005</v>
          </cell>
        </row>
        <row r="1121">
          <cell r="A1121" t="str">
            <v>南太平洋地区部总部 - Chinese employees - L4</v>
          </cell>
          <cell r="B1121" t="str">
            <v>Current version</v>
          </cell>
          <cell r="C1121" t="str">
            <v>V2009R2</v>
          </cell>
          <cell r="D1121" t="str">
            <v>Labor Rate</v>
          </cell>
          <cell r="E1121" t="str">
            <v>AP</v>
          </cell>
          <cell r="F1121" t="str">
            <v>Southern Pacific Sub-Regional Division</v>
          </cell>
          <cell r="G1121" t="str">
            <v>南太平洋地区部总部</v>
          </cell>
          <cell r="H1121" t="str">
            <v>1108</v>
          </cell>
          <cell r="I1121" t="str">
            <v>南太平洋地区部总部</v>
          </cell>
          <cell r="J1121" t="str">
            <v>南太平洋地区部总部</v>
          </cell>
          <cell r="K1121" t="str">
            <v>Chinese employees</v>
          </cell>
          <cell r="L1121" t="str">
            <v>L4</v>
          </cell>
          <cell r="M1121" t="str">
            <v>ALL</v>
          </cell>
          <cell r="N1121" t="str">
            <v>FLPC(含奖金)</v>
          </cell>
          <cell r="O1121" t="str">
            <v>USD/小时</v>
          </cell>
          <cell r="P1121">
            <v>111.63</v>
          </cell>
        </row>
        <row r="1122">
          <cell r="A1122" t="str">
            <v>东南亚地区部总部 - Chinese employees - L0</v>
          </cell>
          <cell r="B1122" t="str">
            <v>Current version</v>
          </cell>
          <cell r="C1122" t="str">
            <v>V2009R2</v>
          </cell>
          <cell r="D1122" t="str">
            <v>Labor Rate</v>
          </cell>
          <cell r="E1122" t="str">
            <v>AP</v>
          </cell>
          <cell r="F1122" t="str">
            <v>Southern-East Asia Sub-Regional Division</v>
          </cell>
          <cell r="G1122" t="str">
            <v>东南亚地区部总部</v>
          </cell>
          <cell r="H1122" t="str">
            <v>1109</v>
          </cell>
          <cell r="I1122" t="str">
            <v>东南亚地区部总部</v>
          </cell>
          <cell r="J1122" t="str">
            <v>东南亚地区部总部</v>
          </cell>
          <cell r="K1122" t="str">
            <v>Chinese employees</v>
          </cell>
          <cell r="L1122" t="str">
            <v>L0</v>
          </cell>
          <cell r="M1122" t="str">
            <v>ALL</v>
          </cell>
          <cell r="N1122" t="str">
            <v>FLPC(含奖金)</v>
          </cell>
          <cell r="O1122" t="str">
            <v>USD/小时</v>
          </cell>
          <cell r="P1122">
            <v>29.78</v>
          </cell>
        </row>
        <row r="1123">
          <cell r="A1123" t="str">
            <v>东南亚地区部总部 - Chinese employees - L1</v>
          </cell>
          <cell r="B1123" t="str">
            <v>Current version</v>
          </cell>
          <cell r="C1123" t="str">
            <v>V2009R2</v>
          </cell>
          <cell r="D1123" t="str">
            <v>Labor Rate</v>
          </cell>
          <cell r="E1123" t="str">
            <v>AP</v>
          </cell>
          <cell r="F1123" t="str">
            <v>Southern-East Asia Sub-Regional Division</v>
          </cell>
          <cell r="G1123" t="str">
            <v>东南亚地区部总部</v>
          </cell>
          <cell r="H1123" t="str">
            <v>1109</v>
          </cell>
          <cell r="I1123" t="str">
            <v>东南亚地区部总部</v>
          </cell>
          <cell r="J1123" t="str">
            <v>东南亚地区部总部</v>
          </cell>
          <cell r="K1123" t="str">
            <v>Chinese employees</v>
          </cell>
          <cell r="L1123" t="str">
            <v>L1</v>
          </cell>
          <cell r="M1123" t="str">
            <v>ALL</v>
          </cell>
          <cell r="N1123" t="str">
            <v>FLPC(含奖金)</v>
          </cell>
          <cell r="O1123" t="str">
            <v>USD/小时</v>
          </cell>
          <cell r="P1123">
            <v>35.479999999999997</v>
          </cell>
        </row>
        <row r="1124">
          <cell r="A1124" t="str">
            <v>东南亚地区部总部 - Chinese employees - L2</v>
          </cell>
          <cell r="B1124" t="str">
            <v>Current version</v>
          </cell>
          <cell r="C1124" t="str">
            <v>V2009R2</v>
          </cell>
          <cell r="D1124" t="str">
            <v>Labor Rate</v>
          </cell>
          <cell r="E1124" t="str">
            <v>AP</v>
          </cell>
          <cell r="F1124" t="str">
            <v>Southern-East Asia Sub-Regional Division</v>
          </cell>
          <cell r="G1124" t="str">
            <v>东南亚地区部总部</v>
          </cell>
          <cell r="H1124" t="str">
            <v>1109</v>
          </cell>
          <cell r="I1124" t="str">
            <v>东南亚地区部总部</v>
          </cell>
          <cell r="J1124" t="str">
            <v>东南亚地区部总部</v>
          </cell>
          <cell r="K1124" t="str">
            <v>Chinese employees</v>
          </cell>
          <cell r="L1124" t="str">
            <v>L2</v>
          </cell>
          <cell r="M1124" t="str">
            <v>ALL</v>
          </cell>
          <cell r="N1124" t="str">
            <v>FLPC(含奖金)</v>
          </cell>
          <cell r="O1124" t="str">
            <v>USD/小时</v>
          </cell>
          <cell r="P1124">
            <v>42.87</v>
          </cell>
        </row>
        <row r="1125">
          <cell r="A1125" t="str">
            <v>东南亚地区部总部 - Chinese employees - L3</v>
          </cell>
          <cell r="B1125" t="str">
            <v>Current version</v>
          </cell>
          <cell r="C1125" t="str">
            <v>V2009R2</v>
          </cell>
          <cell r="D1125" t="str">
            <v>Labor Rate</v>
          </cell>
          <cell r="E1125" t="str">
            <v>AP</v>
          </cell>
          <cell r="F1125" t="str">
            <v>Southern-East Asia Sub-Regional Division</v>
          </cell>
          <cell r="G1125" t="str">
            <v>东南亚地区部总部</v>
          </cell>
          <cell r="H1125" t="str">
            <v>1109</v>
          </cell>
          <cell r="I1125" t="str">
            <v>东南亚地区部总部</v>
          </cell>
          <cell r="J1125" t="str">
            <v>东南亚地区部总部</v>
          </cell>
          <cell r="K1125" t="str">
            <v>Chinese employees</v>
          </cell>
          <cell r="L1125" t="str">
            <v>L3</v>
          </cell>
          <cell r="M1125" t="str">
            <v>ALL</v>
          </cell>
          <cell r="N1125" t="str">
            <v>FLPC(含奖金)</v>
          </cell>
          <cell r="O1125" t="str">
            <v>USD/小时</v>
          </cell>
          <cell r="P1125">
            <v>53.45</v>
          </cell>
        </row>
        <row r="1126">
          <cell r="A1126" t="str">
            <v>东南亚地区部总部 - Chinese employees - L4</v>
          </cell>
          <cell r="B1126" t="str">
            <v>Current version</v>
          </cell>
          <cell r="C1126" t="str">
            <v>V2009R2</v>
          </cell>
          <cell r="D1126" t="str">
            <v>Labor Rate</v>
          </cell>
          <cell r="E1126" t="str">
            <v>AP</v>
          </cell>
          <cell r="F1126" t="str">
            <v>Southern-East Asia Sub-Regional Division</v>
          </cell>
          <cell r="G1126" t="str">
            <v>东南亚地区部总部</v>
          </cell>
          <cell r="H1126" t="str">
            <v>1109</v>
          </cell>
          <cell r="I1126" t="str">
            <v>东南亚地区部总部</v>
          </cell>
          <cell r="J1126" t="str">
            <v>东南亚地区部总部</v>
          </cell>
          <cell r="K1126" t="str">
            <v>Chinese employees</v>
          </cell>
          <cell r="L1126" t="str">
            <v>L4</v>
          </cell>
          <cell r="M1126" t="str">
            <v>ALL</v>
          </cell>
          <cell r="N1126" t="str">
            <v>FLPC(含奖金)</v>
          </cell>
          <cell r="O1126" t="str">
            <v>USD/小时</v>
          </cell>
          <cell r="P1126">
            <v>91.55</v>
          </cell>
        </row>
        <row r="1127">
          <cell r="A1127" t="str">
            <v>亚太片区总部 - Chinese employees - L0</v>
          </cell>
          <cell r="B1127" t="str">
            <v>Current version</v>
          </cell>
          <cell r="C1127" t="str">
            <v>V2009R2</v>
          </cell>
          <cell r="D1127" t="str">
            <v>Labor Rate</v>
          </cell>
          <cell r="E1127" t="str">
            <v>AP</v>
          </cell>
          <cell r="F1127" t="str">
            <v>A.P. Regional Headquarter</v>
          </cell>
          <cell r="G1127" t="str">
            <v>A.P. Regional Headquarter</v>
          </cell>
          <cell r="H1127" t="str">
            <v>1200</v>
          </cell>
          <cell r="I1127" t="str">
            <v>亚太片区总部</v>
          </cell>
          <cell r="J1127" t="str">
            <v>亚太片区总部</v>
          </cell>
          <cell r="K1127" t="str">
            <v>Chinese employees</v>
          </cell>
          <cell r="L1127" t="str">
            <v>L0</v>
          </cell>
          <cell r="M1127" t="str">
            <v>ALL</v>
          </cell>
          <cell r="N1127" t="str">
            <v>FLPC(含奖金)</v>
          </cell>
          <cell r="O1127" t="str">
            <v>USD/小时</v>
          </cell>
          <cell r="P1127">
            <v>33.200000000000003</v>
          </cell>
        </row>
        <row r="1128">
          <cell r="A1128" t="str">
            <v>亚太片区总部 - Chinese employees - L1</v>
          </cell>
          <cell r="B1128" t="str">
            <v>Current version</v>
          </cell>
          <cell r="C1128" t="str">
            <v>V2009R2</v>
          </cell>
          <cell r="D1128" t="str">
            <v>Labor Rate</v>
          </cell>
          <cell r="E1128" t="str">
            <v>AP</v>
          </cell>
          <cell r="F1128" t="str">
            <v>A.P. Regional Headquarter</v>
          </cell>
          <cell r="G1128" t="str">
            <v>A.P. Regional Headquarter</v>
          </cell>
          <cell r="H1128" t="str">
            <v>1200</v>
          </cell>
          <cell r="I1128" t="str">
            <v>亚太片区总部</v>
          </cell>
          <cell r="J1128" t="str">
            <v>亚太片区总部</v>
          </cell>
          <cell r="K1128" t="str">
            <v>Chinese employees</v>
          </cell>
          <cell r="L1128" t="str">
            <v>L1</v>
          </cell>
          <cell r="M1128" t="str">
            <v>ALL</v>
          </cell>
          <cell r="N1128" t="str">
            <v>FLPC(含奖金)</v>
          </cell>
          <cell r="O1128" t="str">
            <v>USD/小时</v>
          </cell>
          <cell r="P1128">
            <v>39.090000000000003</v>
          </cell>
        </row>
        <row r="1129">
          <cell r="A1129" t="str">
            <v>中国总部 - Chinese employees - L1</v>
          </cell>
          <cell r="B1129" t="str">
            <v>Current version</v>
          </cell>
          <cell r="C1129" t="str">
            <v>V2009R2</v>
          </cell>
          <cell r="D1129" t="str">
            <v>Labor Rate</v>
          </cell>
          <cell r="E1129" t="str">
            <v>China</v>
          </cell>
          <cell r="F1129" t="str">
            <v>China</v>
          </cell>
          <cell r="G1129" t="str">
            <v>中国总部</v>
          </cell>
          <cell r="H1129" t="str">
            <v>0002</v>
          </cell>
          <cell r="I1129" t="str">
            <v>中国总部</v>
          </cell>
          <cell r="J1129" t="str">
            <v>中国总部</v>
          </cell>
          <cell r="K1129" t="str">
            <v>Chinese employees</v>
          </cell>
          <cell r="L1129" t="str">
            <v>L1</v>
          </cell>
          <cell r="M1129" t="str">
            <v>ALL</v>
          </cell>
          <cell r="N1129" t="str">
            <v>FLPC(含奖金)</v>
          </cell>
          <cell r="O1129" t="str">
            <v>USD/小时</v>
          </cell>
          <cell r="P1129">
            <v>16.82</v>
          </cell>
        </row>
        <row r="1130">
          <cell r="A1130" t="str">
            <v>中国总部 - Chinese employees - L2</v>
          </cell>
          <cell r="B1130" t="str">
            <v>Current version</v>
          </cell>
          <cell r="C1130" t="str">
            <v>V2009R2</v>
          </cell>
          <cell r="D1130" t="str">
            <v>Labor Rate</v>
          </cell>
          <cell r="E1130" t="str">
            <v>China</v>
          </cell>
          <cell r="F1130" t="str">
            <v>China</v>
          </cell>
          <cell r="G1130" t="str">
            <v>中国总部</v>
          </cell>
          <cell r="H1130" t="str">
            <v>0002</v>
          </cell>
          <cell r="I1130" t="str">
            <v>中国总部</v>
          </cell>
          <cell r="J1130" t="str">
            <v>中国总部</v>
          </cell>
          <cell r="K1130" t="str">
            <v>Chinese employees</v>
          </cell>
          <cell r="L1130" t="str">
            <v>L2</v>
          </cell>
          <cell r="M1130" t="str">
            <v>ALL</v>
          </cell>
          <cell r="N1130" t="str">
            <v>FLPC(含奖金)</v>
          </cell>
          <cell r="O1130" t="str">
            <v>USD/小时</v>
          </cell>
          <cell r="P1130">
            <v>23.63</v>
          </cell>
        </row>
        <row r="1131">
          <cell r="A1131" t="str">
            <v>中国总部 - Chinese employees - L3</v>
          </cell>
          <cell r="B1131" t="str">
            <v>Current version</v>
          </cell>
          <cell r="C1131" t="str">
            <v>V2009R2</v>
          </cell>
          <cell r="D1131" t="str">
            <v>Labor Rate</v>
          </cell>
          <cell r="E1131" t="str">
            <v>China</v>
          </cell>
          <cell r="F1131" t="str">
            <v>China</v>
          </cell>
          <cell r="G1131" t="str">
            <v>中国总部</v>
          </cell>
          <cell r="H1131" t="str">
            <v>0002</v>
          </cell>
          <cell r="I1131" t="str">
            <v>中国总部</v>
          </cell>
          <cell r="J1131" t="str">
            <v>中国总部</v>
          </cell>
          <cell r="K1131" t="str">
            <v>Chinese employees</v>
          </cell>
          <cell r="L1131" t="str">
            <v>L3</v>
          </cell>
          <cell r="M1131" t="str">
            <v>ALL</v>
          </cell>
          <cell r="N1131" t="str">
            <v>FLPC(含奖金)</v>
          </cell>
          <cell r="O1131" t="str">
            <v>USD/小时</v>
          </cell>
          <cell r="P1131">
            <v>32.57</v>
          </cell>
        </row>
        <row r="1132">
          <cell r="A1132" t="str">
            <v>中国总部 - Chinese employees - L4</v>
          </cell>
          <cell r="B1132" t="str">
            <v>Current version</v>
          </cell>
          <cell r="C1132" t="str">
            <v>V2009R2</v>
          </cell>
          <cell r="D1132" t="str">
            <v>Labor Rate</v>
          </cell>
          <cell r="E1132" t="str">
            <v>China</v>
          </cell>
          <cell r="F1132" t="str">
            <v>China</v>
          </cell>
          <cell r="G1132" t="str">
            <v>中国总部</v>
          </cell>
          <cell r="H1132" t="str">
            <v>0002</v>
          </cell>
          <cell r="I1132" t="str">
            <v>中国总部</v>
          </cell>
          <cell r="J1132" t="str">
            <v>中国总部</v>
          </cell>
          <cell r="K1132" t="str">
            <v>Chinese employees</v>
          </cell>
          <cell r="L1132" t="str">
            <v>L4</v>
          </cell>
          <cell r="M1132" t="str">
            <v>ALL</v>
          </cell>
          <cell r="N1132" t="str">
            <v>FLPC(含奖金)</v>
          </cell>
          <cell r="O1132" t="str">
            <v>USD/小时</v>
          </cell>
          <cell r="P1132">
            <v>56.75</v>
          </cell>
        </row>
        <row r="1133">
          <cell r="A1133" t="str">
            <v>华北片区 - Chinese employees - L0</v>
          </cell>
          <cell r="B1133" t="str">
            <v>Current version</v>
          </cell>
          <cell r="C1133" t="str">
            <v>V2009R2</v>
          </cell>
          <cell r="D1133" t="str">
            <v>Labor Rate</v>
          </cell>
          <cell r="E1133" t="str">
            <v>China</v>
          </cell>
          <cell r="F1133" t="str">
            <v>China</v>
          </cell>
          <cell r="G1133" t="str">
            <v>华北片区</v>
          </cell>
          <cell r="H1133" t="str">
            <v>0032</v>
          </cell>
          <cell r="I1133" t="str">
            <v>华北片区</v>
          </cell>
          <cell r="J1133" t="str">
            <v>华北片区</v>
          </cell>
          <cell r="K1133" t="str">
            <v>Chinese employees</v>
          </cell>
          <cell r="L1133" t="str">
            <v>L0</v>
          </cell>
          <cell r="M1133" t="str">
            <v>ALL</v>
          </cell>
          <cell r="N1133" t="str">
            <v>FLPC(含奖金)</v>
          </cell>
          <cell r="O1133" t="str">
            <v>USD/小时</v>
          </cell>
          <cell r="P1133">
            <v>11.56</v>
          </cell>
        </row>
        <row r="1134">
          <cell r="A1134" t="str">
            <v>华北片区 - Chinese employees - L1</v>
          </cell>
          <cell r="B1134" t="str">
            <v>Current version</v>
          </cell>
          <cell r="C1134" t="str">
            <v>V2009R2</v>
          </cell>
          <cell r="D1134" t="str">
            <v>Labor Rate</v>
          </cell>
          <cell r="E1134" t="str">
            <v>China</v>
          </cell>
          <cell r="F1134" t="str">
            <v>China</v>
          </cell>
          <cell r="G1134" t="str">
            <v>华北片区</v>
          </cell>
          <cell r="H1134" t="str">
            <v>0032</v>
          </cell>
          <cell r="I1134" t="str">
            <v>华北片区</v>
          </cell>
          <cell r="J1134" t="str">
            <v>华北片区</v>
          </cell>
          <cell r="K1134" t="str">
            <v>Chinese employees</v>
          </cell>
          <cell r="L1134" t="str">
            <v>L1</v>
          </cell>
          <cell r="M1134" t="str">
            <v>ALL</v>
          </cell>
          <cell r="N1134" t="str">
            <v>FLPC(含奖金)</v>
          </cell>
          <cell r="O1134" t="str">
            <v>USD/小时</v>
          </cell>
          <cell r="P1134">
            <v>16.82</v>
          </cell>
        </row>
        <row r="1135">
          <cell r="A1135" t="str">
            <v>华北片区 - Chinese employees - L2</v>
          </cell>
          <cell r="B1135" t="str">
            <v>Current version</v>
          </cell>
          <cell r="C1135" t="str">
            <v>V2009R2</v>
          </cell>
          <cell r="D1135" t="str">
            <v>Labor Rate</v>
          </cell>
          <cell r="E1135" t="str">
            <v>China</v>
          </cell>
          <cell r="F1135" t="str">
            <v>China</v>
          </cell>
          <cell r="G1135" t="str">
            <v>华北片区</v>
          </cell>
          <cell r="H1135" t="str">
            <v>0032</v>
          </cell>
          <cell r="I1135" t="str">
            <v>华北片区</v>
          </cell>
          <cell r="J1135" t="str">
            <v>华北片区</v>
          </cell>
          <cell r="K1135" t="str">
            <v>Chinese employees</v>
          </cell>
          <cell r="L1135" t="str">
            <v>L2</v>
          </cell>
          <cell r="M1135" t="str">
            <v>ALL</v>
          </cell>
          <cell r="N1135" t="str">
            <v>FLPC(含奖金)</v>
          </cell>
          <cell r="O1135" t="str">
            <v>USD/小时</v>
          </cell>
          <cell r="P1135">
            <v>23.63</v>
          </cell>
        </row>
        <row r="1136">
          <cell r="A1136" t="str">
            <v>华北片区 - Chinese employees - L3</v>
          </cell>
          <cell r="B1136" t="str">
            <v>Current version</v>
          </cell>
          <cell r="C1136" t="str">
            <v>V2009R2</v>
          </cell>
          <cell r="D1136" t="str">
            <v>Labor Rate</v>
          </cell>
          <cell r="E1136" t="str">
            <v>China</v>
          </cell>
          <cell r="F1136" t="str">
            <v>China</v>
          </cell>
          <cell r="G1136" t="str">
            <v>华北片区</v>
          </cell>
          <cell r="H1136" t="str">
            <v>0032</v>
          </cell>
          <cell r="I1136" t="str">
            <v>华北片区</v>
          </cell>
          <cell r="J1136" t="str">
            <v>华北片区</v>
          </cell>
          <cell r="K1136" t="str">
            <v>Chinese employees</v>
          </cell>
          <cell r="L1136" t="str">
            <v>L3</v>
          </cell>
          <cell r="M1136" t="str">
            <v>ALL</v>
          </cell>
          <cell r="N1136" t="str">
            <v>FLPC(含奖金)</v>
          </cell>
          <cell r="O1136" t="str">
            <v>USD/小时</v>
          </cell>
          <cell r="P1136">
            <v>32.57</v>
          </cell>
        </row>
        <row r="1137">
          <cell r="A1137" t="str">
            <v>华北片区 - Chinese employees - L4</v>
          </cell>
          <cell r="B1137" t="str">
            <v>Current version</v>
          </cell>
          <cell r="C1137" t="str">
            <v>V2009R2</v>
          </cell>
          <cell r="D1137" t="str">
            <v>Labor Rate</v>
          </cell>
          <cell r="E1137" t="str">
            <v>China</v>
          </cell>
          <cell r="F1137" t="str">
            <v>China</v>
          </cell>
          <cell r="G1137" t="str">
            <v>华北片区</v>
          </cell>
          <cell r="H1137" t="str">
            <v>0032</v>
          </cell>
          <cell r="I1137" t="str">
            <v>华北片区</v>
          </cell>
          <cell r="J1137" t="str">
            <v>华北片区</v>
          </cell>
          <cell r="K1137" t="str">
            <v>Chinese employees</v>
          </cell>
          <cell r="L1137" t="str">
            <v>L4</v>
          </cell>
          <cell r="M1137" t="str">
            <v>ALL</v>
          </cell>
          <cell r="N1137" t="str">
            <v>FLPC(含奖金)</v>
          </cell>
          <cell r="O1137" t="str">
            <v>USD/小时</v>
          </cell>
          <cell r="P1137">
            <v>56.75</v>
          </cell>
        </row>
        <row r="1138">
          <cell r="A1138" t="str">
            <v>东北片区 - Chinese employees - L0</v>
          </cell>
          <cell r="B1138" t="str">
            <v>Current version</v>
          </cell>
          <cell r="C1138" t="str">
            <v>V2009R2</v>
          </cell>
          <cell r="D1138" t="str">
            <v>Labor Rate</v>
          </cell>
          <cell r="E1138" t="str">
            <v>China</v>
          </cell>
          <cell r="F1138" t="str">
            <v>China</v>
          </cell>
          <cell r="G1138" t="str">
            <v>东北片区</v>
          </cell>
          <cell r="H1138" t="str">
            <v>0033</v>
          </cell>
          <cell r="I1138" t="str">
            <v>东北片区</v>
          </cell>
          <cell r="J1138" t="str">
            <v>东北片区</v>
          </cell>
          <cell r="K1138" t="str">
            <v>Chinese employees</v>
          </cell>
          <cell r="L1138" t="str">
            <v>L0</v>
          </cell>
          <cell r="M1138" t="str">
            <v>ALL</v>
          </cell>
          <cell r="N1138" t="str">
            <v>FLPC(含奖金)</v>
          </cell>
          <cell r="O1138" t="str">
            <v>USD/小时</v>
          </cell>
          <cell r="P1138">
            <v>11.56</v>
          </cell>
        </row>
        <row r="1139">
          <cell r="A1139" t="str">
            <v>东北片区 - Chinese employees - L1</v>
          </cell>
          <cell r="B1139" t="str">
            <v>Current version</v>
          </cell>
          <cell r="C1139" t="str">
            <v>V2009R2</v>
          </cell>
          <cell r="D1139" t="str">
            <v>Labor Rate</v>
          </cell>
          <cell r="E1139" t="str">
            <v>China</v>
          </cell>
          <cell r="F1139" t="str">
            <v>China</v>
          </cell>
          <cell r="G1139" t="str">
            <v>东北片区</v>
          </cell>
          <cell r="H1139" t="str">
            <v>0033</v>
          </cell>
          <cell r="I1139" t="str">
            <v>东北片区</v>
          </cell>
          <cell r="J1139" t="str">
            <v>东北片区</v>
          </cell>
          <cell r="K1139" t="str">
            <v>Chinese employees</v>
          </cell>
          <cell r="L1139" t="str">
            <v>L1</v>
          </cell>
          <cell r="M1139" t="str">
            <v>ALL</v>
          </cell>
          <cell r="N1139" t="str">
            <v>FLPC(含奖金)</v>
          </cell>
          <cell r="O1139" t="str">
            <v>USD/小时</v>
          </cell>
          <cell r="P1139">
            <v>16.82</v>
          </cell>
        </row>
        <row r="1140">
          <cell r="A1140" t="str">
            <v>东北片区 - Chinese employees - L2</v>
          </cell>
          <cell r="B1140" t="str">
            <v>Current version</v>
          </cell>
          <cell r="C1140" t="str">
            <v>V2009R2</v>
          </cell>
          <cell r="D1140" t="str">
            <v>Labor Rate</v>
          </cell>
          <cell r="E1140" t="str">
            <v>China</v>
          </cell>
          <cell r="F1140" t="str">
            <v>China</v>
          </cell>
          <cell r="G1140" t="str">
            <v>东北片区</v>
          </cell>
          <cell r="H1140" t="str">
            <v>0033</v>
          </cell>
          <cell r="I1140" t="str">
            <v>东北片区</v>
          </cell>
          <cell r="J1140" t="str">
            <v>东北片区</v>
          </cell>
          <cell r="K1140" t="str">
            <v>Chinese employees</v>
          </cell>
          <cell r="L1140" t="str">
            <v>L2</v>
          </cell>
          <cell r="M1140" t="str">
            <v>ALL</v>
          </cell>
          <cell r="N1140" t="str">
            <v>FLPC(含奖金)</v>
          </cell>
          <cell r="O1140" t="str">
            <v>USD/小时</v>
          </cell>
          <cell r="P1140">
            <v>23.63</v>
          </cell>
        </row>
        <row r="1141">
          <cell r="A1141" t="str">
            <v>东北片区 - Chinese employees - L3</v>
          </cell>
          <cell r="B1141" t="str">
            <v>Current version</v>
          </cell>
          <cell r="C1141" t="str">
            <v>V2009R2</v>
          </cell>
          <cell r="D1141" t="str">
            <v>Labor Rate</v>
          </cell>
          <cell r="E1141" t="str">
            <v>China</v>
          </cell>
          <cell r="F1141" t="str">
            <v>China</v>
          </cell>
          <cell r="G1141" t="str">
            <v>东北片区</v>
          </cell>
          <cell r="H1141" t="str">
            <v>0033</v>
          </cell>
          <cell r="I1141" t="str">
            <v>东北片区</v>
          </cell>
          <cell r="J1141" t="str">
            <v>东北片区</v>
          </cell>
          <cell r="K1141" t="str">
            <v>Chinese employees</v>
          </cell>
          <cell r="L1141" t="str">
            <v>L3</v>
          </cell>
          <cell r="M1141" t="str">
            <v>ALL</v>
          </cell>
          <cell r="N1141" t="str">
            <v>FLPC(含奖金)</v>
          </cell>
          <cell r="O1141" t="str">
            <v>USD/小时</v>
          </cell>
          <cell r="P1141">
            <v>32.57</v>
          </cell>
        </row>
        <row r="1142">
          <cell r="A1142" t="str">
            <v>东北片区 - Chinese employees - L4</v>
          </cell>
          <cell r="B1142" t="str">
            <v>Current version</v>
          </cell>
          <cell r="C1142" t="str">
            <v>V2009R2</v>
          </cell>
          <cell r="D1142" t="str">
            <v>Labor Rate</v>
          </cell>
          <cell r="E1142" t="str">
            <v>China</v>
          </cell>
          <cell r="F1142" t="str">
            <v>China</v>
          </cell>
          <cell r="G1142" t="str">
            <v>东北片区</v>
          </cell>
          <cell r="H1142" t="str">
            <v>0033</v>
          </cell>
          <cell r="I1142" t="str">
            <v>东北片区</v>
          </cell>
          <cell r="J1142" t="str">
            <v>东北片区</v>
          </cell>
          <cell r="K1142" t="str">
            <v>Chinese employees</v>
          </cell>
          <cell r="L1142" t="str">
            <v>L4</v>
          </cell>
          <cell r="M1142" t="str">
            <v>ALL</v>
          </cell>
          <cell r="N1142" t="str">
            <v>FLPC(含奖金)</v>
          </cell>
          <cell r="O1142" t="str">
            <v>USD/小时</v>
          </cell>
          <cell r="P1142">
            <v>56.75</v>
          </cell>
        </row>
        <row r="1143">
          <cell r="A1143" t="str">
            <v>西北片区 - Chinese employees - L0</v>
          </cell>
          <cell r="B1143" t="str">
            <v>Current version</v>
          </cell>
          <cell r="C1143" t="str">
            <v>V2009R2</v>
          </cell>
          <cell r="D1143" t="str">
            <v>Labor Rate</v>
          </cell>
          <cell r="E1143" t="str">
            <v>China</v>
          </cell>
          <cell r="F1143" t="str">
            <v>China</v>
          </cell>
          <cell r="G1143" t="str">
            <v>西北片区</v>
          </cell>
          <cell r="H1143" t="str">
            <v>0034</v>
          </cell>
          <cell r="I1143" t="str">
            <v>西北片区</v>
          </cell>
          <cell r="J1143" t="str">
            <v>西北片区</v>
          </cell>
          <cell r="K1143" t="str">
            <v>Chinese employees</v>
          </cell>
          <cell r="L1143" t="str">
            <v>L0</v>
          </cell>
          <cell r="M1143" t="str">
            <v>ALL</v>
          </cell>
          <cell r="N1143" t="str">
            <v>FLPC(含奖金)</v>
          </cell>
          <cell r="O1143" t="str">
            <v>USD/小时</v>
          </cell>
          <cell r="P1143">
            <v>11.56</v>
          </cell>
        </row>
        <row r="1144">
          <cell r="A1144" t="str">
            <v>西北片区 - Chinese employees - L1</v>
          </cell>
          <cell r="B1144" t="str">
            <v>Current version</v>
          </cell>
          <cell r="C1144" t="str">
            <v>V2009R2</v>
          </cell>
          <cell r="D1144" t="str">
            <v>Labor Rate</v>
          </cell>
          <cell r="E1144" t="str">
            <v>China</v>
          </cell>
          <cell r="F1144" t="str">
            <v>China</v>
          </cell>
          <cell r="G1144" t="str">
            <v>西北片区</v>
          </cell>
          <cell r="H1144" t="str">
            <v>0034</v>
          </cell>
          <cell r="I1144" t="str">
            <v>西北片区</v>
          </cell>
          <cell r="J1144" t="str">
            <v>西北片区</v>
          </cell>
          <cell r="K1144" t="str">
            <v>Chinese employees</v>
          </cell>
          <cell r="L1144" t="str">
            <v>L1</v>
          </cell>
          <cell r="M1144" t="str">
            <v>ALL</v>
          </cell>
          <cell r="N1144" t="str">
            <v>FLPC(含奖金)</v>
          </cell>
          <cell r="O1144" t="str">
            <v>USD/小时</v>
          </cell>
          <cell r="P1144">
            <v>16.82</v>
          </cell>
        </row>
        <row r="1145">
          <cell r="A1145" t="str">
            <v>西北片区 - Chinese employees - L2</v>
          </cell>
          <cell r="B1145" t="str">
            <v>Current version</v>
          </cell>
          <cell r="C1145" t="str">
            <v>V2009R2</v>
          </cell>
          <cell r="D1145" t="str">
            <v>Labor Rate</v>
          </cell>
          <cell r="E1145" t="str">
            <v>China</v>
          </cell>
          <cell r="F1145" t="str">
            <v>China</v>
          </cell>
          <cell r="G1145" t="str">
            <v>西北片区</v>
          </cell>
          <cell r="H1145" t="str">
            <v>0034</v>
          </cell>
          <cell r="I1145" t="str">
            <v>西北片区</v>
          </cell>
          <cell r="J1145" t="str">
            <v>西北片区</v>
          </cell>
          <cell r="K1145" t="str">
            <v>Chinese employees</v>
          </cell>
          <cell r="L1145" t="str">
            <v>L2</v>
          </cell>
          <cell r="M1145" t="str">
            <v>ALL</v>
          </cell>
          <cell r="N1145" t="str">
            <v>FLPC(含奖金)</v>
          </cell>
          <cell r="O1145" t="str">
            <v>USD/小时</v>
          </cell>
          <cell r="P1145">
            <v>23.63</v>
          </cell>
        </row>
        <row r="1146">
          <cell r="A1146" t="str">
            <v>西北片区 - Chinese employees - L3</v>
          </cell>
          <cell r="B1146" t="str">
            <v>Current version</v>
          </cell>
          <cell r="C1146" t="str">
            <v>V2009R2</v>
          </cell>
          <cell r="D1146" t="str">
            <v>Labor Rate</v>
          </cell>
          <cell r="E1146" t="str">
            <v>China</v>
          </cell>
          <cell r="F1146" t="str">
            <v>China</v>
          </cell>
          <cell r="G1146" t="str">
            <v>西北片区</v>
          </cell>
          <cell r="H1146" t="str">
            <v>0034</v>
          </cell>
          <cell r="I1146" t="str">
            <v>西北片区</v>
          </cell>
          <cell r="J1146" t="str">
            <v>西北片区</v>
          </cell>
          <cell r="K1146" t="str">
            <v>Chinese employees</v>
          </cell>
          <cell r="L1146" t="str">
            <v>L3</v>
          </cell>
          <cell r="M1146" t="str">
            <v>ALL</v>
          </cell>
          <cell r="N1146" t="str">
            <v>FLPC(含奖金)</v>
          </cell>
          <cell r="O1146" t="str">
            <v>USD/小时</v>
          </cell>
          <cell r="P1146">
            <v>32.57</v>
          </cell>
        </row>
        <row r="1147">
          <cell r="A1147" t="str">
            <v>西北片区 - Chinese employees - L4</v>
          </cell>
          <cell r="B1147" t="str">
            <v>Current version</v>
          </cell>
          <cell r="C1147" t="str">
            <v>V2009R2</v>
          </cell>
          <cell r="D1147" t="str">
            <v>Labor Rate</v>
          </cell>
          <cell r="E1147" t="str">
            <v>China</v>
          </cell>
          <cell r="F1147" t="str">
            <v>China</v>
          </cell>
          <cell r="G1147" t="str">
            <v>西北片区</v>
          </cell>
          <cell r="H1147" t="str">
            <v>0034</v>
          </cell>
          <cell r="I1147" t="str">
            <v>西北片区</v>
          </cell>
          <cell r="J1147" t="str">
            <v>西北片区</v>
          </cell>
          <cell r="K1147" t="str">
            <v>Chinese employees</v>
          </cell>
          <cell r="L1147" t="str">
            <v>L4</v>
          </cell>
          <cell r="M1147" t="str">
            <v>ALL</v>
          </cell>
          <cell r="N1147" t="str">
            <v>FLPC(含奖金)</v>
          </cell>
          <cell r="O1147" t="str">
            <v>USD/小时</v>
          </cell>
          <cell r="P1147">
            <v>56.75</v>
          </cell>
        </row>
        <row r="1148">
          <cell r="A1148" t="str">
            <v>华东片区 - Chinese employees - L0</v>
          </cell>
          <cell r="B1148" t="str">
            <v>Current version</v>
          </cell>
          <cell r="C1148" t="str">
            <v>V2009R2</v>
          </cell>
          <cell r="D1148" t="str">
            <v>Labor Rate</v>
          </cell>
          <cell r="E1148" t="str">
            <v>China</v>
          </cell>
          <cell r="F1148" t="str">
            <v>China</v>
          </cell>
          <cell r="G1148" t="str">
            <v>中国总部</v>
          </cell>
          <cell r="H1148" t="str">
            <v>0035</v>
          </cell>
          <cell r="I1148" t="str">
            <v>华东片区</v>
          </cell>
          <cell r="J1148" t="str">
            <v>华东片区</v>
          </cell>
          <cell r="K1148" t="str">
            <v>Chinese employees</v>
          </cell>
          <cell r="L1148" t="str">
            <v>L0</v>
          </cell>
          <cell r="M1148" t="str">
            <v>ALL</v>
          </cell>
          <cell r="N1148" t="str">
            <v>FLPC(含奖金)</v>
          </cell>
          <cell r="O1148" t="str">
            <v>USD/小时</v>
          </cell>
          <cell r="P1148">
            <v>11.56</v>
          </cell>
        </row>
        <row r="1149">
          <cell r="A1149" t="str">
            <v>华东片区 - Chinese employees - L1</v>
          </cell>
          <cell r="B1149" t="str">
            <v>Current version</v>
          </cell>
          <cell r="C1149" t="str">
            <v>V2009R2</v>
          </cell>
          <cell r="D1149" t="str">
            <v>Labor Rate</v>
          </cell>
          <cell r="E1149" t="str">
            <v>China</v>
          </cell>
          <cell r="F1149" t="str">
            <v>China</v>
          </cell>
          <cell r="G1149" t="str">
            <v>中国总部</v>
          </cell>
          <cell r="H1149" t="str">
            <v>0035</v>
          </cell>
          <cell r="I1149" t="str">
            <v>华东片区</v>
          </cell>
          <cell r="J1149" t="str">
            <v>华东片区</v>
          </cell>
          <cell r="K1149" t="str">
            <v>Chinese employees</v>
          </cell>
          <cell r="L1149" t="str">
            <v>L1</v>
          </cell>
          <cell r="M1149" t="str">
            <v>ALL</v>
          </cell>
          <cell r="N1149" t="str">
            <v>FLPC(含奖金)</v>
          </cell>
          <cell r="O1149" t="str">
            <v>USD/小时</v>
          </cell>
          <cell r="P1149">
            <v>16.82</v>
          </cell>
        </row>
        <row r="1150">
          <cell r="A1150" t="str">
            <v>华东片区 - Chinese employees - L2</v>
          </cell>
          <cell r="B1150" t="str">
            <v>Current version</v>
          </cell>
          <cell r="C1150" t="str">
            <v>V2009R2</v>
          </cell>
          <cell r="D1150" t="str">
            <v>Labor Rate</v>
          </cell>
          <cell r="E1150" t="str">
            <v>China</v>
          </cell>
          <cell r="F1150" t="str">
            <v>China</v>
          </cell>
          <cell r="G1150" t="str">
            <v>中国总部</v>
          </cell>
          <cell r="H1150" t="str">
            <v>0035</v>
          </cell>
          <cell r="I1150" t="str">
            <v>华东片区</v>
          </cell>
          <cell r="J1150" t="str">
            <v>华东片区</v>
          </cell>
          <cell r="K1150" t="str">
            <v>Chinese employees</v>
          </cell>
          <cell r="L1150" t="str">
            <v>L2</v>
          </cell>
          <cell r="M1150" t="str">
            <v>ALL</v>
          </cell>
          <cell r="N1150" t="str">
            <v>FLPC(含奖金)</v>
          </cell>
          <cell r="O1150" t="str">
            <v>USD/小时</v>
          </cell>
          <cell r="P1150">
            <v>23.63</v>
          </cell>
        </row>
        <row r="1151">
          <cell r="A1151" t="str">
            <v>华东片区 - Chinese employees - L3</v>
          </cell>
          <cell r="B1151" t="str">
            <v>Current version</v>
          </cell>
          <cell r="C1151" t="str">
            <v>V2009R2</v>
          </cell>
          <cell r="D1151" t="str">
            <v>Labor Rate</v>
          </cell>
          <cell r="E1151" t="str">
            <v>China</v>
          </cell>
          <cell r="F1151" t="str">
            <v>China</v>
          </cell>
          <cell r="G1151" t="str">
            <v>中国总部</v>
          </cell>
          <cell r="H1151" t="str">
            <v>0035</v>
          </cell>
          <cell r="I1151" t="str">
            <v>华东片区</v>
          </cell>
          <cell r="J1151" t="str">
            <v>华东片区</v>
          </cell>
          <cell r="K1151" t="str">
            <v>Chinese employees</v>
          </cell>
          <cell r="L1151" t="str">
            <v>L3</v>
          </cell>
          <cell r="M1151" t="str">
            <v>ALL</v>
          </cell>
          <cell r="N1151" t="str">
            <v>FLPC(含奖金)</v>
          </cell>
          <cell r="O1151" t="str">
            <v>USD/小时</v>
          </cell>
          <cell r="P1151">
            <v>32.57</v>
          </cell>
        </row>
        <row r="1152">
          <cell r="A1152" t="str">
            <v>华东片区 - Chinese employees - L4</v>
          </cell>
          <cell r="B1152" t="str">
            <v>Current version</v>
          </cell>
          <cell r="C1152" t="str">
            <v>V2009R2</v>
          </cell>
          <cell r="D1152" t="str">
            <v>Labor Rate</v>
          </cell>
          <cell r="E1152" t="str">
            <v>China</v>
          </cell>
          <cell r="F1152" t="str">
            <v>China</v>
          </cell>
          <cell r="G1152" t="str">
            <v>中国总部</v>
          </cell>
          <cell r="H1152" t="str">
            <v>0035</v>
          </cell>
          <cell r="I1152" t="str">
            <v>华东片区</v>
          </cell>
          <cell r="J1152" t="str">
            <v>华东片区</v>
          </cell>
          <cell r="K1152" t="str">
            <v>Chinese employees</v>
          </cell>
          <cell r="L1152" t="str">
            <v>L4</v>
          </cell>
          <cell r="M1152" t="str">
            <v>ALL</v>
          </cell>
          <cell r="N1152" t="str">
            <v>FLPC(含奖金)</v>
          </cell>
          <cell r="O1152" t="str">
            <v>USD/小时</v>
          </cell>
          <cell r="P1152">
            <v>56.75</v>
          </cell>
        </row>
        <row r="1153">
          <cell r="A1153" t="str">
            <v>华南片区 - Chinese employees - L0</v>
          </cell>
          <cell r="B1153" t="str">
            <v>Current version</v>
          </cell>
          <cell r="C1153" t="str">
            <v>V2009R2</v>
          </cell>
          <cell r="D1153" t="str">
            <v>Labor Rate</v>
          </cell>
          <cell r="E1153" t="str">
            <v>China</v>
          </cell>
          <cell r="F1153" t="str">
            <v>China</v>
          </cell>
          <cell r="G1153" t="str">
            <v>中国总部</v>
          </cell>
          <cell r="H1153" t="str">
            <v>0036</v>
          </cell>
          <cell r="I1153" t="str">
            <v>华南片区</v>
          </cell>
          <cell r="J1153" t="str">
            <v>华南片区</v>
          </cell>
          <cell r="K1153" t="str">
            <v>Chinese employees</v>
          </cell>
          <cell r="L1153" t="str">
            <v>L0</v>
          </cell>
          <cell r="M1153" t="str">
            <v>ALL</v>
          </cell>
          <cell r="N1153" t="str">
            <v>FLPC(含奖金)</v>
          </cell>
          <cell r="O1153" t="str">
            <v>USD/小时</v>
          </cell>
          <cell r="P1153">
            <v>11.56</v>
          </cell>
        </row>
        <row r="1154">
          <cell r="A1154" t="str">
            <v>华南片区 - Chinese employees - L1</v>
          </cell>
          <cell r="B1154" t="str">
            <v>Current version</v>
          </cell>
          <cell r="C1154" t="str">
            <v>V2009R2</v>
          </cell>
          <cell r="D1154" t="str">
            <v>Labor Rate</v>
          </cell>
          <cell r="E1154" t="str">
            <v>China</v>
          </cell>
          <cell r="F1154" t="str">
            <v>China</v>
          </cell>
          <cell r="G1154" t="str">
            <v>中国总部</v>
          </cell>
          <cell r="H1154" t="str">
            <v>0036</v>
          </cell>
          <cell r="I1154" t="str">
            <v>华南片区</v>
          </cell>
          <cell r="J1154" t="str">
            <v>华南片区</v>
          </cell>
          <cell r="K1154" t="str">
            <v>Chinese employees</v>
          </cell>
          <cell r="L1154" t="str">
            <v>L1</v>
          </cell>
          <cell r="M1154" t="str">
            <v>ALL</v>
          </cell>
          <cell r="N1154" t="str">
            <v>FLPC(含奖金)</v>
          </cell>
          <cell r="O1154" t="str">
            <v>USD/小时</v>
          </cell>
          <cell r="P1154">
            <v>16.82</v>
          </cell>
        </row>
        <row r="1155">
          <cell r="A1155" t="str">
            <v>华南片区 - Chinese employees - L2</v>
          </cell>
          <cell r="B1155" t="str">
            <v>Current version</v>
          </cell>
          <cell r="C1155" t="str">
            <v>V2009R2</v>
          </cell>
          <cell r="D1155" t="str">
            <v>Labor Rate</v>
          </cell>
          <cell r="E1155" t="str">
            <v>China</v>
          </cell>
          <cell r="F1155" t="str">
            <v>China</v>
          </cell>
          <cell r="G1155" t="str">
            <v>中国总部</v>
          </cell>
          <cell r="H1155" t="str">
            <v>0036</v>
          </cell>
          <cell r="I1155" t="str">
            <v>华南片区</v>
          </cell>
          <cell r="J1155" t="str">
            <v>华南片区</v>
          </cell>
          <cell r="K1155" t="str">
            <v>Chinese employees</v>
          </cell>
          <cell r="L1155" t="str">
            <v>L2</v>
          </cell>
          <cell r="M1155" t="str">
            <v>ALL</v>
          </cell>
          <cell r="N1155" t="str">
            <v>FLPC(含奖金)</v>
          </cell>
          <cell r="O1155" t="str">
            <v>USD/小时</v>
          </cell>
          <cell r="P1155">
            <v>23.63</v>
          </cell>
        </row>
        <row r="1156">
          <cell r="A1156" t="str">
            <v>华南片区 - Chinese employees - L3</v>
          </cell>
          <cell r="B1156" t="str">
            <v>Current version</v>
          </cell>
          <cell r="C1156" t="str">
            <v>V2009R2</v>
          </cell>
          <cell r="D1156" t="str">
            <v>Labor Rate</v>
          </cell>
          <cell r="E1156" t="str">
            <v>China</v>
          </cell>
          <cell r="F1156" t="str">
            <v>China</v>
          </cell>
          <cell r="G1156" t="str">
            <v>中国总部</v>
          </cell>
          <cell r="H1156" t="str">
            <v>0036</v>
          </cell>
          <cell r="I1156" t="str">
            <v>华南片区</v>
          </cell>
          <cell r="J1156" t="str">
            <v>华南片区</v>
          </cell>
          <cell r="K1156" t="str">
            <v>Chinese employees</v>
          </cell>
          <cell r="L1156" t="str">
            <v>L3</v>
          </cell>
          <cell r="M1156" t="str">
            <v>ALL</v>
          </cell>
          <cell r="N1156" t="str">
            <v>FLPC(含奖金)</v>
          </cell>
          <cell r="O1156" t="str">
            <v>USD/小时</v>
          </cell>
          <cell r="P1156">
            <v>32.57</v>
          </cell>
        </row>
        <row r="1157">
          <cell r="A1157" t="str">
            <v>华南片区 - Chinese employees - L4</v>
          </cell>
          <cell r="B1157" t="str">
            <v>Current version</v>
          </cell>
          <cell r="C1157" t="str">
            <v>V2009R2</v>
          </cell>
          <cell r="D1157" t="str">
            <v>Labor Rate</v>
          </cell>
          <cell r="E1157" t="str">
            <v>China</v>
          </cell>
          <cell r="F1157" t="str">
            <v>China</v>
          </cell>
          <cell r="G1157" t="str">
            <v>中国总部</v>
          </cell>
          <cell r="H1157" t="str">
            <v>0036</v>
          </cell>
          <cell r="I1157" t="str">
            <v>华南片区</v>
          </cell>
          <cell r="J1157" t="str">
            <v>华南片区</v>
          </cell>
          <cell r="K1157" t="str">
            <v>Chinese employees</v>
          </cell>
          <cell r="L1157" t="str">
            <v>L4</v>
          </cell>
          <cell r="M1157" t="str">
            <v>ALL</v>
          </cell>
          <cell r="N1157" t="str">
            <v>FLPC(含奖金)</v>
          </cell>
          <cell r="O1157" t="str">
            <v>USD/小时</v>
          </cell>
          <cell r="P1157">
            <v>56.75</v>
          </cell>
        </row>
        <row r="1158">
          <cell r="A1158" t="str">
            <v>西南片区 - Chinese employees - L0</v>
          </cell>
          <cell r="B1158" t="str">
            <v>Current version</v>
          </cell>
          <cell r="C1158" t="str">
            <v>V2009R2</v>
          </cell>
          <cell r="D1158" t="str">
            <v>Labor Rate</v>
          </cell>
          <cell r="E1158" t="str">
            <v>China</v>
          </cell>
          <cell r="F1158" t="str">
            <v>China</v>
          </cell>
          <cell r="G1158" t="str">
            <v>中国总部</v>
          </cell>
          <cell r="H1158" t="str">
            <v>0037</v>
          </cell>
          <cell r="I1158" t="str">
            <v>西南片区</v>
          </cell>
          <cell r="J1158" t="str">
            <v>西南片区</v>
          </cell>
          <cell r="K1158" t="str">
            <v>Chinese employees</v>
          </cell>
          <cell r="L1158" t="str">
            <v>L0</v>
          </cell>
          <cell r="M1158" t="str">
            <v>ALL</v>
          </cell>
          <cell r="N1158" t="str">
            <v>FLPC(含奖金)</v>
          </cell>
          <cell r="O1158" t="str">
            <v>USD/小时</v>
          </cell>
          <cell r="P1158">
            <v>11.56</v>
          </cell>
        </row>
        <row r="1159">
          <cell r="A1159" t="str">
            <v>西南片区 - Chinese employees - L1</v>
          </cell>
          <cell r="B1159" t="str">
            <v>Current version</v>
          </cell>
          <cell r="C1159" t="str">
            <v>V2009R2</v>
          </cell>
          <cell r="D1159" t="str">
            <v>Labor Rate</v>
          </cell>
          <cell r="E1159" t="str">
            <v>China</v>
          </cell>
          <cell r="F1159" t="str">
            <v>China</v>
          </cell>
          <cell r="G1159" t="str">
            <v>中国总部</v>
          </cell>
          <cell r="H1159" t="str">
            <v>0037</v>
          </cell>
          <cell r="I1159" t="str">
            <v>西南片区</v>
          </cell>
          <cell r="J1159" t="str">
            <v>西南片区</v>
          </cell>
          <cell r="K1159" t="str">
            <v>Chinese employees</v>
          </cell>
          <cell r="L1159" t="str">
            <v>L1</v>
          </cell>
          <cell r="M1159" t="str">
            <v>ALL</v>
          </cell>
          <cell r="N1159" t="str">
            <v>FLPC(含奖金)</v>
          </cell>
          <cell r="O1159" t="str">
            <v>USD/小时</v>
          </cell>
          <cell r="P1159">
            <v>16.82</v>
          </cell>
        </row>
        <row r="1160">
          <cell r="A1160" t="str">
            <v>西南片区 - Chinese employees - L2</v>
          </cell>
          <cell r="B1160" t="str">
            <v>Current version</v>
          </cell>
          <cell r="C1160" t="str">
            <v>V2009R2</v>
          </cell>
          <cell r="D1160" t="str">
            <v>Labor Rate</v>
          </cell>
          <cell r="E1160" t="str">
            <v>China</v>
          </cell>
          <cell r="F1160" t="str">
            <v>China</v>
          </cell>
          <cell r="G1160" t="str">
            <v>中国总部</v>
          </cell>
          <cell r="H1160" t="str">
            <v>0037</v>
          </cell>
          <cell r="I1160" t="str">
            <v>西南片区</v>
          </cell>
          <cell r="J1160" t="str">
            <v>西南片区</v>
          </cell>
          <cell r="K1160" t="str">
            <v>Chinese employees</v>
          </cell>
          <cell r="L1160" t="str">
            <v>L2</v>
          </cell>
          <cell r="M1160" t="str">
            <v>ALL</v>
          </cell>
          <cell r="N1160" t="str">
            <v>FLPC(含奖金)</v>
          </cell>
          <cell r="O1160" t="str">
            <v>USD/小时</v>
          </cell>
          <cell r="P1160">
            <v>23.63</v>
          </cell>
        </row>
        <row r="1161">
          <cell r="A1161" t="str">
            <v>西南片区 - Chinese employees - L3</v>
          </cell>
          <cell r="B1161" t="str">
            <v>Current version</v>
          </cell>
          <cell r="C1161" t="str">
            <v>V2009R2</v>
          </cell>
          <cell r="D1161" t="str">
            <v>Labor Rate</v>
          </cell>
          <cell r="E1161" t="str">
            <v>China</v>
          </cell>
          <cell r="F1161" t="str">
            <v>China</v>
          </cell>
          <cell r="G1161" t="str">
            <v>中国总部</v>
          </cell>
          <cell r="H1161" t="str">
            <v>0037</v>
          </cell>
          <cell r="I1161" t="str">
            <v>西南片区</v>
          </cell>
          <cell r="J1161" t="str">
            <v>西南片区</v>
          </cell>
          <cell r="K1161" t="str">
            <v>Chinese employees</v>
          </cell>
          <cell r="L1161" t="str">
            <v>L3</v>
          </cell>
          <cell r="M1161" t="str">
            <v>ALL</v>
          </cell>
          <cell r="N1161" t="str">
            <v>FLPC(含奖金)</v>
          </cell>
          <cell r="O1161" t="str">
            <v>USD/小时</v>
          </cell>
          <cell r="P1161">
            <v>32.57</v>
          </cell>
        </row>
        <row r="1162">
          <cell r="A1162" t="str">
            <v>西南片区 - Chinese employees - L4</v>
          </cell>
          <cell r="B1162" t="str">
            <v>Current version</v>
          </cell>
          <cell r="C1162" t="str">
            <v>V2009R2</v>
          </cell>
          <cell r="D1162" t="str">
            <v>Labor Rate</v>
          </cell>
          <cell r="E1162" t="str">
            <v>China</v>
          </cell>
          <cell r="F1162" t="str">
            <v>China</v>
          </cell>
          <cell r="G1162" t="str">
            <v>中国总部</v>
          </cell>
          <cell r="H1162" t="str">
            <v>0037</v>
          </cell>
          <cell r="I1162" t="str">
            <v>西南片区</v>
          </cell>
          <cell r="J1162" t="str">
            <v>西南片区</v>
          </cell>
          <cell r="K1162" t="str">
            <v>Chinese employees</v>
          </cell>
          <cell r="L1162" t="str">
            <v>L4</v>
          </cell>
          <cell r="M1162" t="str">
            <v>ALL</v>
          </cell>
          <cell r="N1162" t="str">
            <v>FLPC(含奖金)</v>
          </cell>
          <cell r="O1162" t="str">
            <v>USD/小时</v>
          </cell>
          <cell r="P1162">
            <v>56.75</v>
          </cell>
        </row>
        <row r="1163">
          <cell r="A1163" t="str">
            <v>Beijing - Chinese employees - L0</v>
          </cell>
          <cell r="B1163" t="str">
            <v>Current version</v>
          </cell>
          <cell r="C1163" t="str">
            <v>V2009R2</v>
          </cell>
          <cell r="D1163" t="str">
            <v>Labor Rate</v>
          </cell>
          <cell r="E1163" t="str">
            <v>China</v>
          </cell>
          <cell r="F1163" t="str">
            <v>China</v>
          </cell>
          <cell r="G1163" t="str">
            <v>北京办事处</v>
          </cell>
          <cell r="H1163" t="str">
            <v>0003</v>
          </cell>
          <cell r="I1163" t="str">
            <v>北京</v>
          </cell>
          <cell r="J1163" t="str">
            <v>Beijing</v>
          </cell>
          <cell r="K1163" t="str">
            <v>Chinese employees</v>
          </cell>
          <cell r="L1163" t="str">
            <v>L0</v>
          </cell>
          <cell r="M1163" t="str">
            <v>ALL</v>
          </cell>
          <cell r="N1163" t="str">
            <v>FLPC(含奖金)</v>
          </cell>
          <cell r="O1163" t="str">
            <v>USD/小时</v>
          </cell>
          <cell r="P1163">
            <v>11.56</v>
          </cell>
        </row>
        <row r="1164">
          <cell r="A1164" t="str">
            <v>Beijing - Chinese employees - L1</v>
          </cell>
          <cell r="B1164" t="str">
            <v>Current version</v>
          </cell>
          <cell r="C1164" t="str">
            <v>V2009R2</v>
          </cell>
          <cell r="D1164" t="str">
            <v>Labor Rate</v>
          </cell>
          <cell r="E1164" t="str">
            <v>China</v>
          </cell>
          <cell r="F1164" t="str">
            <v>China</v>
          </cell>
          <cell r="G1164" t="str">
            <v>北京办事处</v>
          </cell>
          <cell r="H1164" t="str">
            <v>0003</v>
          </cell>
          <cell r="I1164" t="str">
            <v>北京</v>
          </cell>
          <cell r="J1164" t="str">
            <v>Beijing</v>
          </cell>
          <cell r="K1164" t="str">
            <v>Chinese employees</v>
          </cell>
          <cell r="L1164" t="str">
            <v>L1</v>
          </cell>
          <cell r="M1164" t="str">
            <v>ALL</v>
          </cell>
          <cell r="N1164" t="str">
            <v>FLPC(含奖金)</v>
          </cell>
          <cell r="O1164" t="str">
            <v>USD/小时</v>
          </cell>
          <cell r="P1164">
            <v>16.82</v>
          </cell>
        </row>
        <row r="1165">
          <cell r="A1165" t="str">
            <v>Beijing - Chinese employees - L2</v>
          </cell>
          <cell r="B1165" t="str">
            <v>Current version</v>
          </cell>
          <cell r="C1165" t="str">
            <v>V2009R2</v>
          </cell>
          <cell r="D1165" t="str">
            <v>Labor Rate</v>
          </cell>
          <cell r="E1165" t="str">
            <v>China</v>
          </cell>
          <cell r="F1165" t="str">
            <v>China</v>
          </cell>
          <cell r="G1165" t="str">
            <v>北京办事处</v>
          </cell>
          <cell r="H1165" t="str">
            <v>0003</v>
          </cell>
          <cell r="I1165" t="str">
            <v>北京</v>
          </cell>
          <cell r="J1165" t="str">
            <v>Beijing</v>
          </cell>
          <cell r="K1165" t="str">
            <v>Chinese employees</v>
          </cell>
          <cell r="L1165" t="str">
            <v>L2</v>
          </cell>
          <cell r="M1165" t="str">
            <v>ALL</v>
          </cell>
          <cell r="N1165" t="str">
            <v>FLPC(含奖金)</v>
          </cell>
          <cell r="O1165" t="str">
            <v>USD/小时</v>
          </cell>
          <cell r="P1165">
            <v>23.63</v>
          </cell>
        </row>
        <row r="1166">
          <cell r="A1166" t="str">
            <v>Beijing - Chinese employees - L3</v>
          </cell>
          <cell r="B1166" t="str">
            <v>Current version</v>
          </cell>
          <cell r="C1166" t="str">
            <v>V2009R2</v>
          </cell>
          <cell r="D1166" t="str">
            <v>Labor Rate</v>
          </cell>
          <cell r="E1166" t="str">
            <v>China</v>
          </cell>
          <cell r="F1166" t="str">
            <v>China</v>
          </cell>
          <cell r="G1166" t="str">
            <v>北京办事处</v>
          </cell>
          <cell r="H1166" t="str">
            <v>0003</v>
          </cell>
          <cell r="I1166" t="str">
            <v>北京</v>
          </cell>
          <cell r="J1166" t="str">
            <v>Beijing</v>
          </cell>
          <cell r="K1166" t="str">
            <v>Chinese employees</v>
          </cell>
          <cell r="L1166" t="str">
            <v>L3</v>
          </cell>
          <cell r="M1166" t="str">
            <v>ALL</v>
          </cell>
          <cell r="N1166" t="str">
            <v>FLPC(含奖金)</v>
          </cell>
          <cell r="O1166" t="str">
            <v>USD/小时</v>
          </cell>
          <cell r="P1166">
            <v>32.57</v>
          </cell>
        </row>
        <row r="1167">
          <cell r="A1167" t="str">
            <v>Beijing - Chinese employees - L4</v>
          </cell>
          <cell r="B1167" t="str">
            <v>Current version</v>
          </cell>
          <cell r="C1167" t="str">
            <v>V2009R2</v>
          </cell>
          <cell r="D1167" t="str">
            <v>Labor Rate</v>
          </cell>
          <cell r="E1167" t="str">
            <v>China</v>
          </cell>
          <cell r="F1167" t="str">
            <v>China</v>
          </cell>
          <cell r="G1167" t="str">
            <v>北京办事处</v>
          </cell>
          <cell r="H1167" t="str">
            <v>0003</v>
          </cell>
          <cell r="I1167" t="str">
            <v>北京</v>
          </cell>
          <cell r="J1167" t="str">
            <v>Beijing</v>
          </cell>
          <cell r="K1167" t="str">
            <v>Chinese employees</v>
          </cell>
          <cell r="L1167" t="str">
            <v>L4</v>
          </cell>
          <cell r="M1167" t="str">
            <v>ALL</v>
          </cell>
          <cell r="N1167" t="str">
            <v>FLPC(含奖金)</v>
          </cell>
          <cell r="O1167" t="str">
            <v>USD/小时</v>
          </cell>
          <cell r="P1167">
            <v>56.75</v>
          </cell>
        </row>
        <row r="1168">
          <cell r="A1168" t="str">
            <v>Taiyuan - Chinese employees - L0</v>
          </cell>
          <cell r="B1168" t="str">
            <v>Current version</v>
          </cell>
          <cell r="C1168" t="str">
            <v>V2009R2</v>
          </cell>
          <cell r="D1168" t="str">
            <v>Labor Rate</v>
          </cell>
          <cell r="E1168" t="str">
            <v>China</v>
          </cell>
          <cell r="F1168" t="str">
            <v>China</v>
          </cell>
          <cell r="G1168" t="str">
            <v>太原办事处</v>
          </cell>
          <cell r="H1168" t="str">
            <v>0004</v>
          </cell>
          <cell r="I1168" t="str">
            <v>太原</v>
          </cell>
          <cell r="J1168" t="str">
            <v>Taiyuan</v>
          </cell>
          <cell r="K1168" t="str">
            <v>Chinese employees</v>
          </cell>
          <cell r="L1168" t="str">
            <v>L0</v>
          </cell>
          <cell r="M1168" t="str">
            <v>ALL</v>
          </cell>
          <cell r="N1168" t="str">
            <v>FLPC(含奖金)</v>
          </cell>
          <cell r="O1168" t="str">
            <v>USD/小时</v>
          </cell>
          <cell r="P1168">
            <v>11.56</v>
          </cell>
        </row>
        <row r="1169">
          <cell r="A1169" t="str">
            <v>Taiyuan - Chinese employees - L1</v>
          </cell>
          <cell r="B1169" t="str">
            <v>Current version</v>
          </cell>
          <cell r="C1169" t="str">
            <v>V2009R2</v>
          </cell>
          <cell r="D1169" t="str">
            <v>Labor Rate</v>
          </cell>
          <cell r="E1169" t="str">
            <v>China</v>
          </cell>
          <cell r="F1169" t="str">
            <v>China</v>
          </cell>
          <cell r="G1169" t="str">
            <v>太原办事处</v>
          </cell>
          <cell r="H1169" t="str">
            <v>0004</v>
          </cell>
          <cell r="I1169" t="str">
            <v>太原</v>
          </cell>
          <cell r="J1169" t="str">
            <v>Taiyuan</v>
          </cell>
          <cell r="K1169" t="str">
            <v>Chinese employees</v>
          </cell>
          <cell r="L1169" t="str">
            <v>L1</v>
          </cell>
          <cell r="M1169" t="str">
            <v>ALL</v>
          </cell>
          <cell r="N1169" t="str">
            <v>FLPC(含奖金)</v>
          </cell>
          <cell r="O1169" t="str">
            <v>USD/小时</v>
          </cell>
          <cell r="P1169">
            <v>16.82</v>
          </cell>
        </row>
        <row r="1170">
          <cell r="A1170" t="str">
            <v>Taiyuan - Chinese employees - L2</v>
          </cell>
          <cell r="B1170" t="str">
            <v>Current version</v>
          </cell>
          <cell r="C1170" t="str">
            <v>V2009R2</v>
          </cell>
          <cell r="D1170" t="str">
            <v>Labor Rate</v>
          </cell>
          <cell r="E1170" t="str">
            <v>China</v>
          </cell>
          <cell r="F1170" t="str">
            <v>China</v>
          </cell>
          <cell r="G1170" t="str">
            <v>太原办事处</v>
          </cell>
          <cell r="H1170" t="str">
            <v>0004</v>
          </cell>
          <cell r="I1170" t="str">
            <v>太原</v>
          </cell>
          <cell r="J1170" t="str">
            <v>Taiyuan</v>
          </cell>
          <cell r="K1170" t="str">
            <v>Chinese employees</v>
          </cell>
          <cell r="L1170" t="str">
            <v>L2</v>
          </cell>
          <cell r="M1170" t="str">
            <v>ALL</v>
          </cell>
          <cell r="N1170" t="str">
            <v>FLPC(含奖金)</v>
          </cell>
          <cell r="O1170" t="str">
            <v>USD/小时</v>
          </cell>
          <cell r="P1170">
            <v>23.63</v>
          </cell>
        </row>
        <row r="1171">
          <cell r="A1171" t="str">
            <v>亚太片区总部 - Chinese employees - L2</v>
          </cell>
          <cell r="B1171" t="str">
            <v>Current version</v>
          </cell>
          <cell r="C1171" t="str">
            <v>V2009R2</v>
          </cell>
          <cell r="D1171" t="str">
            <v>Labor Rate</v>
          </cell>
          <cell r="E1171" t="str">
            <v>AP</v>
          </cell>
          <cell r="F1171" t="str">
            <v>A.P. Regional Headquarter</v>
          </cell>
          <cell r="G1171" t="str">
            <v>A.P. Regional Headquarter</v>
          </cell>
          <cell r="H1171" t="str">
            <v>1200</v>
          </cell>
          <cell r="I1171" t="str">
            <v>亚太片区总部</v>
          </cell>
          <cell r="J1171" t="str">
            <v>亚太片区总部</v>
          </cell>
          <cell r="K1171" t="str">
            <v>Chinese employees</v>
          </cell>
          <cell r="L1171" t="str">
            <v>L2</v>
          </cell>
          <cell r="M1171" t="str">
            <v>ALL</v>
          </cell>
          <cell r="N1171" t="str">
            <v>FLPC(含奖金)</v>
          </cell>
          <cell r="O1171" t="str">
            <v>USD/小时</v>
          </cell>
          <cell r="P1171">
            <v>46.74</v>
          </cell>
        </row>
        <row r="1172">
          <cell r="A1172" t="str">
            <v>亚太片区总部 - Chinese employees - L3</v>
          </cell>
          <cell r="B1172" t="str">
            <v>Current version</v>
          </cell>
          <cell r="C1172" t="str">
            <v>V2009R2</v>
          </cell>
          <cell r="D1172" t="str">
            <v>Labor Rate</v>
          </cell>
          <cell r="E1172" t="str">
            <v>AP</v>
          </cell>
          <cell r="F1172" t="str">
            <v>A.P. Regional Headquarter</v>
          </cell>
          <cell r="G1172" t="str">
            <v>A.P. Regional Headquarter</v>
          </cell>
          <cell r="H1172" t="str">
            <v>1200</v>
          </cell>
          <cell r="I1172" t="str">
            <v>亚太片区总部</v>
          </cell>
          <cell r="J1172" t="str">
            <v>亚太片区总部</v>
          </cell>
          <cell r="K1172" t="str">
            <v>Chinese employees</v>
          </cell>
          <cell r="L1172" t="str">
            <v>L3</v>
          </cell>
          <cell r="M1172" t="str">
            <v>ALL</v>
          </cell>
          <cell r="N1172" t="str">
            <v>FLPC(含奖金)</v>
          </cell>
          <cell r="O1172" t="str">
            <v>USD/小时</v>
          </cell>
          <cell r="P1172">
            <v>57.67</v>
          </cell>
        </row>
        <row r="1173">
          <cell r="A1173" t="str">
            <v>亚太片区总部 - Chinese employees - L4</v>
          </cell>
          <cell r="B1173" t="str">
            <v>Current version</v>
          </cell>
          <cell r="C1173" t="str">
            <v>V2009R2</v>
          </cell>
          <cell r="D1173" t="str">
            <v>Labor Rate</v>
          </cell>
          <cell r="E1173" t="str">
            <v>AP</v>
          </cell>
          <cell r="F1173" t="str">
            <v>A.P. Regional Headquarter</v>
          </cell>
          <cell r="G1173" t="str">
            <v>A.P. Regional Headquarter</v>
          </cell>
          <cell r="H1173" t="str">
            <v>1200</v>
          </cell>
          <cell r="I1173" t="str">
            <v>亚太片区总部</v>
          </cell>
          <cell r="J1173" t="str">
            <v>亚太片区总部</v>
          </cell>
          <cell r="K1173" t="str">
            <v>Chinese employees</v>
          </cell>
          <cell r="L1173" t="str">
            <v>L4</v>
          </cell>
          <cell r="M1173" t="str">
            <v>ALL</v>
          </cell>
          <cell r="N1173" t="str">
            <v>FLPC(含奖金)</v>
          </cell>
          <cell r="O1173" t="str">
            <v>USD/小时</v>
          </cell>
          <cell r="P1173">
            <v>97.08</v>
          </cell>
        </row>
        <row r="1174">
          <cell r="A1174" t="str">
            <v>独联体片区总部 - Chinese employees - L0</v>
          </cell>
          <cell r="B1174" t="str">
            <v>Current version</v>
          </cell>
          <cell r="C1174" t="str">
            <v>V2009R2</v>
          </cell>
          <cell r="D1174" t="str">
            <v>Labor Rate</v>
          </cell>
          <cell r="E1174" t="str">
            <v>CIS</v>
          </cell>
          <cell r="F1174" t="str">
            <v>Cis Regional Headquarter</v>
          </cell>
          <cell r="G1174" t="str">
            <v>Cis Regional Headquarter</v>
          </cell>
          <cell r="H1174" t="str">
            <v>3000</v>
          </cell>
          <cell r="I1174" t="str">
            <v>独联体片区总部</v>
          </cell>
          <cell r="J1174" t="str">
            <v>独联体片区总部</v>
          </cell>
          <cell r="K1174" t="str">
            <v>Chinese employees</v>
          </cell>
          <cell r="L1174" t="str">
            <v>L0</v>
          </cell>
          <cell r="M1174" t="str">
            <v>ALL</v>
          </cell>
          <cell r="N1174" t="str">
            <v>FLPC(含奖金)</v>
          </cell>
          <cell r="O1174" t="str">
            <v>USD/小时</v>
          </cell>
          <cell r="P1174">
            <v>57.12</v>
          </cell>
        </row>
        <row r="1175">
          <cell r="A1175" t="str">
            <v>独联体片区总部 - Chinese employees - L1</v>
          </cell>
          <cell r="B1175" t="str">
            <v>Current version</v>
          </cell>
          <cell r="C1175" t="str">
            <v>V2009R2</v>
          </cell>
          <cell r="D1175" t="str">
            <v>Labor Rate</v>
          </cell>
          <cell r="E1175" t="str">
            <v>CIS</v>
          </cell>
          <cell r="F1175" t="str">
            <v>Cis Regional Headquarter</v>
          </cell>
          <cell r="G1175" t="str">
            <v>Cis Regional Headquarter</v>
          </cell>
          <cell r="H1175" t="str">
            <v>3000</v>
          </cell>
          <cell r="I1175" t="str">
            <v>独联体片区总部</v>
          </cell>
          <cell r="J1175" t="str">
            <v>独联体片区总部</v>
          </cell>
          <cell r="K1175" t="str">
            <v>Chinese employees</v>
          </cell>
          <cell r="L1175" t="str">
            <v>L1</v>
          </cell>
          <cell r="M1175" t="str">
            <v>ALL</v>
          </cell>
          <cell r="N1175" t="str">
            <v>FLPC(含奖金)</v>
          </cell>
          <cell r="O1175" t="str">
            <v>USD/小时</v>
          </cell>
          <cell r="P1175">
            <v>63.68</v>
          </cell>
        </row>
        <row r="1176">
          <cell r="A1176" t="str">
            <v>独联体片区总部 - Chinese employees - L2</v>
          </cell>
          <cell r="B1176" t="str">
            <v>Current version</v>
          </cell>
          <cell r="C1176" t="str">
            <v>V2009R2</v>
          </cell>
          <cell r="D1176" t="str">
            <v>Labor Rate</v>
          </cell>
          <cell r="E1176" t="str">
            <v>CIS</v>
          </cell>
          <cell r="F1176" t="str">
            <v>Cis Regional Headquarter</v>
          </cell>
          <cell r="G1176" t="str">
            <v>Cis Regional Headquarter</v>
          </cell>
          <cell r="H1176" t="str">
            <v>3000</v>
          </cell>
          <cell r="I1176" t="str">
            <v>独联体片区总部</v>
          </cell>
          <cell r="J1176" t="str">
            <v>独联体片区总部</v>
          </cell>
          <cell r="K1176" t="str">
            <v>Chinese employees</v>
          </cell>
          <cell r="L1176" t="str">
            <v>L2</v>
          </cell>
          <cell r="M1176" t="str">
            <v>ALL</v>
          </cell>
          <cell r="N1176" t="str">
            <v>FLPC(含奖金)</v>
          </cell>
          <cell r="O1176" t="str">
            <v>USD/小时</v>
          </cell>
          <cell r="P1176">
            <v>71.930000000000007</v>
          </cell>
        </row>
        <row r="1177">
          <cell r="A1177" t="str">
            <v>独联体片区总部 - Chinese employees - L3</v>
          </cell>
          <cell r="B1177" t="str">
            <v>Current version</v>
          </cell>
          <cell r="C1177" t="str">
            <v>V2009R2</v>
          </cell>
          <cell r="D1177" t="str">
            <v>Labor Rate</v>
          </cell>
          <cell r="E1177" t="str">
            <v>CIS</v>
          </cell>
          <cell r="F1177" t="str">
            <v>Cis Regional Headquarter</v>
          </cell>
          <cell r="G1177" t="str">
            <v>Cis Regional Headquarter</v>
          </cell>
          <cell r="H1177" t="str">
            <v>3000</v>
          </cell>
          <cell r="I1177" t="str">
            <v>独联体片区总部</v>
          </cell>
          <cell r="J1177" t="str">
            <v>独联体片区总部</v>
          </cell>
          <cell r="K1177" t="str">
            <v>Chinese employees</v>
          </cell>
          <cell r="L1177" t="str">
            <v>L3</v>
          </cell>
          <cell r="M1177" t="str">
            <v>ALL</v>
          </cell>
          <cell r="N1177" t="str">
            <v>FLPC(含奖金)</v>
          </cell>
          <cell r="O1177" t="str">
            <v>USD/小时</v>
          </cell>
          <cell r="P1177">
            <v>83.76</v>
          </cell>
        </row>
        <row r="1178">
          <cell r="A1178" t="str">
            <v>独联体片区总部 - Chinese employees - L4</v>
          </cell>
          <cell r="B1178" t="str">
            <v>Current version</v>
          </cell>
          <cell r="C1178" t="str">
            <v>V2009R2</v>
          </cell>
          <cell r="D1178" t="str">
            <v>Labor Rate</v>
          </cell>
          <cell r="E1178" t="str">
            <v>CIS</v>
          </cell>
          <cell r="F1178" t="str">
            <v>Cis Regional Headquarter</v>
          </cell>
          <cell r="G1178" t="str">
            <v>Cis Regional Headquarter</v>
          </cell>
          <cell r="H1178" t="str">
            <v>3000</v>
          </cell>
          <cell r="I1178" t="str">
            <v>独联体片区总部</v>
          </cell>
          <cell r="J1178" t="str">
            <v>独联体片区总部</v>
          </cell>
          <cell r="K1178" t="str">
            <v>Chinese employees</v>
          </cell>
          <cell r="L1178" t="str">
            <v>L4</v>
          </cell>
          <cell r="M1178" t="str">
            <v>ALL</v>
          </cell>
          <cell r="N1178" t="str">
            <v>FLPC(含奖金)</v>
          </cell>
          <cell r="O1178" t="str">
            <v>USD/小时</v>
          </cell>
          <cell r="P1178">
            <v>126.27</v>
          </cell>
        </row>
        <row r="1179">
          <cell r="A1179" t="str">
            <v>中亚地区部总部 - Chinese employees - L0</v>
          </cell>
          <cell r="B1179" t="str">
            <v>Current version</v>
          </cell>
          <cell r="C1179" t="str">
            <v>V2009R2</v>
          </cell>
          <cell r="D1179" t="str">
            <v>Labor Rate</v>
          </cell>
          <cell r="E1179" t="str">
            <v>CIS</v>
          </cell>
          <cell r="F1179" t="str">
            <v>Central Asia Sub-Regional Division</v>
          </cell>
          <cell r="G1179" t="str">
            <v>Middle Asia Sub-Region Headquarter</v>
          </cell>
          <cell r="H1179" t="str">
            <v>3032</v>
          </cell>
          <cell r="I1179" t="str">
            <v>中亚地区部总部</v>
          </cell>
          <cell r="J1179" t="str">
            <v>中亚地区部总部</v>
          </cell>
          <cell r="K1179" t="str">
            <v>Chinese employees</v>
          </cell>
          <cell r="L1179" t="str">
            <v>L0</v>
          </cell>
          <cell r="M1179" t="str">
            <v>ALL</v>
          </cell>
          <cell r="N1179" t="str">
            <v>FLPC(含奖金)</v>
          </cell>
          <cell r="O1179" t="str">
            <v>USD/小时</v>
          </cell>
          <cell r="P1179">
            <v>32.04</v>
          </cell>
        </row>
        <row r="1180">
          <cell r="A1180" t="str">
            <v>中亚地区部总部 - Chinese employees - L1</v>
          </cell>
          <cell r="B1180" t="str">
            <v>Current version</v>
          </cell>
          <cell r="C1180" t="str">
            <v>V2009R2</v>
          </cell>
          <cell r="D1180" t="str">
            <v>Labor Rate</v>
          </cell>
          <cell r="E1180" t="str">
            <v>CIS</v>
          </cell>
          <cell r="F1180" t="str">
            <v>Central Asia Sub-Regional Division</v>
          </cell>
          <cell r="G1180" t="str">
            <v>Middle Asia Sub-Region Headquarter</v>
          </cell>
          <cell r="H1180" t="str">
            <v>3032</v>
          </cell>
          <cell r="I1180" t="str">
            <v>中亚地区部总部</v>
          </cell>
          <cell r="J1180" t="str">
            <v>中亚地区部总部</v>
          </cell>
          <cell r="K1180" t="str">
            <v>Chinese employees</v>
          </cell>
          <cell r="L1180" t="str">
            <v>L1</v>
          </cell>
          <cell r="M1180" t="str">
            <v>ALL</v>
          </cell>
          <cell r="N1180" t="str">
            <v>FLPC(含奖金)</v>
          </cell>
          <cell r="O1180" t="str">
            <v>USD/小时</v>
          </cell>
          <cell r="P1180">
            <v>37.85</v>
          </cell>
        </row>
        <row r="1181">
          <cell r="A1181" t="str">
            <v>中亚地区部总部 - Chinese employees - L2</v>
          </cell>
          <cell r="B1181" t="str">
            <v>Current version</v>
          </cell>
          <cell r="C1181" t="str">
            <v>V2009R2</v>
          </cell>
          <cell r="D1181" t="str">
            <v>Labor Rate</v>
          </cell>
          <cell r="E1181" t="str">
            <v>CIS</v>
          </cell>
          <cell r="F1181" t="str">
            <v>Central Asia Sub-Regional Division</v>
          </cell>
          <cell r="G1181" t="str">
            <v>Middle Asia Sub-Region Headquarter</v>
          </cell>
          <cell r="H1181" t="str">
            <v>3032</v>
          </cell>
          <cell r="I1181" t="str">
            <v>中亚地区部总部</v>
          </cell>
          <cell r="J1181" t="str">
            <v>中亚地区部总部</v>
          </cell>
          <cell r="K1181" t="str">
            <v>Chinese employees</v>
          </cell>
          <cell r="L1181" t="str">
            <v>L2</v>
          </cell>
          <cell r="M1181" t="str">
            <v>ALL</v>
          </cell>
          <cell r="N1181" t="str">
            <v>FLPC(含奖金)</v>
          </cell>
          <cell r="O1181" t="str">
            <v>USD/小时</v>
          </cell>
          <cell r="P1181">
            <v>45.47</v>
          </cell>
        </row>
        <row r="1182">
          <cell r="A1182" t="str">
            <v>中亚地区部总部 - Chinese employees - L3</v>
          </cell>
          <cell r="B1182" t="str">
            <v>Current version</v>
          </cell>
          <cell r="C1182" t="str">
            <v>V2009R2</v>
          </cell>
          <cell r="D1182" t="str">
            <v>Labor Rate</v>
          </cell>
          <cell r="E1182" t="str">
            <v>CIS</v>
          </cell>
          <cell r="F1182" t="str">
            <v>Central Asia Sub-Regional Division</v>
          </cell>
          <cell r="G1182" t="str">
            <v>Middle Asia Sub-Region Headquarter</v>
          </cell>
          <cell r="H1182" t="str">
            <v>3032</v>
          </cell>
          <cell r="I1182" t="str">
            <v>中亚地区部总部</v>
          </cell>
          <cell r="J1182" t="str">
            <v>中亚地区部总部</v>
          </cell>
          <cell r="K1182" t="str">
            <v>Chinese employees</v>
          </cell>
          <cell r="L1182" t="str">
            <v>L3</v>
          </cell>
          <cell r="M1182" t="str">
            <v>ALL</v>
          </cell>
          <cell r="N1182" t="str">
            <v>FLPC(含奖金)</v>
          </cell>
          <cell r="O1182" t="str">
            <v>USD/小时</v>
          </cell>
          <cell r="P1182">
            <v>56.31</v>
          </cell>
        </row>
        <row r="1183">
          <cell r="A1183" t="str">
            <v>中亚地区部总部 - Chinese employees - L4</v>
          </cell>
          <cell r="B1183" t="str">
            <v>Current version</v>
          </cell>
          <cell r="C1183" t="str">
            <v>V2009R2</v>
          </cell>
          <cell r="D1183" t="str">
            <v>Labor Rate</v>
          </cell>
          <cell r="E1183" t="str">
            <v>CIS</v>
          </cell>
          <cell r="F1183" t="str">
            <v>Central Asia Sub-Regional Division</v>
          </cell>
          <cell r="G1183" t="str">
            <v>Middle Asia Sub-Region Headquarter</v>
          </cell>
          <cell r="H1183" t="str">
            <v>3032</v>
          </cell>
          <cell r="I1183" t="str">
            <v>中亚地区部总部</v>
          </cell>
          <cell r="J1183" t="str">
            <v>中亚地区部总部</v>
          </cell>
          <cell r="K1183" t="str">
            <v>Chinese employees</v>
          </cell>
          <cell r="L1183" t="str">
            <v>L4</v>
          </cell>
          <cell r="M1183" t="str">
            <v>ALL</v>
          </cell>
          <cell r="N1183" t="str">
            <v>FLPC(含奖金)</v>
          </cell>
          <cell r="O1183" t="str">
            <v>USD/小时</v>
          </cell>
          <cell r="P1183">
            <v>92.91</v>
          </cell>
        </row>
        <row r="1184">
          <cell r="A1184" t="str">
            <v>东北欧地区部总部 - Chinese employees - L0</v>
          </cell>
          <cell r="B1184" t="str">
            <v>Current version</v>
          </cell>
          <cell r="C1184" t="str">
            <v>V2009R2</v>
          </cell>
          <cell r="D1184" t="str">
            <v>Labor Rate</v>
          </cell>
          <cell r="E1184" t="str">
            <v>EU</v>
          </cell>
          <cell r="F1184" t="str">
            <v>CEE&amp;Nordic European Sub-Regional Division</v>
          </cell>
          <cell r="G1184" t="str">
            <v>东北欧地区部总部</v>
          </cell>
          <cell r="H1184" t="str">
            <v>3300</v>
          </cell>
          <cell r="I1184" t="str">
            <v>东北欧地区部总部</v>
          </cell>
          <cell r="J1184" t="str">
            <v>东北欧地区部总部</v>
          </cell>
          <cell r="K1184" t="str">
            <v>Chinese employees</v>
          </cell>
          <cell r="L1184" t="str">
            <v>L0</v>
          </cell>
          <cell r="M1184" t="str">
            <v>ALL</v>
          </cell>
          <cell r="N1184" t="str">
            <v>FLPC(含奖金)</v>
          </cell>
          <cell r="O1184" t="str">
            <v>USD/小时</v>
          </cell>
          <cell r="P1184">
            <v>61.07</v>
          </cell>
        </row>
        <row r="1185">
          <cell r="A1185" t="str">
            <v>东北欧地区部总部 - Chinese employees - L1</v>
          </cell>
          <cell r="B1185" t="str">
            <v>Current version</v>
          </cell>
          <cell r="C1185" t="str">
            <v>V2009R2</v>
          </cell>
          <cell r="D1185" t="str">
            <v>Labor Rate</v>
          </cell>
          <cell r="E1185" t="str">
            <v>EU</v>
          </cell>
          <cell r="F1185" t="str">
            <v>CEE&amp;Nordic European Sub-Regional Division</v>
          </cell>
          <cell r="G1185" t="str">
            <v>东北欧地区部总部</v>
          </cell>
          <cell r="H1185" t="str">
            <v>3300</v>
          </cell>
          <cell r="I1185" t="str">
            <v>东北欧地区部总部</v>
          </cell>
          <cell r="J1185" t="str">
            <v>东北欧地区部总部</v>
          </cell>
          <cell r="K1185" t="str">
            <v>Chinese employees</v>
          </cell>
          <cell r="L1185" t="str">
            <v>L1</v>
          </cell>
          <cell r="M1185" t="str">
            <v>ALL</v>
          </cell>
          <cell r="N1185" t="str">
            <v>FLPC(含奖金)</v>
          </cell>
          <cell r="O1185" t="str">
            <v>USD/小时</v>
          </cell>
          <cell r="P1185">
            <v>67.56</v>
          </cell>
        </row>
        <row r="1186">
          <cell r="A1186" t="str">
            <v>东北欧地区部总部 - Chinese employees - L2</v>
          </cell>
          <cell r="B1186" t="str">
            <v>Current version</v>
          </cell>
          <cell r="C1186" t="str">
            <v>V2009R2</v>
          </cell>
          <cell r="D1186" t="str">
            <v>Labor Rate</v>
          </cell>
          <cell r="E1186" t="str">
            <v>EU</v>
          </cell>
          <cell r="F1186" t="str">
            <v>CEE&amp;Nordic European Sub-Regional Division</v>
          </cell>
          <cell r="G1186" t="str">
            <v>东北欧地区部总部</v>
          </cell>
          <cell r="H1186" t="str">
            <v>3300</v>
          </cell>
          <cell r="I1186" t="str">
            <v>东北欧地区部总部</v>
          </cell>
          <cell r="J1186" t="str">
            <v>东北欧地区部总部</v>
          </cell>
          <cell r="K1186" t="str">
            <v>Chinese employees</v>
          </cell>
          <cell r="L1186" t="str">
            <v>L2</v>
          </cell>
          <cell r="M1186" t="str">
            <v>ALL</v>
          </cell>
          <cell r="N1186" t="str">
            <v>FLPC(含奖金)</v>
          </cell>
          <cell r="O1186" t="str">
            <v>USD/小时</v>
          </cell>
          <cell r="P1186">
            <v>75.959999999999994</v>
          </cell>
        </row>
        <row r="1187">
          <cell r="A1187" t="str">
            <v>东北欧地区部总部 - Chinese employees - L3</v>
          </cell>
          <cell r="B1187" t="str">
            <v>Current version</v>
          </cell>
          <cell r="C1187" t="str">
            <v>V2009R2</v>
          </cell>
          <cell r="D1187" t="str">
            <v>Labor Rate</v>
          </cell>
          <cell r="E1187" t="str">
            <v>EU</v>
          </cell>
          <cell r="F1187" t="str">
            <v>CEE&amp;Nordic European Sub-Regional Division</v>
          </cell>
          <cell r="G1187" t="str">
            <v>东北欧地区部总部</v>
          </cell>
          <cell r="H1187" t="str">
            <v>3300</v>
          </cell>
          <cell r="I1187" t="str">
            <v>东北欧地区部总部</v>
          </cell>
          <cell r="J1187" t="str">
            <v>东北欧地区部总部</v>
          </cell>
          <cell r="K1187" t="str">
            <v>Chinese employees</v>
          </cell>
          <cell r="L1187" t="str">
            <v>L3</v>
          </cell>
          <cell r="M1187" t="str">
            <v>ALL</v>
          </cell>
          <cell r="N1187" t="str">
            <v>FLPC(含奖金)</v>
          </cell>
          <cell r="O1187" t="str">
            <v>USD/小时</v>
          </cell>
          <cell r="P1187">
            <v>88.13</v>
          </cell>
        </row>
        <row r="1188">
          <cell r="A1188" t="str">
            <v>东北欧地区部总部 - Chinese employees - L4</v>
          </cell>
          <cell r="B1188" t="str">
            <v>Current version</v>
          </cell>
          <cell r="C1188" t="str">
            <v>V2009R2</v>
          </cell>
          <cell r="D1188" t="str">
            <v>Labor Rate</v>
          </cell>
          <cell r="E1188" t="str">
            <v>EU</v>
          </cell>
          <cell r="F1188" t="str">
            <v>CEE&amp;Nordic European Sub-Regional Division</v>
          </cell>
          <cell r="G1188" t="str">
            <v>东北欧地区部总部</v>
          </cell>
          <cell r="H1188" t="str">
            <v>3300</v>
          </cell>
          <cell r="I1188" t="str">
            <v>东北欧地区部总部</v>
          </cell>
          <cell r="J1188" t="str">
            <v>东北欧地区部总部</v>
          </cell>
          <cell r="K1188" t="str">
            <v>Chinese employees</v>
          </cell>
          <cell r="L1188" t="str">
            <v>L4</v>
          </cell>
          <cell r="M1188" t="str">
            <v>ALL</v>
          </cell>
          <cell r="N1188" t="str">
            <v>FLPC(含奖金)</v>
          </cell>
          <cell r="O1188" t="str">
            <v>USD/小时</v>
          </cell>
          <cell r="P1188">
            <v>132.91</v>
          </cell>
        </row>
        <row r="1189">
          <cell r="A1189" t="str">
            <v>西欧地区部总部 - Chinese employees - L0</v>
          </cell>
          <cell r="B1189" t="str">
            <v>Current version</v>
          </cell>
          <cell r="C1189" t="str">
            <v>V2009R2</v>
          </cell>
          <cell r="D1189" t="str">
            <v>Labor Rate</v>
          </cell>
          <cell r="E1189" t="str">
            <v>EU</v>
          </cell>
          <cell r="F1189" t="str">
            <v>West European Sub-Regional Division</v>
          </cell>
          <cell r="G1189" t="str">
            <v>西欧地区部总部</v>
          </cell>
          <cell r="H1189" t="str">
            <v>3616</v>
          </cell>
          <cell r="I1189" t="str">
            <v>西欧地区部总部</v>
          </cell>
          <cell r="J1189" t="str">
            <v>西欧地区部总部</v>
          </cell>
          <cell r="K1189" t="str">
            <v>Chinese employees</v>
          </cell>
          <cell r="L1189" t="str">
            <v>L0</v>
          </cell>
          <cell r="M1189" t="str">
            <v>ALL</v>
          </cell>
          <cell r="N1189" t="str">
            <v>FLPC(含奖金)</v>
          </cell>
          <cell r="O1189" t="str">
            <v>USD/小时</v>
          </cell>
          <cell r="P1189">
            <v>69.64</v>
          </cell>
        </row>
        <row r="1190">
          <cell r="A1190" t="str">
            <v>西欧地区部总部 - Chinese employees - L1</v>
          </cell>
          <cell r="B1190" t="str">
            <v>Current version</v>
          </cell>
          <cell r="C1190" t="str">
            <v>V2009R2</v>
          </cell>
          <cell r="D1190" t="str">
            <v>Labor Rate</v>
          </cell>
          <cell r="E1190" t="str">
            <v>EU</v>
          </cell>
          <cell r="F1190" t="str">
            <v>West European Sub-Regional Division</v>
          </cell>
          <cell r="G1190" t="str">
            <v>西欧地区部总部</v>
          </cell>
          <cell r="H1190" t="str">
            <v>3616</v>
          </cell>
          <cell r="I1190" t="str">
            <v>西欧地区部总部</v>
          </cell>
          <cell r="J1190" t="str">
            <v>西欧地区部总部</v>
          </cell>
          <cell r="K1190" t="str">
            <v>Chinese employees</v>
          </cell>
          <cell r="L1190" t="str">
            <v>L1</v>
          </cell>
          <cell r="M1190" t="str">
            <v>ALL</v>
          </cell>
          <cell r="N1190" t="str">
            <v>FLPC(含奖金)</v>
          </cell>
          <cell r="O1190" t="str">
            <v>USD/小时</v>
          </cell>
          <cell r="P1190">
            <v>78.900000000000006</v>
          </cell>
        </row>
        <row r="1191">
          <cell r="A1191" t="str">
            <v>西欧地区部总部 - Chinese employees - L2</v>
          </cell>
          <cell r="B1191" t="str">
            <v>Current version</v>
          </cell>
          <cell r="C1191" t="str">
            <v>V2009R2</v>
          </cell>
          <cell r="D1191" t="str">
            <v>Labor Rate</v>
          </cell>
          <cell r="E1191" t="str">
            <v>EU</v>
          </cell>
          <cell r="F1191" t="str">
            <v>West European Sub-Regional Division</v>
          </cell>
          <cell r="G1191" t="str">
            <v>西欧地区部总部</v>
          </cell>
          <cell r="H1191" t="str">
            <v>3616</v>
          </cell>
          <cell r="I1191" t="str">
            <v>西欧地区部总部</v>
          </cell>
          <cell r="J1191" t="str">
            <v>西欧地区部总部</v>
          </cell>
          <cell r="K1191" t="str">
            <v>Chinese employees</v>
          </cell>
          <cell r="L1191" t="str">
            <v>L2</v>
          </cell>
          <cell r="M1191" t="str">
            <v>ALL</v>
          </cell>
          <cell r="N1191" t="str">
            <v>FLPC(含奖金)</v>
          </cell>
          <cell r="O1191" t="str">
            <v>USD/小时</v>
          </cell>
          <cell r="P1191">
            <v>91.15</v>
          </cell>
        </row>
        <row r="1192">
          <cell r="A1192" t="str">
            <v>西欧地区部总部 - Chinese employees - L3</v>
          </cell>
          <cell r="B1192" t="str">
            <v>Current version</v>
          </cell>
          <cell r="C1192" t="str">
            <v>V2009R2</v>
          </cell>
          <cell r="D1192" t="str">
            <v>Labor Rate</v>
          </cell>
          <cell r="E1192" t="str">
            <v>EU</v>
          </cell>
          <cell r="F1192" t="str">
            <v>West European Sub-Regional Division</v>
          </cell>
          <cell r="G1192" t="str">
            <v>西欧地区部总部</v>
          </cell>
          <cell r="H1192" t="str">
            <v>3616</v>
          </cell>
          <cell r="I1192" t="str">
            <v>西欧地区部总部</v>
          </cell>
          <cell r="J1192" t="str">
            <v>西欧地区部总部</v>
          </cell>
          <cell r="K1192" t="str">
            <v>Chinese employees</v>
          </cell>
          <cell r="L1192" t="str">
            <v>L3</v>
          </cell>
          <cell r="M1192" t="str">
            <v>ALL</v>
          </cell>
          <cell r="N1192" t="str">
            <v>FLPC(含奖金)</v>
          </cell>
          <cell r="O1192" t="str">
            <v>USD/小时</v>
          </cell>
          <cell r="P1192">
            <v>116.69</v>
          </cell>
        </row>
        <row r="1193">
          <cell r="A1193" t="str">
            <v>西欧地区部总部 - Chinese employees - L4</v>
          </cell>
          <cell r="B1193" t="str">
            <v>Current version</v>
          </cell>
          <cell r="C1193" t="str">
            <v>V2009R2</v>
          </cell>
          <cell r="D1193" t="str">
            <v>Labor Rate</v>
          </cell>
          <cell r="E1193" t="str">
            <v>EU</v>
          </cell>
          <cell r="F1193" t="str">
            <v>West European Sub-Regional Division</v>
          </cell>
          <cell r="G1193" t="str">
            <v>西欧地区部总部</v>
          </cell>
          <cell r="H1193" t="str">
            <v>3616</v>
          </cell>
          <cell r="I1193" t="str">
            <v>西欧地区部总部</v>
          </cell>
          <cell r="J1193" t="str">
            <v>西欧地区部总部</v>
          </cell>
          <cell r="K1193" t="str">
            <v>Chinese employees</v>
          </cell>
          <cell r="L1193" t="str">
            <v>L4</v>
          </cell>
          <cell r="M1193" t="str">
            <v>ALL</v>
          </cell>
          <cell r="N1193" t="str">
            <v>FLPC(含奖金)</v>
          </cell>
          <cell r="O1193" t="str">
            <v>USD/小时</v>
          </cell>
          <cell r="P1193">
            <v>187.31</v>
          </cell>
        </row>
        <row r="1194">
          <cell r="A1194" t="str">
            <v>南部非洲片区总部 - Chinese employees - L0</v>
          </cell>
          <cell r="B1194" t="str">
            <v>Current version</v>
          </cell>
          <cell r="C1194" t="str">
            <v>V2009R2</v>
          </cell>
          <cell r="D1194" t="str">
            <v>Labor Rate</v>
          </cell>
          <cell r="E1194" t="str">
            <v>SA</v>
          </cell>
          <cell r="F1194" t="str">
            <v>Sub-Sahara Regional Headquarter</v>
          </cell>
          <cell r="G1194" t="str">
            <v>Sub-Sahara Regional Headquarter</v>
          </cell>
          <cell r="H1194" t="str">
            <v>4000</v>
          </cell>
          <cell r="I1194" t="str">
            <v>南部非洲片区总部</v>
          </cell>
          <cell r="J1194" t="str">
            <v>南部非洲片区总部</v>
          </cell>
          <cell r="K1194" t="str">
            <v>Chinese employees</v>
          </cell>
          <cell r="L1194" t="str">
            <v>L0</v>
          </cell>
          <cell r="M1194" t="str">
            <v>ALL</v>
          </cell>
          <cell r="N1194" t="str">
            <v>FLPC(含奖金)</v>
          </cell>
          <cell r="O1194" t="str">
            <v>USD/小时</v>
          </cell>
          <cell r="P1194">
            <v>38.17</v>
          </cell>
        </row>
        <row r="1195">
          <cell r="A1195" t="str">
            <v>南部非洲片区总部 - Chinese employees - L1</v>
          </cell>
          <cell r="B1195" t="str">
            <v>Current version</v>
          </cell>
          <cell r="C1195" t="str">
            <v>V2009R2</v>
          </cell>
          <cell r="D1195" t="str">
            <v>Labor Rate</v>
          </cell>
          <cell r="E1195" t="str">
            <v>SA</v>
          </cell>
          <cell r="F1195" t="str">
            <v>Sub-Sahara Regional Headquarter</v>
          </cell>
          <cell r="G1195" t="str">
            <v>Sub-Sahara Regional Headquarter</v>
          </cell>
          <cell r="H1195" t="str">
            <v>4000</v>
          </cell>
          <cell r="I1195" t="str">
            <v>南部非洲片区总部</v>
          </cell>
          <cell r="J1195" t="str">
            <v>南部非洲片区总部</v>
          </cell>
          <cell r="K1195" t="str">
            <v>Chinese employees</v>
          </cell>
          <cell r="L1195" t="str">
            <v>L1</v>
          </cell>
          <cell r="M1195" t="str">
            <v>ALL</v>
          </cell>
          <cell r="N1195" t="str">
            <v>FLPC(含奖金)</v>
          </cell>
          <cell r="O1195" t="str">
            <v>USD/小时</v>
          </cell>
          <cell r="P1195">
            <v>45.22</v>
          </cell>
        </row>
        <row r="1196">
          <cell r="A1196" t="str">
            <v>南部非洲片区总部 - Chinese employees - L2</v>
          </cell>
          <cell r="B1196" t="str">
            <v>Current version</v>
          </cell>
          <cell r="C1196" t="str">
            <v>V2009R2</v>
          </cell>
          <cell r="D1196" t="str">
            <v>Labor Rate</v>
          </cell>
          <cell r="E1196" t="str">
            <v>SA</v>
          </cell>
          <cell r="F1196" t="str">
            <v>Sub-Sahara Regional Headquarter</v>
          </cell>
          <cell r="G1196" t="str">
            <v>Sub-Sahara Regional Headquarter</v>
          </cell>
          <cell r="H1196" t="str">
            <v>4000</v>
          </cell>
          <cell r="I1196" t="str">
            <v>南部非洲片区总部</v>
          </cell>
          <cell r="J1196" t="str">
            <v>南部非洲片区总部</v>
          </cell>
          <cell r="K1196" t="str">
            <v>Chinese employees</v>
          </cell>
          <cell r="L1196" t="str">
            <v>L2</v>
          </cell>
          <cell r="M1196" t="str">
            <v>ALL</v>
          </cell>
          <cell r="N1196" t="str">
            <v>FLPC(含奖金)</v>
          </cell>
          <cell r="O1196" t="str">
            <v>USD/小时</v>
          </cell>
          <cell r="P1196">
            <v>53.43</v>
          </cell>
        </row>
        <row r="1197">
          <cell r="A1197" t="str">
            <v>南部非洲片区总部 - Chinese employees - L3</v>
          </cell>
          <cell r="B1197" t="str">
            <v>Current version</v>
          </cell>
          <cell r="C1197" t="str">
            <v>V2009R2</v>
          </cell>
          <cell r="D1197" t="str">
            <v>Labor Rate</v>
          </cell>
          <cell r="E1197" t="str">
            <v>SA</v>
          </cell>
          <cell r="F1197" t="str">
            <v>Sub-Sahara Regional Headquarter</v>
          </cell>
          <cell r="G1197" t="str">
            <v>Sub-Sahara Regional Headquarter</v>
          </cell>
          <cell r="H1197" t="str">
            <v>4000</v>
          </cell>
          <cell r="I1197" t="str">
            <v>南部非洲片区总部</v>
          </cell>
          <cell r="J1197" t="str">
            <v>南部非洲片区总部</v>
          </cell>
          <cell r="K1197" t="str">
            <v>Chinese employees</v>
          </cell>
          <cell r="L1197" t="str">
            <v>L3</v>
          </cell>
          <cell r="M1197" t="str">
            <v>ALL</v>
          </cell>
          <cell r="N1197" t="str">
            <v>FLPC(含奖金)</v>
          </cell>
          <cell r="O1197" t="str">
            <v>USD/小时</v>
          </cell>
          <cell r="P1197">
            <v>64.72</v>
          </cell>
        </row>
        <row r="1198">
          <cell r="A1198" t="str">
            <v>南部非洲片区总部 - Chinese employees - L4</v>
          </cell>
          <cell r="B1198" t="str">
            <v>Current version</v>
          </cell>
          <cell r="C1198" t="str">
            <v>V2009R2</v>
          </cell>
          <cell r="D1198" t="str">
            <v>Labor Rate</v>
          </cell>
          <cell r="E1198" t="str">
            <v>SA</v>
          </cell>
          <cell r="F1198" t="str">
            <v>Sub-Sahara Regional Headquarter</v>
          </cell>
          <cell r="G1198" t="str">
            <v>Sub-Sahara Regional Headquarter</v>
          </cell>
          <cell r="H1198" t="str">
            <v>4000</v>
          </cell>
          <cell r="I1198" t="str">
            <v>南部非洲片区总部</v>
          </cell>
          <cell r="J1198" t="str">
            <v>南部非洲片区总部</v>
          </cell>
          <cell r="K1198" t="str">
            <v>Chinese employees</v>
          </cell>
          <cell r="L1198" t="str">
            <v>L4</v>
          </cell>
          <cell r="M1198" t="str">
            <v>ALL</v>
          </cell>
          <cell r="N1198" t="str">
            <v>FLPC(含奖金)</v>
          </cell>
          <cell r="O1198" t="str">
            <v>USD/小时</v>
          </cell>
          <cell r="P1198">
            <v>105.49</v>
          </cell>
        </row>
        <row r="1199">
          <cell r="A1199" t="str">
            <v>南非地区部总部 - Chinese employees - L0</v>
          </cell>
          <cell r="B1199" t="str">
            <v>Current version</v>
          </cell>
          <cell r="C1199" t="str">
            <v>V2009R2</v>
          </cell>
          <cell r="D1199" t="str">
            <v>Labor Rate</v>
          </cell>
          <cell r="E1199" t="str">
            <v>SA</v>
          </cell>
          <cell r="F1199" t="str">
            <v>Southern Africa Sub-Regional Division</v>
          </cell>
          <cell r="G1199" t="str">
            <v>南非地区部总部</v>
          </cell>
          <cell r="H1199" t="str">
            <v>4033</v>
          </cell>
          <cell r="I1199" t="str">
            <v>南非地区部总部</v>
          </cell>
          <cell r="J1199" t="str">
            <v>南非地区部总部</v>
          </cell>
          <cell r="K1199" t="str">
            <v>Chinese employees</v>
          </cell>
          <cell r="L1199" t="str">
            <v>L0</v>
          </cell>
          <cell r="M1199" t="str">
            <v>ALL</v>
          </cell>
          <cell r="N1199" t="str">
            <v>FLPC(含奖金)</v>
          </cell>
          <cell r="O1199" t="str">
            <v>USD/小时</v>
          </cell>
          <cell r="P1199">
            <v>38.17</v>
          </cell>
        </row>
        <row r="1200">
          <cell r="A1200" t="str">
            <v>南非地区部总部 - Chinese employees - L1</v>
          </cell>
          <cell r="B1200" t="str">
            <v>Current version</v>
          </cell>
          <cell r="C1200" t="str">
            <v>V2009R2</v>
          </cell>
          <cell r="D1200" t="str">
            <v>Labor Rate</v>
          </cell>
          <cell r="E1200" t="str">
            <v>SA</v>
          </cell>
          <cell r="F1200" t="str">
            <v>Southern Africa Sub-Regional Division</v>
          </cell>
          <cell r="G1200" t="str">
            <v>南非地区部总部</v>
          </cell>
          <cell r="H1200" t="str">
            <v>4033</v>
          </cell>
          <cell r="I1200" t="str">
            <v>南非地区部总部</v>
          </cell>
          <cell r="J1200" t="str">
            <v>南非地区部总部</v>
          </cell>
          <cell r="K1200" t="str">
            <v>Chinese employees</v>
          </cell>
          <cell r="L1200" t="str">
            <v>L1</v>
          </cell>
          <cell r="M1200" t="str">
            <v>ALL</v>
          </cell>
          <cell r="N1200" t="str">
            <v>FLPC(含奖金)</v>
          </cell>
          <cell r="O1200" t="str">
            <v>USD/小时</v>
          </cell>
          <cell r="P1200">
            <v>45.22</v>
          </cell>
        </row>
        <row r="1201">
          <cell r="A1201" t="str">
            <v>南非地区部总部 - Chinese employees - L2</v>
          </cell>
          <cell r="B1201" t="str">
            <v>Current version</v>
          </cell>
          <cell r="C1201" t="str">
            <v>V2009R2</v>
          </cell>
          <cell r="D1201" t="str">
            <v>Labor Rate</v>
          </cell>
          <cell r="E1201" t="str">
            <v>SA</v>
          </cell>
          <cell r="F1201" t="str">
            <v>Southern Africa Sub-Regional Division</v>
          </cell>
          <cell r="G1201" t="str">
            <v>南非地区部总部</v>
          </cell>
          <cell r="H1201" t="str">
            <v>4033</v>
          </cell>
          <cell r="I1201" t="str">
            <v>南非地区部总部</v>
          </cell>
          <cell r="J1201" t="str">
            <v>南非地区部总部</v>
          </cell>
          <cell r="K1201" t="str">
            <v>Chinese employees</v>
          </cell>
          <cell r="L1201" t="str">
            <v>L2</v>
          </cell>
          <cell r="M1201" t="str">
            <v>ALL</v>
          </cell>
          <cell r="N1201" t="str">
            <v>FLPC(含奖金)</v>
          </cell>
          <cell r="O1201" t="str">
            <v>USD/小时</v>
          </cell>
          <cell r="P1201">
            <v>53.43</v>
          </cell>
        </row>
        <row r="1202">
          <cell r="A1202" t="str">
            <v>南非地区部总部 - Chinese employees - L3</v>
          </cell>
          <cell r="B1202" t="str">
            <v>Current version</v>
          </cell>
          <cell r="C1202" t="str">
            <v>V2009R2</v>
          </cell>
          <cell r="D1202" t="str">
            <v>Labor Rate</v>
          </cell>
          <cell r="E1202" t="str">
            <v>SA</v>
          </cell>
          <cell r="F1202" t="str">
            <v>Southern Africa Sub-Regional Division</v>
          </cell>
          <cell r="G1202" t="str">
            <v>南非地区部总部</v>
          </cell>
          <cell r="H1202" t="str">
            <v>4033</v>
          </cell>
          <cell r="I1202" t="str">
            <v>南非地区部总部</v>
          </cell>
          <cell r="J1202" t="str">
            <v>南非地区部总部</v>
          </cell>
          <cell r="K1202" t="str">
            <v>Chinese employees</v>
          </cell>
          <cell r="L1202" t="str">
            <v>L3</v>
          </cell>
          <cell r="M1202" t="str">
            <v>ALL</v>
          </cell>
          <cell r="N1202" t="str">
            <v>FLPC(含奖金)</v>
          </cell>
          <cell r="O1202" t="str">
            <v>USD/小时</v>
          </cell>
          <cell r="P1202">
            <v>64.72</v>
          </cell>
        </row>
        <row r="1203">
          <cell r="A1203" t="str">
            <v>南非地区部总部 - Chinese employees - L4</v>
          </cell>
          <cell r="B1203" t="str">
            <v>Current version</v>
          </cell>
          <cell r="C1203" t="str">
            <v>V2009R2</v>
          </cell>
          <cell r="D1203" t="str">
            <v>Labor Rate</v>
          </cell>
          <cell r="E1203" t="str">
            <v>SA</v>
          </cell>
          <cell r="F1203" t="str">
            <v>Southern Africa Sub-Regional Division</v>
          </cell>
          <cell r="G1203" t="str">
            <v>南非地区部总部</v>
          </cell>
          <cell r="H1203" t="str">
            <v>4033</v>
          </cell>
          <cell r="I1203" t="str">
            <v>南非地区部总部</v>
          </cell>
          <cell r="J1203" t="str">
            <v>南非地区部总部</v>
          </cell>
          <cell r="K1203" t="str">
            <v>Chinese employees</v>
          </cell>
          <cell r="L1203" t="str">
            <v>L4</v>
          </cell>
          <cell r="M1203" t="str">
            <v>ALL</v>
          </cell>
          <cell r="N1203" t="str">
            <v>FLPC(含奖金)</v>
          </cell>
          <cell r="O1203" t="str">
            <v>USD/小时</v>
          </cell>
          <cell r="P1203">
            <v>105.49</v>
          </cell>
        </row>
        <row r="1204">
          <cell r="A1204" t="str">
            <v>东非地区部总部 - Chinese employees - L0</v>
          </cell>
          <cell r="B1204" t="str">
            <v>Current version</v>
          </cell>
          <cell r="C1204" t="str">
            <v>V2009R2</v>
          </cell>
          <cell r="D1204" t="str">
            <v>Labor Rate</v>
          </cell>
          <cell r="E1204" t="str">
            <v>SA</v>
          </cell>
          <cell r="F1204" t="str">
            <v>Eastern Africa Sub-Regional Division</v>
          </cell>
          <cell r="G1204" t="str">
            <v>东非地区部总部</v>
          </cell>
          <cell r="H1204" t="str">
            <v>4034</v>
          </cell>
          <cell r="I1204" t="str">
            <v>东非地区部总部</v>
          </cell>
          <cell r="J1204" t="str">
            <v>东非地区部总部</v>
          </cell>
          <cell r="K1204" t="str">
            <v>Chinese employees</v>
          </cell>
          <cell r="L1204" t="str">
            <v>L0</v>
          </cell>
          <cell r="M1204" t="str">
            <v>ALL</v>
          </cell>
          <cell r="N1204" t="str">
            <v>FLPC(含奖金)</v>
          </cell>
          <cell r="O1204" t="str">
            <v>USD/小时</v>
          </cell>
          <cell r="P1204">
            <v>46.47</v>
          </cell>
        </row>
        <row r="1205">
          <cell r="A1205" t="str">
            <v>东非地区部总部 - Chinese employees - L1</v>
          </cell>
          <cell r="B1205" t="str">
            <v>Current version</v>
          </cell>
          <cell r="C1205" t="str">
            <v>V2009R2</v>
          </cell>
          <cell r="D1205" t="str">
            <v>Labor Rate</v>
          </cell>
          <cell r="E1205" t="str">
            <v>SA</v>
          </cell>
          <cell r="F1205" t="str">
            <v>Eastern Africa Sub-Regional Division</v>
          </cell>
          <cell r="G1205" t="str">
            <v>东非地区部总部</v>
          </cell>
          <cell r="H1205" t="str">
            <v>4034</v>
          </cell>
          <cell r="I1205" t="str">
            <v>东非地区部总部</v>
          </cell>
          <cell r="J1205" t="str">
            <v>东非地区部总部</v>
          </cell>
          <cell r="K1205" t="str">
            <v>Chinese employees</v>
          </cell>
          <cell r="L1205" t="str">
            <v>L1</v>
          </cell>
          <cell r="M1205" t="str">
            <v>ALL</v>
          </cell>
          <cell r="N1205" t="str">
            <v>FLPC(含奖金)</v>
          </cell>
          <cell r="O1205" t="str">
            <v>USD/小时</v>
          </cell>
          <cell r="P1205">
            <v>54.71</v>
          </cell>
        </row>
        <row r="1206">
          <cell r="A1206" t="str">
            <v>东非地区部总部 - Chinese employees - L2</v>
          </cell>
          <cell r="B1206" t="str">
            <v>Current version</v>
          </cell>
          <cell r="C1206" t="str">
            <v>V2009R2</v>
          </cell>
          <cell r="D1206" t="str">
            <v>Labor Rate</v>
          </cell>
          <cell r="E1206" t="str">
            <v>SA</v>
          </cell>
          <cell r="F1206" t="str">
            <v>Eastern Africa Sub-Regional Division</v>
          </cell>
          <cell r="G1206" t="str">
            <v>东非地区部总部</v>
          </cell>
          <cell r="H1206" t="str">
            <v>4034</v>
          </cell>
          <cell r="I1206" t="str">
            <v>东非地区部总部</v>
          </cell>
          <cell r="J1206" t="str">
            <v>东非地区部总部</v>
          </cell>
          <cell r="K1206" t="str">
            <v>Chinese employees</v>
          </cell>
          <cell r="L1206" t="str">
            <v>L2</v>
          </cell>
          <cell r="M1206" t="str">
            <v>ALL</v>
          </cell>
          <cell r="N1206" t="str">
            <v>FLPC(含奖金)</v>
          </cell>
          <cell r="O1206" t="str">
            <v>USD/小时</v>
          </cell>
          <cell r="P1206">
            <v>63.48</v>
          </cell>
        </row>
        <row r="1207">
          <cell r="A1207" t="str">
            <v>东非地区部总部 - Chinese employees - L3</v>
          </cell>
          <cell r="B1207" t="str">
            <v>Current version</v>
          </cell>
          <cell r="C1207" t="str">
            <v>V2009R2</v>
          </cell>
          <cell r="D1207" t="str">
            <v>Labor Rate</v>
          </cell>
          <cell r="E1207" t="str">
            <v>SA</v>
          </cell>
          <cell r="F1207" t="str">
            <v>Eastern Africa Sub-Regional Division</v>
          </cell>
          <cell r="G1207" t="str">
            <v>东非地区部总部</v>
          </cell>
          <cell r="H1207" t="str">
            <v>4034</v>
          </cell>
          <cell r="I1207" t="str">
            <v>东非地区部总部</v>
          </cell>
          <cell r="J1207" t="str">
            <v>东非地区部总部</v>
          </cell>
          <cell r="K1207" t="str">
            <v>Chinese employees</v>
          </cell>
          <cell r="L1207" t="str">
            <v>L3</v>
          </cell>
          <cell r="M1207" t="str">
            <v>ALL</v>
          </cell>
          <cell r="N1207" t="str">
            <v>FLPC(含奖金)</v>
          </cell>
          <cell r="O1207" t="str">
            <v>USD/小时</v>
          </cell>
          <cell r="P1207">
            <v>76</v>
          </cell>
        </row>
        <row r="1208">
          <cell r="A1208" t="str">
            <v>东非地区部总部 - Chinese employees - L4</v>
          </cell>
          <cell r="B1208" t="str">
            <v>Current version</v>
          </cell>
          <cell r="C1208" t="str">
            <v>V2009R2</v>
          </cell>
          <cell r="D1208" t="str">
            <v>Labor Rate</v>
          </cell>
          <cell r="E1208" t="str">
            <v>SA</v>
          </cell>
          <cell r="F1208" t="str">
            <v>Eastern Africa Sub-Regional Division</v>
          </cell>
          <cell r="G1208" t="str">
            <v>东非地区部总部</v>
          </cell>
          <cell r="H1208" t="str">
            <v>4034</v>
          </cell>
          <cell r="I1208" t="str">
            <v>东非地区部总部</v>
          </cell>
          <cell r="J1208" t="str">
            <v>东非地区部总部</v>
          </cell>
          <cell r="K1208" t="str">
            <v>Chinese employees</v>
          </cell>
          <cell r="L1208" t="str">
            <v>L4</v>
          </cell>
          <cell r="M1208" t="str">
            <v>ALL</v>
          </cell>
          <cell r="N1208" t="str">
            <v>FLPC(含奖金)</v>
          </cell>
          <cell r="O1208" t="str">
            <v>USD/小时</v>
          </cell>
          <cell r="P1208">
            <v>122.79</v>
          </cell>
        </row>
        <row r="1209">
          <cell r="A1209" t="str">
            <v>西非地区部总部 - Chinese employees - L0</v>
          </cell>
          <cell r="B1209" t="str">
            <v>Current version</v>
          </cell>
          <cell r="C1209" t="str">
            <v>V2009R2</v>
          </cell>
          <cell r="D1209" t="str">
            <v>Labor Rate</v>
          </cell>
          <cell r="E1209" t="str">
            <v>SA</v>
          </cell>
          <cell r="F1209" t="str">
            <v>Western Africa Sub-Regional Division</v>
          </cell>
          <cell r="G1209" t="str">
            <v>西非地区部总部</v>
          </cell>
          <cell r="H1209" t="str">
            <v>4035</v>
          </cell>
          <cell r="I1209" t="str">
            <v>西非地区部总部</v>
          </cell>
          <cell r="J1209" t="str">
            <v>西非地区部总部</v>
          </cell>
          <cell r="K1209" t="str">
            <v>Chinese employees</v>
          </cell>
          <cell r="L1209" t="str">
            <v>L0</v>
          </cell>
          <cell r="M1209" t="str">
            <v>ALL</v>
          </cell>
          <cell r="N1209" t="str">
            <v>FLPC(含奖金)</v>
          </cell>
          <cell r="O1209" t="str">
            <v>USD/小时</v>
          </cell>
          <cell r="P1209">
            <v>71.900000000000006</v>
          </cell>
        </row>
        <row r="1210">
          <cell r="A1210" t="str">
            <v>西非地区部总部 - Chinese employees - L1</v>
          </cell>
          <cell r="B1210" t="str">
            <v>Current version</v>
          </cell>
          <cell r="C1210" t="str">
            <v>V2009R2</v>
          </cell>
          <cell r="D1210" t="str">
            <v>Labor Rate</v>
          </cell>
          <cell r="E1210" t="str">
            <v>SA</v>
          </cell>
          <cell r="F1210" t="str">
            <v>Western Africa Sub-Regional Division</v>
          </cell>
          <cell r="G1210" t="str">
            <v>西非地区部总部</v>
          </cell>
          <cell r="H1210" t="str">
            <v>4035</v>
          </cell>
          <cell r="I1210" t="str">
            <v>西非地区部总部</v>
          </cell>
          <cell r="J1210" t="str">
            <v>西非地区部总部</v>
          </cell>
          <cell r="K1210" t="str">
            <v>Chinese employees</v>
          </cell>
          <cell r="L1210" t="str">
            <v>L1</v>
          </cell>
          <cell r="M1210" t="str">
            <v>ALL</v>
          </cell>
          <cell r="N1210" t="str">
            <v>FLPC(含奖金)</v>
          </cell>
          <cell r="O1210" t="str">
            <v>USD/小时</v>
          </cell>
          <cell r="P1210">
            <v>79.92</v>
          </cell>
        </row>
        <row r="1211">
          <cell r="A1211" t="str">
            <v>西非地区部总部 - Chinese employees - L2</v>
          </cell>
          <cell r="B1211" t="str">
            <v>Current version</v>
          </cell>
          <cell r="C1211" t="str">
            <v>V2009R2</v>
          </cell>
          <cell r="D1211" t="str">
            <v>Labor Rate</v>
          </cell>
          <cell r="E1211" t="str">
            <v>SA</v>
          </cell>
          <cell r="F1211" t="str">
            <v>Western Africa Sub-Regional Division</v>
          </cell>
          <cell r="G1211" t="str">
            <v>西非地区部总部</v>
          </cell>
          <cell r="H1211" t="str">
            <v>4035</v>
          </cell>
          <cell r="I1211" t="str">
            <v>西非地区部总部</v>
          </cell>
          <cell r="J1211" t="str">
            <v>西非地区部总部</v>
          </cell>
          <cell r="K1211" t="str">
            <v>Chinese employees</v>
          </cell>
          <cell r="L1211" t="str">
            <v>L2</v>
          </cell>
          <cell r="M1211" t="str">
            <v>ALL</v>
          </cell>
          <cell r="N1211" t="str">
            <v>FLPC(含奖金)</v>
          </cell>
          <cell r="O1211" t="str">
            <v>USD/小时</v>
          </cell>
          <cell r="P1211">
            <v>89.63</v>
          </cell>
        </row>
        <row r="1212">
          <cell r="A1212" t="str">
            <v>西非地区部总部 - Chinese employees - L3</v>
          </cell>
          <cell r="B1212" t="str">
            <v>Current version</v>
          </cell>
          <cell r="C1212" t="str">
            <v>V2009R2</v>
          </cell>
          <cell r="D1212" t="str">
            <v>Labor Rate</v>
          </cell>
          <cell r="E1212" t="str">
            <v>SA</v>
          </cell>
          <cell r="F1212" t="str">
            <v>Western Africa Sub-Regional Division</v>
          </cell>
          <cell r="G1212" t="str">
            <v>西非地区部总部</v>
          </cell>
          <cell r="H1212" t="str">
            <v>4035</v>
          </cell>
          <cell r="I1212" t="str">
            <v>西非地区部总部</v>
          </cell>
          <cell r="J1212" t="str">
            <v>西非地区部总部</v>
          </cell>
          <cell r="K1212" t="str">
            <v>Chinese employees</v>
          </cell>
          <cell r="L1212" t="str">
            <v>L3</v>
          </cell>
          <cell r="M1212" t="str">
            <v>ALL</v>
          </cell>
          <cell r="N1212" t="str">
            <v>FLPC(含奖金)</v>
          </cell>
          <cell r="O1212" t="str">
            <v>USD/小时</v>
          </cell>
          <cell r="P1212">
            <v>102.92</v>
          </cell>
        </row>
        <row r="1213">
          <cell r="A1213" t="str">
            <v>Taiyuan - Chinese employees - L3</v>
          </cell>
          <cell r="B1213" t="str">
            <v>Current version</v>
          </cell>
          <cell r="C1213" t="str">
            <v>V2009R2</v>
          </cell>
          <cell r="D1213" t="str">
            <v>Labor Rate</v>
          </cell>
          <cell r="E1213" t="str">
            <v>China</v>
          </cell>
          <cell r="F1213" t="str">
            <v>China</v>
          </cell>
          <cell r="G1213" t="str">
            <v>太原办事处</v>
          </cell>
          <cell r="H1213" t="str">
            <v>0004</v>
          </cell>
          <cell r="I1213" t="str">
            <v>太原</v>
          </cell>
          <cell r="J1213" t="str">
            <v>Taiyuan</v>
          </cell>
          <cell r="K1213" t="str">
            <v>Chinese employees</v>
          </cell>
          <cell r="L1213" t="str">
            <v>L3</v>
          </cell>
          <cell r="M1213" t="str">
            <v>ALL</v>
          </cell>
          <cell r="N1213" t="str">
            <v>FLPC(含奖金)</v>
          </cell>
          <cell r="O1213" t="str">
            <v>USD/小时</v>
          </cell>
          <cell r="P1213">
            <v>32.57</v>
          </cell>
        </row>
        <row r="1214">
          <cell r="A1214" t="str">
            <v>Taiyuan - Chinese employees - L4</v>
          </cell>
          <cell r="B1214" t="str">
            <v>Current version</v>
          </cell>
          <cell r="C1214" t="str">
            <v>V2009R2</v>
          </cell>
          <cell r="D1214" t="str">
            <v>Labor Rate</v>
          </cell>
          <cell r="E1214" t="str">
            <v>China</v>
          </cell>
          <cell r="F1214" t="str">
            <v>China</v>
          </cell>
          <cell r="G1214" t="str">
            <v>太原办事处</v>
          </cell>
          <cell r="H1214" t="str">
            <v>0004</v>
          </cell>
          <cell r="I1214" t="str">
            <v>太原</v>
          </cell>
          <cell r="J1214" t="str">
            <v>Taiyuan</v>
          </cell>
          <cell r="K1214" t="str">
            <v>Chinese employees</v>
          </cell>
          <cell r="L1214" t="str">
            <v>L4</v>
          </cell>
          <cell r="M1214" t="str">
            <v>ALL</v>
          </cell>
          <cell r="N1214" t="str">
            <v>FLPC(含奖金)</v>
          </cell>
          <cell r="O1214" t="str">
            <v>USD/小时</v>
          </cell>
          <cell r="P1214">
            <v>56.75</v>
          </cell>
        </row>
        <row r="1215">
          <cell r="A1215" t="str">
            <v>Tianjin - Chinese employees - L0</v>
          </cell>
          <cell r="B1215" t="str">
            <v>Current version</v>
          </cell>
          <cell r="C1215" t="str">
            <v>V2009R2</v>
          </cell>
          <cell r="D1215" t="str">
            <v>Labor Rate</v>
          </cell>
          <cell r="E1215" t="str">
            <v>China</v>
          </cell>
          <cell r="F1215" t="str">
            <v>China</v>
          </cell>
          <cell r="G1215" t="str">
            <v>天津办事处</v>
          </cell>
          <cell r="H1215" t="str">
            <v>0005</v>
          </cell>
          <cell r="I1215" t="str">
            <v>天津</v>
          </cell>
          <cell r="J1215" t="str">
            <v>Tianjin</v>
          </cell>
          <cell r="K1215" t="str">
            <v>Chinese employees</v>
          </cell>
          <cell r="L1215" t="str">
            <v>L0</v>
          </cell>
          <cell r="M1215" t="str">
            <v>ALL</v>
          </cell>
          <cell r="N1215" t="str">
            <v>FLPC(含奖金)</v>
          </cell>
          <cell r="O1215" t="str">
            <v>USD/小时</v>
          </cell>
          <cell r="P1215">
            <v>11.56</v>
          </cell>
        </row>
        <row r="1216">
          <cell r="A1216" t="str">
            <v>Tianjin - Chinese employees - L1</v>
          </cell>
          <cell r="B1216" t="str">
            <v>Current version</v>
          </cell>
          <cell r="C1216" t="str">
            <v>V2009R2</v>
          </cell>
          <cell r="D1216" t="str">
            <v>Labor Rate</v>
          </cell>
          <cell r="E1216" t="str">
            <v>China</v>
          </cell>
          <cell r="F1216" t="str">
            <v>China</v>
          </cell>
          <cell r="G1216" t="str">
            <v>天津办事处</v>
          </cell>
          <cell r="H1216" t="str">
            <v>0005</v>
          </cell>
          <cell r="I1216" t="str">
            <v>天津</v>
          </cell>
          <cell r="J1216" t="str">
            <v>Tianjin</v>
          </cell>
          <cell r="K1216" t="str">
            <v>Chinese employees</v>
          </cell>
          <cell r="L1216" t="str">
            <v>L1</v>
          </cell>
          <cell r="M1216" t="str">
            <v>ALL</v>
          </cell>
          <cell r="N1216" t="str">
            <v>FLPC(含奖金)</v>
          </cell>
          <cell r="O1216" t="str">
            <v>USD/小时</v>
          </cell>
          <cell r="P1216">
            <v>16.82</v>
          </cell>
        </row>
        <row r="1217">
          <cell r="A1217" t="str">
            <v>Tianjin - Chinese employees - L2</v>
          </cell>
          <cell r="B1217" t="str">
            <v>Current version</v>
          </cell>
          <cell r="C1217" t="str">
            <v>V2009R2</v>
          </cell>
          <cell r="D1217" t="str">
            <v>Labor Rate</v>
          </cell>
          <cell r="E1217" t="str">
            <v>China</v>
          </cell>
          <cell r="F1217" t="str">
            <v>China</v>
          </cell>
          <cell r="G1217" t="str">
            <v>天津办事处</v>
          </cell>
          <cell r="H1217" t="str">
            <v>0005</v>
          </cell>
          <cell r="I1217" t="str">
            <v>天津</v>
          </cell>
          <cell r="J1217" t="str">
            <v>Tianjin</v>
          </cell>
          <cell r="K1217" t="str">
            <v>Chinese employees</v>
          </cell>
          <cell r="L1217" t="str">
            <v>L2</v>
          </cell>
          <cell r="M1217" t="str">
            <v>ALL</v>
          </cell>
          <cell r="N1217" t="str">
            <v>FLPC(含奖金)</v>
          </cell>
          <cell r="O1217" t="str">
            <v>USD/小时</v>
          </cell>
          <cell r="P1217">
            <v>23.63</v>
          </cell>
        </row>
        <row r="1218">
          <cell r="A1218" t="str">
            <v>Tianjin - Chinese employees - L3</v>
          </cell>
          <cell r="B1218" t="str">
            <v>Current version</v>
          </cell>
          <cell r="C1218" t="str">
            <v>V2009R2</v>
          </cell>
          <cell r="D1218" t="str">
            <v>Labor Rate</v>
          </cell>
          <cell r="E1218" t="str">
            <v>China</v>
          </cell>
          <cell r="F1218" t="str">
            <v>China</v>
          </cell>
          <cell r="G1218" t="str">
            <v>天津办事处</v>
          </cell>
          <cell r="H1218" t="str">
            <v>0005</v>
          </cell>
          <cell r="I1218" t="str">
            <v>天津</v>
          </cell>
          <cell r="J1218" t="str">
            <v>Tianjin</v>
          </cell>
          <cell r="K1218" t="str">
            <v>Chinese employees</v>
          </cell>
          <cell r="L1218" t="str">
            <v>L3</v>
          </cell>
          <cell r="M1218" t="str">
            <v>ALL</v>
          </cell>
          <cell r="N1218" t="str">
            <v>FLPC(含奖金)</v>
          </cell>
          <cell r="O1218" t="str">
            <v>USD/小时</v>
          </cell>
          <cell r="P1218">
            <v>32.57</v>
          </cell>
        </row>
        <row r="1219">
          <cell r="A1219" t="str">
            <v>Tianjin - Chinese employees - L4</v>
          </cell>
          <cell r="B1219" t="str">
            <v>Current version</v>
          </cell>
          <cell r="C1219" t="str">
            <v>V2009R2</v>
          </cell>
          <cell r="D1219" t="str">
            <v>Labor Rate</v>
          </cell>
          <cell r="E1219" t="str">
            <v>China</v>
          </cell>
          <cell r="F1219" t="str">
            <v>China</v>
          </cell>
          <cell r="G1219" t="str">
            <v>天津办事处</v>
          </cell>
          <cell r="H1219" t="str">
            <v>0005</v>
          </cell>
          <cell r="I1219" t="str">
            <v>天津</v>
          </cell>
          <cell r="J1219" t="str">
            <v>Tianjin</v>
          </cell>
          <cell r="K1219" t="str">
            <v>Chinese employees</v>
          </cell>
          <cell r="L1219" t="str">
            <v>L4</v>
          </cell>
          <cell r="M1219" t="str">
            <v>ALL</v>
          </cell>
          <cell r="N1219" t="str">
            <v>FLPC(含奖金)</v>
          </cell>
          <cell r="O1219" t="str">
            <v>USD/小时</v>
          </cell>
          <cell r="P1219">
            <v>56.75</v>
          </cell>
        </row>
        <row r="1220">
          <cell r="A1220" t="str">
            <v>Shijiazhuang - Chinese employees - L0</v>
          </cell>
          <cell r="B1220" t="str">
            <v>Current version</v>
          </cell>
          <cell r="C1220" t="str">
            <v>V2009R2</v>
          </cell>
          <cell r="D1220" t="str">
            <v>Labor Rate</v>
          </cell>
          <cell r="E1220" t="str">
            <v>China</v>
          </cell>
          <cell r="F1220" t="str">
            <v>China</v>
          </cell>
          <cell r="G1220" t="str">
            <v>石家庄办事处</v>
          </cell>
          <cell r="H1220" t="str">
            <v>0006</v>
          </cell>
          <cell r="I1220" t="str">
            <v>石家庄</v>
          </cell>
          <cell r="J1220" t="str">
            <v>Shijiazhuang</v>
          </cell>
          <cell r="K1220" t="str">
            <v>Chinese employees</v>
          </cell>
          <cell r="L1220" t="str">
            <v>L0</v>
          </cell>
          <cell r="M1220" t="str">
            <v>ALL</v>
          </cell>
          <cell r="N1220" t="str">
            <v>FLPC(含奖金)</v>
          </cell>
          <cell r="O1220" t="str">
            <v>USD/小时</v>
          </cell>
          <cell r="P1220">
            <v>11.56</v>
          </cell>
        </row>
        <row r="1221">
          <cell r="A1221" t="str">
            <v>Shijiazhuang - Chinese employees - L1</v>
          </cell>
          <cell r="B1221" t="str">
            <v>Current version</v>
          </cell>
          <cell r="C1221" t="str">
            <v>V2009R2</v>
          </cell>
          <cell r="D1221" t="str">
            <v>Labor Rate</v>
          </cell>
          <cell r="E1221" t="str">
            <v>China</v>
          </cell>
          <cell r="F1221" t="str">
            <v>China</v>
          </cell>
          <cell r="G1221" t="str">
            <v>石家庄办事处</v>
          </cell>
          <cell r="H1221" t="str">
            <v>0006</v>
          </cell>
          <cell r="I1221" t="str">
            <v>石家庄</v>
          </cell>
          <cell r="J1221" t="str">
            <v>Shijiazhuang</v>
          </cell>
          <cell r="K1221" t="str">
            <v>Chinese employees</v>
          </cell>
          <cell r="L1221" t="str">
            <v>L1</v>
          </cell>
          <cell r="M1221" t="str">
            <v>ALL</v>
          </cell>
          <cell r="N1221" t="str">
            <v>FLPC(含奖金)</v>
          </cell>
          <cell r="O1221" t="str">
            <v>USD/小时</v>
          </cell>
          <cell r="P1221">
            <v>16.82</v>
          </cell>
        </row>
        <row r="1222">
          <cell r="A1222" t="str">
            <v>Shijiazhuang - Chinese employees - L2</v>
          </cell>
          <cell r="B1222" t="str">
            <v>Current version</v>
          </cell>
          <cell r="C1222" t="str">
            <v>V2009R2</v>
          </cell>
          <cell r="D1222" t="str">
            <v>Labor Rate</v>
          </cell>
          <cell r="E1222" t="str">
            <v>China</v>
          </cell>
          <cell r="F1222" t="str">
            <v>China</v>
          </cell>
          <cell r="G1222" t="str">
            <v>石家庄办事处</v>
          </cell>
          <cell r="H1222" t="str">
            <v>0006</v>
          </cell>
          <cell r="I1222" t="str">
            <v>石家庄</v>
          </cell>
          <cell r="J1222" t="str">
            <v>Shijiazhuang</v>
          </cell>
          <cell r="K1222" t="str">
            <v>Chinese employees</v>
          </cell>
          <cell r="L1222" t="str">
            <v>L2</v>
          </cell>
          <cell r="M1222" t="str">
            <v>ALL</v>
          </cell>
          <cell r="N1222" t="str">
            <v>FLPC(含奖金)</v>
          </cell>
          <cell r="O1222" t="str">
            <v>USD/小时</v>
          </cell>
          <cell r="P1222">
            <v>23.63</v>
          </cell>
        </row>
        <row r="1223">
          <cell r="A1223" t="str">
            <v>Shijiazhuang - Chinese employees - L3</v>
          </cell>
          <cell r="B1223" t="str">
            <v>Current version</v>
          </cell>
          <cell r="C1223" t="str">
            <v>V2009R2</v>
          </cell>
          <cell r="D1223" t="str">
            <v>Labor Rate</v>
          </cell>
          <cell r="E1223" t="str">
            <v>China</v>
          </cell>
          <cell r="F1223" t="str">
            <v>China</v>
          </cell>
          <cell r="G1223" t="str">
            <v>石家庄办事处</v>
          </cell>
          <cell r="H1223" t="str">
            <v>0006</v>
          </cell>
          <cell r="I1223" t="str">
            <v>石家庄</v>
          </cell>
          <cell r="J1223" t="str">
            <v>Shijiazhuang</v>
          </cell>
          <cell r="K1223" t="str">
            <v>Chinese employees</v>
          </cell>
          <cell r="L1223" t="str">
            <v>L3</v>
          </cell>
          <cell r="M1223" t="str">
            <v>ALL</v>
          </cell>
          <cell r="N1223" t="str">
            <v>FLPC(含奖金)</v>
          </cell>
          <cell r="O1223" t="str">
            <v>USD/小时</v>
          </cell>
          <cell r="P1223">
            <v>32.57</v>
          </cell>
        </row>
        <row r="1224">
          <cell r="A1224" t="str">
            <v>Shijiazhuang - Chinese employees - L4</v>
          </cell>
          <cell r="B1224" t="str">
            <v>Current version</v>
          </cell>
          <cell r="C1224" t="str">
            <v>V2009R2</v>
          </cell>
          <cell r="D1224" t="str">
            <v>Labor Rate</v>
          </cell>
          <cell r="E1224" t="str">
            <v>China</v>
          </cell>
          <cell r="F1224" t="str">
            <v>China</v>
          </cell>
          <cell r="G1224" t="str">
            <v>石家庄办事处</v>
          </cell>
          <cell r="H1224" t="str">
            <v>0006</v>
          </cell>
          <cell r="I1224" t="str">
            <v>石家庄</v>
          </cell>
          <cell r="J1224" t="str">
            <v>Shijiazhuang</v>
          </cell>
          <cell r="K1224" t="str">
            <v>Chinese employees</v>
          </cell>
          <cell r="L1224" t="str">
            <v>L4</v>
          </cell>
          <cell r="M1224" t="str">
            <v>ALL</v>
          </cell>
          <cell r="N1224" t="str">
            <v>FLPC(含奖金)</v>
          </cell>
          <cell r="O1224" t="str">
            <v>USD/小时</v>
          </cell>
          <cell r="P1224">
            <v>56.75</v>
          </cell>
        </row>
        <row r="1225">
          <cell r="A1225" t="str">
            <v>Uhehaote - Chinese employees - L0</v>
          </cell>
          <cell r="B1225" t="str">
            <v>Current version</v>
          </cell>
          <cell r="C1225" t="str">
            <v>V2009R2</v>
          </cell>
          <cell r="D1225" t="str">
            <v>Labor Rate</v>
          </cell>
          <cell r="E1225" t="str">
            <v>China</v>
          </cell>
          <cell r="F1225" t="str">
            <v>China</v>
          </cell>
          <cell r="G1225" t="str">
            <v>呼和浩特办事处</v>
          </cell>
          <cell r="H1225" t="str">
            <v>0007</v>
          </cell>
          <cell r="I1225" t="str">
            <v>呼和浩特</v>
          </cell>
          <cell r="J1225" t="str">
            <v>Uhehaote</v>
          </cell>
          <cell r="K1225" t="str">
            <v>Chinese employees</v>
          </cell>
          <cell r="L1225" t="str">
            <v>L0</v>
          </cell>
          <cell r="M1225" t="str">
            <v>ALL</v>
          </cell>
          <cell r="N1225" t="str">
            <v>FLPC(含奖金)</v>
          </cell>
          <cell r="O1225" t="str">
            <v>USD/小时</v>
          </cell>
          <cell r="P1225">
            <v>11.56</v>
          </cell>
        </row>
        <row r="1226">
          <cell r="A1226" t="str">
            <v>Uhehaote - Chinese employees - L1</v>
          </cell>
          <cell r="B1226" t="str">
            <v>Current version</v>
          </cell>
          <cell r="C1226" t="str">
            <v>V2009R2</v>
          </cell>
          <cell r="D1226" t="str">
            <v>Labor Rate</v>
          </cell>
          <cell r="E1226" t="str">
            <v>China</v>
          </cell>
          <cell r="F1226" t="str">
            <v>China</v>
          </cell>
          <cell r="G1226" t="str">
            <v>呼和浩特办事处</v>
          </cell>
          <cell r="H1226" t="str">
            <v>0007</v>
          </cell>
          <cell r="I1226" t="str">
            <v>呼和浩特</v>
          </cell>
          <cell r="J1226" t="str">
            <v>Uhehaote</v>
          </cell>
          <cell r="K1226" t="str">
            <v>Chinese employees</v>
          </cell>
          <cell r="L1226" t="str">
            <v>L1</v>
          </cell>
          <cell r="M1226" t="str">
            <v>ALL</v>
          </cell>
          <cell r="N1226" t="str">
            <v>FLPC(含奖金)</v>
          </cell>
          <cell r="O1226" t="str">
            <v>USD/小时</v>
          </cell>
          <cell r="P1226">
            <v>16.82</v>
          </cell>
        </row>
        <row r="1227">
          <cell r="A1227" t="str">
            <v>Uhehaote - Chinese employees - L2</v>
          </cell>
          <cell r="B1227" t="str">
            <v>Current version</v>
          </cell>
          <cell r="C1227" t="str">
            <v>V2009R2</v>
          </cell>
          <cell r="D1227" t="str">
            <v>Labor Rate</v>
          </cell>
          <cell r="E1227" t="str">
            <v>China</v>
          </cell>
          <cell r="F1227" t="str">
            <v>China</v>
          </cell>
          <cell r="G1227" t="str">
            <v>呼和浩特办事处</v>
          </cell>
          <cell r="H1227" t="str">
            <v>0007</v>
          </cell>
          <cell r="I1227" t="str">
            <v>呼和浩特</v>
          </cell>
          <cell r="J1227" t="str">
            <v>Uhehaote</v>
          </cell>
          <cell r="K1227" t="str">
            <v>Chinese employees</v>
          </cell>
          <cell r="L1227" t="str">
            <v>L2</v>
          </cell>
          <cell r="M1227" t="str">
            <v>ALL</v>
          </cell>
          <cell r="N1227" t="str">
            <v>FLPC(含奖金)</v>
          </cell>
          <cell r="O1227" t="str">
            <v>USD/小时</v>
          </cell>
          <cell r="P1227">
            <v>23.63</v>
          </cell>
        </row>
        <row r="1228">
          <cell r="A1228" t="str">
            <v>Uhehaote - Chinese employees - L3</v>
          </cell>
          <cell r="B1228" t="str">
            <v>Current version</v>
          </cell>
          <cell r="C1228" t="str">
            <v>V2009R2</v>
          </cell>
          <cell r="D1228" t="str">
            <v>Labor Rate</v>
          </cell>
          <cell r="E1228" t="str">
            <v>China</v>
          </cell>
          <cell r="F1228" t="str">
            <v>China</v>
          </cell>
          <cell r="G1228" t="str">
            <v>呼和浩特办事处</v>
          </cell>
          <cell r="H1228" t="str">
            <v>0007</v>
          </cell>
          <cell r="I1228" t="str">
            <v>呼和浩特</v>
          </cell>
          <cell r="J1228" t="str">
            <v>Uhehaote</v>
          </cell>
          <cell r="K1228" t="str">
            <v>Chinese employees</v>
          </cell>
          <cell r="L1228" t="str">
            <v>L3</v>
          </cell>
          <cell r="M1228" t="str">
            <v>ALL</v>
          </cell>
          <cell r="N1228" t="str">
            <v>FLPC(含奖金)</v>
          </cell>
          <cell r="O1228" t="str">
            <v>USD/小时</v>
          </cell>
          <cell r="P1228">
            <v>32.57</v>
          </cell>
        </row>
        <row r="1229">
          <cell r="A1229" t="str">
            <v>Uhehaote - Chinese employees - L4</v>
          </cell>
          <cell r="B1229" t="str">
            <v>Current version</v>
          </cell>
          <cell r="C1229" t="str">
            <v>V2009R2</v>
          </cell>
          <cell r="D1229" t="str">
            <v>Labor Rate</v>
          </cell>
          <cell r="E1229" t="str">
            <v>China</v>
          </cell>
          <cell r="F1229" t="str">
            <v>China</v>
          </cell>
          <cell r="G1229" t="str">
            <v>呼和浩特办事处</v>
          </cell>
          <cell r="H1229" t="str">
            <v>0007</v>
          </cell>
          <cell r="I1229" t="str">
            <v>呼和浩特</v>
          </cell>
          <cell r="J1229" t="str">
            <v>Uhehaote</v>
          </cell>
          <cell r="K1229" t="str">
            <v>Chinese employees</v>
          </cell>
          <cell r="L1229" t="str">
            <v>L4</v>
          </cell>
          <cell r="M1229" t="str">
            <v>ALL</v>
          </cell>
          <cell r="N1229" t="str">
            <v>FLPC(含奖金)</v>
          </cell>
          <cell r="O1229" t="str">
            <v>USD/小时</v>
          </cell>
          <cell r="P1229">
            <v>56.75</v>
          </cell>
        </row>
        <row r="1230">
          <cell r="A1230" t="str">
            <v>Shenyang - Chinese employees - L0</v>
          </cell>
          <cell r="B1230" t="str">
            <v>Current version</v>
          </cell>
          <cell r="C1230" t="str">
            <v>V2009R2</v>
          </cell>
          <cell r="D1230" t="str">
            <v>Labor Rate</v>
          </cell>
          <cell r="E1230" t="str">
            <v>China</v>
          </cell>
          <cell r="F1230" t="str">
            <v>China</v>
          </cell>
          <cell r="G1230" t="str">
            <v>沈阳办事处</v>
          </cell>
          <cell r="H1230" t="str">
            <v>0008</v>
          </cell>
          <cell r="I1230" t="str">
            <v>沈阳</v>
          </cell>
          <cell r="J1230" t="str">
            <v>Shenyang</v>
          </cell>
          <cell r="K1230" t="str">
            <v>Chinese employees</v>
          </cell>
          <cell r="L1230" t="str">
            <v>L0</v>
          </cell>
          <cell r="M1230" t="str">
            <v>ALL</v>
          </cell>
          <cell r="N1230" t="str">
            <v>FLPC(含奖金)</v>
          </cell>
          <cell r="O1230" t="str">
            <v>USD/小时</v>
          </cell>
          <cell r="P1230">
            <v>11.56</v>
          </cell>
        </row>
        <row r="1231">
          <cell r="A1231" t="str">
            <v>Shenyang - Chinese employees - L1</v>
          </cell>
          <cell r="B1231" t="str">
            <v>Current version</v>
          </cell>
          <cell r="C1231" t="str">
            <v>V2009R2</v>
          </cell>
          <cell r="D1231" t="str">
            <v>Labor Rate</v>
          </cell>
          <cell r="E1231" t="str">
            <v>China</v>
          </cell>
          <cell r="F1231" t="str">
            <v>China</v>
          </cell>
          <cell r="G1231" t="str">
            <v>沈阳办事处</v>
          </cell>
          <cell r="H1231" t="str">
            <v>0008</v>
          </cell>
          <cell r="I1231" t="str">
            <v>沈阳</v>
          </cell>
          <cell r="J1231" t="str">
            <v>Shenyang</v>
          </cell>
          <cell r="K1231" t="str">
            <v>Chinese employees</v>
          </cell>
          <cell r="L1231" t="str">
            <v>L1</v>
          </cell>
          <cell r="M1231" t="str">
            <v>ALL</v>
          </cell>
          <cell r="N1231" t="str">
            <v>FLPC(含奖金)</v>
          </cell>
          <cell r="O1231" t="str">
            <v>USD/小时</v>
          </cell>
          <cell r="P1231">
            <v>16.82</v>
          </cell>
        </row>
        <row r="1232">
          <cell r="A1232" t="str">
            <v>Shenyang - Chinese employees - L2</v>
          </cell>
          <cell r="B1232" t="str">
            <v>Current version</v>
          </cell>
          <cell r="C1232" t="str">
            <v>V2009R2</v>
          </cell>
          <cell r="D1232" t="str">
            <v>Labor Rate</v>
          </cell>
          <cell r="E1232" t="str">
            <v>China</v>
          </cell>
          <cell r="F1232" t="str">
            <v>China</v>
          </cell>
          <cell r="G1232" t="str">
            <v>沈阳办事处</v>
          </cell>
          <cell r="H1232" t="str">
            <v>0008</v>
          </cell>
          <cell r="I1232" t="str">
            <v>沈阳</v>
          </cell>
          <cell r="J1232" t="str">
            <v>Shenyang</v>
          </cell>
          <cell r="K1232" t="str">
            <v>Chinese employees</v>
          </cell>
          <cell r="L1232" t="str">
            <v>L2</v>
          </cell>
          <cell r="M1232" t="str">
            <v>ALL</v>
          </cell>
          <cell r="N1232" t="str">
            <v>FLPC(含奖金)</v>
          </cell>
          <cell r="O1232" t="str">
            <v>USD/小时</v>
          </cell>
          <cell r="P1232">
            <v>23.63</v>
          </cell>
        </row>
        <row r="1233">
          <cell r="A1233" t="str">
            <v>Shenyang - Chinese employees - L3</v>
          </cell>
          <cell r="B1233" t="str">
            <v>Current version</v>
          </cell>
          <cell r="C1233" t="str">
            <v>V2009R2</v>
          </cell>
          <cell r="D1233" t="str">
            <v>Labor Rate</v>
          </cell>
          <cell r="E1233" t="str">
            <v>China</v>
          </cell>
          <cell r="F1233" t="str">
            <v>China</v>
          </cell>
          <cell r="G1233" t="str">
            <v>沈阳办事处</v>
          </cell>
          <cell r="H1233" t="str">
            <v>0008</v>
          </cell>
          <cell r="I1233" t="str">
            <v>沈阳</v>
          </cell>
          <cell r="J1233" t="str">
            <v>Shenyang</v>
          </cell>
          <cell r="K1233" t="str">
            <v>Chinese employees</v>
          </cell>
          <cell r="L1233" t="str">
            <v>L3</v>
          </cell>
          <cell r="M1233" t="str">
            <v>ALL</v>
          </cell>
          <cell r="N1233" t="str">
            <v>FLPC(含奖金)</v>
          </cell>
          <cell r="O1233" t="str">
            <v>USD/小时</v>
          </cell>
          <cell r="P1233">
            <v>32.57</v>
          </cell>
        </row>
        <row r="1234">
          <cell r="A1234" t="str">
            <v>Shenyang - Chinese employees - L4</v>
          </cell>
          <cell r="B1234" t="str">
            <v>Current version</v>
          </cell>
          <cell r="C1234" t="str">
            <v>V2009R2</v>
          </cell>
          <cell r="D1234" t="str">
            <v>Labor Rate</v>
          </cell>
          <cell r="E1234" t="str">
            <v>China</v>
          </cell>
          <cell r="F1234" t="str">
            <v>China</v>
          </cell>
          <cell r="G1234" t="str">
            <v>沈阳办事处</v>
          </cell>
          <cell r="H1234" t="str">
            <v>0008</v>
          </cell>
          <cell r="I1234" t="str">
            <v>沈阳</v>
          </cell>
          <cell r="J1234" t="str">
            <v>Shenyang</v>
          </cell>
          <cell r="K1234" t="str">
            <v>Chinese employees</v>
          </cell>
          <cell r="L1234" t="str">
            <v>L4</v>
          </cell>
          <cell r="M1234" t="str">
            <v>ALL</v>
          </cell>
          <cell r="N1234" t="str">
            <v>FLPC(含奖金)</v>
          </cell>
          <cell r="O1234" t="str">
            <v>USD/小时</v>
          </cell>
          <cell r="P1234">
            <v>56.75</v>
          </cell>
        </row>
        <row r="1235">
          <cell r="A1235" t="str">
            <v>Changchun - Chinese employees - L0</v>
          </cell>
          <cell r="B1235" t="str">
            <v>Current version</v>
          </cell>
          <cell r="C1235" t="str">
            <v>V2009R2</v>
          </cell>
          <cell r="D1235" t="str">
            <v>Labor Rate</v>
          </cell>
          <cell r="E1235" t="str">
            <v>China</v>
          </cell>
          <cell r="F1235" t="str">
            <v>China</v>
          </cell>
          <cell r="G1235" t="str">
            <v>长春办事处</v>
          </cell>
          <cell r="H1235" t="str">
            <v>0009</v>
          </cell>
          <cell r="I1235" t="str">
            <v>长春</v>
          </cell>
          <cell r="J1235" t="str">
            <v>Changchun</v>
          </cell>
          <cell r="K1235" t="str">
            <v>Chinese employees</v>
          </cell>
          <cell r="L1235" t="str">
            <v>L0</v>
          </cell>
          <cell r="M1235" t="str">
            <v>ALL</v>
          </cell>
          <cell r="N1235" t="str">
            <v>FLPC(含奖金)</v>
          </cell>
          <cell r="O1235" t="str">
            <v>USD/小时</v>
          </cell>
          <cell r="P1235">
            <v>11.56</v>
          </cell>
        </row>
        <row r="1236">
          <cell r="A1236" t="str">
            <v>Changchun - Chinese employees - L1</v>
          </cell>
          <cell r="B1236" t="str">
            <v>Current version</v>
          </cell>
          <cell r="C1236" t="str">
            <v>V2009R2</v>
          </cell>
          <cell r="D1236" t="str">
            <v>Labor Rate</v>
          </cell>
          <cell r="E1236" t="str">
            <v>China</v>
          </cell>
          <cell r="F1236" t="str">
            <v>China</v>
          </cell>
          <cell r="G1236" t="str">
            <v>长春办事处</v>
          </cell>
          <cell r="H1236" t="str">
            <v>0009</v>
          </cell>
          <cell r="I1236" t="str">
            <v>长春</v>
          </cell>
          <cell r="J1236" t="str">
            <v>Changchun</v>
          </cell>
          <cell r="K1236" t="str">
            <v>Chinese employees</v>
          </cell>
          <cell r="L1236" t="str">
            <v>L1</v>
          </cell>
          <cell r="M1236" t="str">
            <v>ALL</v>
          </cell>
          <cell r="N1236" t="str">
            <v>FLPC(含奖金)</v>
          </cell>
          <cell r="O1236" t="str">
            <v>USD/小时</v>
          </cell>
          <cell r="P1236">
            <v>16.82</v>
          </cell>
        </row>
        <row r="1237">
          <cell r="A1237" t="str">
            <v>Changchun - Chinese employees - L2</v>
          </cell>
          <cell r="B1237" t="str">
            <v>Current version</v>
          </cell>
          <cell r="C1237" t="str">
            <v>V2009R2</v>
          </cell>
          <cell r="D1237" t="str">
            <v>Labor Rate</v>
          </cell>
          <cell r="E1237" t="str">
            <v>China</v>
          </cell>
          <cell r="F1237" t="str">
            <v>China</v>
          </cell>
          <cell r="G1237" t="str">
            <v>长春办事处</v>
          </cell>
          <cell r="H1237" t="str">
            <v>0009</v>
          </cell>
          <cell r="I1237" t="str">
            <v>长春</v>
          </cell>
          <cell r="J1237" t="str">
            <v>Changchun</v>
          </cell>
          <cell r="K1237" t="str">
            <v>Chinese employees</v>
          </cell>
          <cell r="L1237" t="str">
            <v>L2</v>
          </cell>
          <cell r="M1237" t="str">
            <v>ALL</v>
          </cell>
          <cell r="N1237" t="str">
            <v>FLPC(含奖金)</v>
          </cell>
          <cell r="O1237" t="str">
            <v>USD/小时</v>
          </cell>
          <cell r="P1237">
            <v>23.63</v>
          </cell>
        </row>
        <row r="1238">
          <cell r="A1238" t="str">
            <v>Changchun - Chinese employees - L3</v>
          </cell>
          <cell r="B1238" t="str">
            <v>Current version</v>
          </cell>
          <cell r="C1238" t="str">
            <v>V2009R2</v>
          </cell>
          <cell r="D1238" t="str">
            <v>Labor Rate</v>
          </cell>
          <cell r="E1238" t="str">
            <v>China</v>
          </cell>
          <cell r="F1238" t="str">
            <v>China</v>
          </cell>
          <cell r="G1238" t="str">
            <v>长春办事处</v>
          </cell>
          <cell r="H1238" t="str">
            <v>0009</v>
          </cell>
          <cell r="I1238" t="str">
            <v>长春</v>
          </cell>
          <cell r="J1238" t="str">
            <v>Changchun</v>
          </cell>
          <cell r="K1238" t="str">
            <v>Chinese employees</v>
          </cell>
          <cell r="L1238" t="str">
            <v>L3</v>
          </cell>
          <cell r="M1238" t="str">
            <v>ALL</v>
          </cell>
          <cell r="N1238" t="str">
            <v>FLPC(含奖金)</v>
          </cell>
          <cell r="O1238" t="str">
            <v>USD/小时</v>
          </cell>
          <cell r="P1238">
            <v>32.57</v>
          </cell>
        </row>
        <row r="1239">
          <cell r="A1239" t="str">
            <v>Changchun - Chinese employees - L4</v>
          </cell>
          <cell r="B1239" t="str">
            <v>Current version</v>
          </cell>
          <cell r="C1239" t="str">
            <v>V2009R2</v>
          </cell>
          <cell r="D1239" t="str">
            <v>Labor Rate</v>
          </cell>
          <cell r="E1239" t="str">
            <v>China</v>
          </cell>
          <cell r="F1239" t="str">
            <v>China</v>
          </cell>
          <cell r="G1239" t="str">
            <v>长春办事处</v>
          </cell>
          <cell r="H1239" t="str">
            <v>0009</v>
          </cell>
          <cell r="I1239" t="str">
            <v>长春</v>
          </cell>
          <cell r="J1239" t="str">
            <v>Changchun</v>
          </cell>
          <cell r="K1239" t="str">
            <v>Chinese employees</v>
          </cell>
          <cell r="L1239" t="str">
            <v>L4</v>
          </cell>
          <cell r="M1239" t="str">
            <v>ALL</v>
          </cell>
          <cell r="N1239" t="str">
            <v>FLPC(含奖金)</v>
          </cell>
          <cell r="O1239" t="str">
            <v>USD/小时</v>
          </cell>
          <cell r="P1239">
            <v>56.75</v>
          </cell>
        </row>
        <row r="1240">
          <cell r="A1240" t="str">
            <v>Haerbin - Chinese employees - L0</v>
          </cell>
          <cell r="B1240" t="str">
            <v>Current version</v>
          </cell>
          <cell r="C1240" t="str">
            <v>V2009R2</v>
          </cell>
          <cell r="D1240" t="str">
            <v>Labor Rate</v>
          </cell>
          <cell r="E1240" t="str">
            <v>China</v>
          </cell>
          <cell r="F1240" t="str">
            <v>China</v>
          </cell>
          <cell r="G1240" t="str">
            <v>哈尔滨办事处</v>
          </cell>
          <cell r="H1240" t="str">
            <v>0010</v>
          </cell>
          <cell r="I1240" t="str">
            <v>哈尔滨</v>
          </cell>
          <cell r="J1240" t="str">
            <v>Haerbin</v>
          </cell>
          <cell r="K1240" t="str">
            <v>Chinese employees</v>
          </cell>
          <cell r="L1240" t="str">
            <v>L0</v>
          </cell>
          <cell r="M1240" t="str">
            <v>ALL</v>
          </cell>
          <cell r="N1240" t="str">
            <v>FLPC(含奖金)</v>
          </cell>
          <cell r="O1240" t="str">
            <v>USD/小时</v>
          </cell>
          <cell r="P1240">
            <v>11.56</v>
          </cell>
        </row>
        <row r="1241">
          <cell r="A1241" t="str">
            <v>Haerbin - Chinese employees - L1</v>
          </cell>
          <cell r="B1241" t="str">
            <v>Current version</v>
          </cell>
          <cell r="C1241" t="str">
            <v>V2009R2</v>
          </cell>
          <cell r="D1241" t="str">
            <v>Labor Rate</v>
          </cell>
          <cell r="E1241" t="str">
            <v>China</v>
          </cell>
          <cell r="F1241" t="str">
            <v>China</v>
          </cell>
          <cell r="G1241" t="str">
            <v>哈尔滨办事处</v>
          </cell>
          <cell r="H1241" t="str">
            <v>0010</v>
          </cell>
          <cell r="I1241" t="str">
            <v>哈尔滨</v>
          </cell>
          <cell r="J1241" t="str">
            <v>Haerbin</v>
          </cell>
          <cell r="K1241" t="str">
            <v>Chinese employees</v>
          </cell>
          <cell r="L1241" t="str">
            <v>L1</v>
          </cell>
          <cell r="M1241" t="str">
            <v>ALL</v>
          </cell>
          <cell r="N1241" t="str">
            <v>FLPC(含奖金)</v>
          </cell>
          <cell r="O1241" t="str">
            <v>USD/小时</v>
          </cell>
          <cell r="P1241">
            <v>16.82</v>
          </cell>
        </row>
        <row r="1242">
          <cell r="A1242" t="str">
            <v>Haerbin - Chinese employees - L2</v>
          </cell>
          <cell r="B1242" t="str">
            <v>Current version</v>
          </cell>
          <cell r="C1242" t="str">
            <v>V2009R2</v>
          </cell>
          <cell r="D1242" t="str">
            <v>Labor Rate</v>
          </cell>
          <cell r="E1242" t="str">
            <v>China</v>
          </cell>
          <cell r="F1242" t="str">
            <v>China</v>
          </cell>
          <cell r="G1242" t="str">
            <v>哈尔滨办事处</v>
          </cell>
          <cell r="H1242" t="str">
            <v>0010</v>
          </cell>
          <cell r="I1242" t="str">
            <v>哈尔滨</v>
          </cell>
          <cell r="J1242" t="str">
            <v>Haerbin</v>
          </cell>
          <cell r="K1242" t="str">
            <v>Chinese employees</v>
          </cell>
          <cell r="L1242" t="str">
            <v>L2</v>
          </cell>
          <cell r="M1242" t="str">
            <v>ALL</v>
          </cell>
          <cell r="N1242" t="str">
            <v>FLPC(含奖金)</v>
          </cell>
          <cell r="O1242" t="str">
            <v>USD/小时</v>
          </cell>
          <cell r="P1242">
            <v>23.63</v>
          </cell>
        </row>
        <row r="1243">
          <cell r="A1243" t="str">
            <v>Haerbin - Chinese employees - L3</v>
          </cell>
          <cell r="B1243" t="str">
            <v>Current version</v>
          </cell>
          <cell r="C1243" t="str">
            <v>V2009R2</v>
          </cell>
          <cell r="D1243" t="str">
            <v>Labor Rate</v>
          </cell>
          <cell r="E1243" t="str">
            <v>China</v>
          </cell>
          <cell r="F1243" t="str">
            <v>China</v>
          </cell>
          <cell r="G1243" t="str">
            <v>哈尔滨办事处</v>
          </cell>
          <cell r="H1243" t="str">
            <v>0010</v>
          </cell>
          <cell r="I1243" t="str">
            <v>哈尔滨</v>
          </cell>
          <cell r="J1243" t="str">
            <v>Haerbin</v>
          </cell>
          <cell r="K1243" t="str">
            <v>Chinese employees</v>
          </cell>
          <cell r="L1243" t="str">
            <v>L3</v>
          </cell>
          <cell r="M1243" t="str">
            <v>ALL</v>
          </cell>
          <cell r="N1243" t="str">
            <v>FLPC(含奖金)</v>
          </cell>
          <cell r="O1243" t="str">
            <v>USD/小时</v>
          </cell>
          <cell r="P1243">
            <v>32.57</v>
          </cell>
        </row>
        <row r="1244">
          <cell r="A1244" t="str">
            <v>Haerbin - Chinese employees - L4</v>
          </cell>
          <cell r="B1244" t="str">
            <v>Current version</v>
          </cell>
          <cell r="C1244" t="str">
            <v>V2009R2</v>
          </cell>
          <cell r="D1244" t="str">
            <v>Labor Rate</v>
          </cell>
          <cell r="E1244" t="str">
            <v>China</v>
          </cell>
          <cell r="F1244" t="str">
            <v>China</v>
          </cell>
          <cell r="G1244" t="str">
            <v>哈尔滨办事处</v>
          </cell>
          <cell r="H1244" t="str">
            <v>0010</v>
          </cell>
          <cell r="I1244" t="str">
            <v>哈尔滨</v>
          </cell>
          <cell r="J1244" t="str">
            <v>Haerbin</v>
          </cell>
          <cell r="K1244" t="str">
            <v>Chinese employees</v>
          </cell>
          <cell r="L1244" t="str">
            <v>L4</v>
          </cell>
          <cell r="M1244" t="str">
            <v>ALL</v>
          </cell>
          <cell r="N1244" t="str">
            <v>FLPC(含奖金)</v>
          </cell>
          <cell r="O1244" t="str">
            <v>USD/小时</v>
          </cell>
          <cell r="P1244">
            <v>56.75</v>
          </cell>
        </row>
        <row r="1245">
          <cell r="A1245" t="str">
            <v>Zhengzhou - Chinese employees - L0</v>
          </cell>
          <cell r="B1245" t="str">
            <v>Current version</v>
          </cell>
          <cell r="C1245" t="str">
            <v>V2009R2</v>
          </cell>
          <cell r="D1245" t="str">
            <v>Labor Rate</v>
          </cell>
          <cell r="E1245" t="str">
            <v>China</v>
          </cell>
          <cell r="F1245" t="str">
            <v>China</v>
          </cell>
          <cell r="G1245" t="str">
            <v>郑州办事处</v>
          </cell>
          <cell r="H1245" t="str">
            <v>0011</v>
          </cell>
          <cell r="I1245" t="str">
            <v>郑州</v>
          </cell>
          <cell r="J1245" t="str">
            <v>Zhengzhou</v>
          </cell>
          <cell r="K1245" t="str">
            <v>Chinese employees</v>
          </cell>
          <cell r="L1245" t="str">
            <v>L0</v>
          </cell>
          <cell r="M1245" t="str">
            <v>ALL</v>
          </cell>
          <cell r="N1245" t="str">
            <v>FLPC(含奖金)</v>
          </cell>
          <cell r="O1245" t="str">
            <v>USD/小时</v>
          </cell>
          <cell r="P1245">
            <v>11.56</v>
          </cell>
        </row>
        <row r="1246">
          <cell r="A1246" t="str">
            <v>Zhengzhou - Chinese employees - L1</v>
          </cell>
          <cell r="B1246" t="str">
            <v>Current version</v>
          </cell>
          <cell r="C1246" t="str">
            <v>V2009R2</v>
          </cell>
          <cell r="D1246" t="str">
            <v>Labor Rate</v>
          </cell>
          <cell r="E1246" t="str">
            <v>China</v>
          </cell>
          <cell r="F1246" t="str">
            <v>China</v>
          </cell>
          <cell r="G1246" t="str">
            <v>郑州办事处</v>
          </cell>
          <cell r="H1246" t="str">
            <v>0011</v>
          </cell>
          <cell r="I1246" t="str">
            <v>郑州</v>
          </cell>
          <cell r="J1246" t="str">
            <v>Zhengzhou</v>
          </cell>
          <cell r="K1246" t="str">
            <v>Chinese employees</v>
          </cell>
          <cell r="L1246" t="str">
            <v>L1</v>
          </cell>
          <cell r="M1246" t="str">
            <v>ALL</v>
          </cell>
          <cell r="N1246" t="str">
            <v>FLPC(含奖金)</v>
          </cell>
          <cell r="O1246" t="str">
            <v>USD/小时</v>
          </cell>
          <cell r="P1246">
            <v>16.82</v>
          </cell>
        </row>
        <row r="1247">
          <cell r="A1247" t="str">
            <v>Zhengzhou - Chinese employees - L2</v>
          </cell>
          <cell r="B1247" t="str">
            <v>Current version</v>
          </cell>
          <cell r="C1247" t="str">
            <v>V2009R2</v>
          </cell>
          <cell r="D1247" t="str">
            <v>Labor Rate</v>
          </cell>
          <cell r="E1247" t="str">
            <v>China</v>
          </cell>
          <cell r="F1247" t="str">
            <v>China</v>
          </cell>
          <cell r="G1247" t="str">
            <v>郑州办事处</v>
          </cell>
          <cell r="H1247" t="str">
            <v>0011</v>
          </cell>
          <cell r="I1247" t="str">
            <v>郑州</v>
          </cell>
          <cell r="J1247" t="str">
            <v>Zhengzhou</v>
          </cell>
          <cell r="K1247" t="str">
            <v>Chinese employees</v>
          </cell>
          <cell r="L1247" t="str">
            <v>L2</v>
          </cell>
          <cell r="M1247" t="str">
            <v>ALL</v>
          </cell>
          <cell r="N1247" t="str">
            <v>FLPC(含奖金)</v>
          </cell>
          <cell r="O1247" t="str">
            <v>USD/小时</v>
          </cell>
          <cell r="P1247">
            <v>23.63</v>
          </cell>
        </row>
        <row r="1248">
          <cell r="A1248" t="str">
            <v>Zhengzhou - Chinese employees - L3</v>
          </cell>
          <cell r="B1248" t="str">
            <v>Current version</v>
          </cell>
          <cell r="C1248" t="str">
            <v>V2009R2</v>
          </cell>
          <cell r="D1248" t="str">
            <v>Labor Rate</v>
          </cell>
          <cell r="E1248" t="str">
            <v>China</v>
          </cell>
          <cell r="F1248" t="str">
            <v>China</v>
          </cell>
          <cell r="G1248" t="str">
            <v>郑州办事处</v>
          </cell>
          <cell r="H1248" t="str">
            <v>0011</v>
          </cell>
          <cell r="I1248" t="str">
            <v>郑州</v>
          </cell>
          <cell r="J1248" t="str">
            <v>Zhengzhou</v>
          </cell>
          <cell r="K1248" t="str">
            <v>Chinese employees</v>
          </cell>
          <cell r="L1248" t="str">
            <v>L3</v>
          </cell>
          <cell r="M1248" t="str">
            <v>ALL</v>
          </cell>
          <cell r="N1248" t="str">
            <v>FLPC(含奖金)</v>
          </cell>
          <cell r="O1248" t="str">
            <v>USD/小时</v>
          </cell>
          <cell r="P1248">
            <v>32.57</v>
          </cell>
        </row>
        <row r="1249">
          <cell r="A1249" t="str">
            <v>Zhengzhou - Chinese employees - L4</v>
          </cell>
          <cell r="B1249" t="str">
            <v>Current version</v>
          </cell>
          <cell r="C1249" t="str">
            <v>V2009R2</v>
          </cell>
          <cell r="D1249" t="str">
            <v>Labor Rate</v>
          </cell>
          <cell r="E1249" t="str">
            <v>China</v>
          </cell>
          <cell r="F1249" t="str">
            <v>China</v>
          </cell>
          <cell r="G1249" t="str">
            <v>郑州办事处</v>
          </cell>
          <cell r="H1249" t="str">
            <v>0011</v>
          </cell>
          <cell r="I1249" t="str">
            <v>郑州</v>
          </cell>
          <cell r="J1249" t="str">
            <v>Zhengzhou</v>
          </cell>
          <cell r="K1249" t="str">
            <v>Chinese employees</v>
          </cell>
          <cell r="L1249" t="str">
            <v>L4</v>
          </cell>
          <cell r="M1249" t="str">
            <v>ALL</v>
          </cell>
          <cell r="N1249" t="str">
            <v>FLPC(含奖金)</v>
          </cell>
          <cell r="O1249" t="str">
            <v>USD/小时</v>
          </cell>
          <cell r="P1249">
            <v>56.75</v>
          </cell>
        </row>
        <row r="1250">
          <cell r="A1250" t="str">
            <v>Changsha - Chinese employees - L0</v>
          </cell>
          <cell r="B1250" t="str">
            <v>Current version</v>
          </cell>
          <cell r="C1250" t="str">
            <v>V2009R2</v>
          </cell>
          <cell r="D1250" t="str">
            <v>Labor Rate</v>
          </cell>
          <cell r="E1250" t="str">
            <v>China</v>
          </cell>
          <cell r="F1250" t="str">
            <v>China</v>
          </cell>
          <cell r="G1250" t="str">
            <v>长沙办事处</v>
          </cell>
          <cell r="H1250" t="str">
            <v>0012</v>
          </cell>
          <cell r="I1250" t="str">
            <v>长沙</v>
          </cell>
          <cell r="J1250" t="str">
            <v>Changsha</v>
          </cell>
          <cell r="K1250" t="str">
            <v>Chinese employees</v>
          </cell>
          <cell r="L1250" t="str">
            <v>L0</v>
          </cell>
          <cell r="M1250" t="str">
            <v>ALL</v>
          </cell>
          <cell r="N1250" t="str">
            <v>FLPC(含奖金)</v>
          </cell>
          <cell r="O1250" t="str">
            <v>USD/小时</v>
          </cell>
          <cell r="P1250">
            <v>11.56</v>
          </cell>
        </row>
        <row r="1251">
          <cell r="A1251" t="str">
            <v>Changsha - Chinese employees - L1</v>
          </cell>
          <cell r="B1251" t="str">
            <v>Current version</v>
          </cell>
          <cell r="C1251" t="str">
            <v>V2009R2</v>
          </cell>
          <cell r="D1251" t="str">
            <v>Labor Rate</v>
          </cell>
          <cell r="E1251" t="str">
            <v>China</v>
          </cell>
          <cell r="F1251" t="str">
            <v>China</v>
          </cell>
          <cell r="G1251" t="str">
            <v>长沙办事处</v>
          </cell>
          <cell r="H1251" t="str">
            <v>0012</v>
          </cell>
          <cell r="I1251" t="str">
            <v>长沙</v>
          </cell>
          <cell r="J1251" t="str">
            <v>Changsha</v>
          </cell>
          <cell r="K1251" t="str">
            <v>Chinese employees</v>
          </cell>
          <cell r="L1251" t="str">
            <v>L1</v>
          </cell>
          <cell r="M1251" t="str">
            <v>ALL</v>
          </cell>
          <cell r="N1251" t="str">
            <v>FLPC(含奖金)</v>
          </cell>
          <cell r="O1251" t="str">
            <v>USD/小时</v>
          </cell>
          <cell r="P1251">
            <v>16.82</v>
          </cell>
        </row>
        <row r="1252">
          <cell r="A1252" t="str">
            <v>Changsha - Chinese employees - L2</v>
          </cell>
          <cell r="B1252" t="str">
            <v>Current version</v>
          </cell>
          <cell r="C1252" t="str">
            <v>V2009R2</v>
          </cell>
          <cell r="D1252" t="str">
            <v>Labor Rate</v>
          </cell>
          <cell r="E1252" t="str">
            <v>China</v>
          </cell>
          <cell r="F1252" t="str">
            <v>China</v>
          </cell>
          <cell r="G1252" t="str">
            <v>长沙办事处</v>
          </cell>
          <cell r="H1252" t="str">
            <v>0012</v>
          </cell>
          <cell r="I1252" t="str">
            <v>长沙</v>
          </cell>
          <cell r="J1252" t="str">
            <v>Changsha</v>
          </cell>
          <cell r="K1252" t="str">
            <v>Chinese employees</v>
          </cell>
          <cell r="L1252" t="str">
            <v>L2</v>
          </cell>
          <cell r="M1252" t="str">
            <v>ALL</v>
          </cell>
          <cell r="N1252" t="str">
            <v>FLPC(含奖金)</v>
          </cell>
          <cell r="O1252" t="str">
            <v>USD/小时</v>
          </cell>
          <cell r="P1252">
            <v>23.63</v>
          </cell>
        </row>
        <row r="1253">
          <cell r="A1253" t="str">
            <v>Changsha - Chinese employees - L3</v>
          </cell>
          <cell r="B1253" t="str">
            <v>Current version</v>
          </cell>
          <cell r="C1253" t="str">
            <v>V2009R2</v>
          </cell>
          <cell r="D1253" t="str">
            <v>Labor Rate</v>
          </cell>
          <cell r="E1253" t="str">
            <v>China</v>
          </cell>
          <cell r="F1253" t="str">
            <v>China</v>
          </cell>
          <cell r="G1253" t="str">
            <v>长沙办事处</v>
          </cell>
          <cell r="H1253" t="str">
            <v>0012</v>
          </cell>
          <cell r="I1253" t="str">
            <v>长沙</v>
          </cell>
          <cell r="J1253" t="str">
            <v>Changsha</v>
          </cell>
          <cell r="K1253" t="str">
            <v>Chinese employees</v>
          </cell>
          <cell r="L1253" t="str">
            <v>L3</v>
          </cell>
          <cell r="M1253" t="str">
            <v>ALL</v>
          </cell>
          <cell r="N1253" t="str">
            <v>FLPC(含奖金)</v>
          </cell>
          <cell r="O1253" t="str">
            <v>USD/小时</v>
          </cell>
          <cell r="P1253">
            <v>32.57</v>
          </cell>
        </row>
        <row r="1254">
          <cell r="A1254" t="str">
            <v>Changsha - Chinese employees - L4</v>
          </cell>
          <cell r="B1254" t="str">
            <v>Current version</v>
          </cell>
          <cell r="C1254" t="str">
            <v>V2009R2</v>
          </cell>
          <cell r="D1254" t="str">
            <v>Labor Rate</v>
          </cell>
          <cell r="E1254" t="str">
            <v>China</v>
          </cell>
          <cell r="F1254" t="str">
            <v>China</v>
          </cell>
          <cell r="G1254" t="str">
            <v>长沙办事处</v>
          </cell>
          <cell r="H1254" t="str">
            <v>0012</v>
          </cell>
          <cell r="I1254" t="str">
            <v>长沙</v>
          </cell>
          <cell r="J1254" t="str">
            <v>Changsha</v>
          </cell>
          <cell r="K1254" t="str">
            <v>Chinese employees</v>
          </cell>
          <cell r="L1254" t="str">
            <v>L4</v>
          </cell>
          <cell r="M1254" t="str">
            <v>ALL</v>
          </cell>
          <cell r="N1254" t="str">
            <v>FLPC(含奖金)</v>
          </cell>
          <cell r="O1254" t="str">
            <v>USD/小时</v>
          </cell>
          <cell r="P1254">
            <v>56.75</v>
          </cell>
        </row>
        <row r="1255">
          <cell r="A1255" t="str">
            <v>西非地区部总部 - Chinese employees - L4</v>
          </cell>
          <cell r="B1255" t="str">
            <v>Current version</v>
          </cell>
          <cell r="C1255" t="str">
            <v>V2009R2</v>
          </cell>
          <cell r="D1255" t="str">
            <v>Labor Rate</v>
          </cell>
          <cell r="E1255" t="str">
            <v>SA</v>
          </cell>
          <cell r="F1255" t="str">
            <v>Western Africa Sub-Regional Division</v>
          </cell>
          <cell r="G1255" t="str">
            <v>西非地区部总部</v>
          </cell>
          <cell r="H1255" t="str">
            <v>4035</v>
          </cell>
          <cell r="I1255" t="str">
            <v>西非地区部总部</v>
          </cell>
          <cell r="J1255" t="str">
            <v>西非地区部总部</v>
          </cell>
          <cell r="K1255" t="str">
            <v>Chinese employees</v>
          </cell>
          <cell r="L1255" t="str">
            <v>L4</v>
          </cell>
          <cell r="M1255" t="str">
            <v>ALL</v>
          </cell>
          <cell r="N1255" t="str">
            <v>FLPC(含奖金)</v>
          </cell>
          <cell r="O1255" t="str">
            <v>USD/小时</v>
          </cell>
          <cell r="P1255">
            <v>151.97999999999999</v>
          </cell>
        </row>
        <row r="1256">
          <cell r="A1256" t="str">
            <v>中东北非片区总部 - Chinese employees - L0</v>
          </cell>
          <cell r="B1256" t="str">
            <v>Current version</v>
          </cell>
          <cell r="C1256" t="str">
            <v>V2009R2</v>
          </cell>
          <cell r="D1256" t="str">
            <v>Labor Rate</v>
          </cell>
          <cell r="E1256" t="str">
            <v>MENA</v>
          </cell>
          <cell r="F1256" t="str">
            <v>Mena Regional Headquarter</v>
          </cell>
          <cell r="G1256" t="str">
            <v>Mena Regional Headquarter</v>
          </cell>
          <cell r="H1256" t="str">
            <v>5000</v>
          </cell>
          <cell r="I1256" t="str">
            <v>中东北非片区总部</v>
          </cell>
          <cell r="J1256" t="str">
            <v>中东北非片区总部</v>
          </cell>
          <cell r="K1256" t="str">
            <v>Chinese employees</v>
          </cell>
          <cell r="L1256" t="str">
            <v>L0</v>
          </cell>
          <cell r="M1256" t="str">
            <v>ALL</v>
          </cell>
          <cell r="N1256" t="str">
            <v>FLPC(含奖金)</v>
          </cell>
          <cell r="O1256" t="str">
            <v>USD/小时</v>
          </cell>
          <cell r="P1256">
            <v>34.72</v>
          </cell>
        </row>
        <row r="1257">
          <cell r="A1257" t="str">
            <v>中东北非片区总部 - Chinese employees - L1</v>
          </cell>
          <cell r="B1257" t="str">
            <v>Current version</v>
          </cell>
          <cell r="C1257" t="str">
            <v>V2009R2</v>
          </cell>
          <cell r="D1257" t="str">
            <v>Labor Rate</v>
          </cell>
          <cell r="E1257" t="str">
            <v>MENA</v>
          </cell>
          <cell r="F1257" t="str">
            <v>Mena Regional Headquarter</v>
          </cell>
          <cell r="G1257" t="str">
            <v>Mena Regional Headquarter</v>
          </cell>
          <cell r="H1257" t="str">
            <v>5000</v>
          </cell>
          <cell r="I1257" t="str">
            <v>中东北非片区总部</v>
          </cell>
          <cell r="J1257" t="str">
            <v>中东北非片区总部</v>
          </cell>
          <cell r="K1257" t="str">
            <v>Chinese employees</v>
          </cell>
          <cell r="L1257" t="str">
            <v>L1</v>
          </cell>
          <cell r="M1257" t="str">
            <v>ALL</v>
          </cell>
          <cell r="N1257" t="str">
            <v>FLPC(含奖金)</v>
          </cell>
          <cell r="O1257" t="str">
            <v>USD/小时</v>
          </cell>
          <cell r="P1257">
            <v>41.02</v>
          </cell>
        </row>
        <row r="1258">
          <cell r="A1258" t="str">
            <v>中东北非片区总部 - Chinese employees - L2</v>
          </cell>
          <cell r="B1258" t="str">
            <v>Current version</v>
          </cell>
          <cell r="C1258" t="str">
            <v>V2009R2</v>
          </cell>
          <cell r="D1258" t="str">
            <v>Labor Rate</v>
          </cell>
          <cell r="E1258" t="str">
            <v>MENA</v>
          </cell>
          <cell r="F1258" t="str">
            <v>Mena Regional Headquarter</v>
          </cell>
          <cell r="G1258" t="str">
            <v>Mena Regional Headquarter</v>
          </cell>
          <cell r="H1258" t="str">
            <v>5000</v>
          </cell>
          <cell r="I1258" t="str">
            <v>中东北非片区总部</v>
          </cell>
          <cell r="J1258" t="str">
            <v>中东北非片区总部</v>
          </cell>
          <cell r="K1258" t="str">
            <v>Chinese employees</v>
          </cell>
          <cell r="L1258" t="str">
            <v>L2</v>
          </cell>
          <cell r="M1258" t="str">
            <v>ALL</v>
          </cell>
          <cell r="N1258" t="str">
            <v>FLPC(含奖金)</v>
          </cell>
          <cell r="O1258" t="str">
            <v>USD/小时</v>
          </cell>
          <cell r="P1258">
            <v>48.52</v>
          </cell>
        </row>
        <row r="1259">
          <cell r="A1259" t="str">
            <v>中东北非片区总部 - Chinese employees - L3</v>
          </cell>
          <cell r="B1259" t="str">
            <v>Current version</v>
          </cell>
          <cell r="C1259" t="str">
            <v>V2009R2</v>
          </cell>
          <cell r="D1259" t="str">
            <v>Labor Rate</v>
          </cell>
          <cell r="E1259" t="str">
            <v>MENA</v>
          </cell>
          <cell r="F1259" t="str">
            <v>Mena Regional Headquarter</v>
          </cell>
          <cell r="G1259" t="str">
            <v>Mena Regional Headquarter</v>
          </cell>
          <cell r="H1259" t="str">
            <v>5000</v>
          </cell>
          <cell r="I1259" t="str">
            <v>中东北非片区总部</v>
          </cell>
          <cell r="J1259" t="str">
            <v>中东北非片区总部</v>
          </cell>
          <cell r="K1259" t="str">
            <v>Chinese employees</v>
          </cell>
          <cell r="L1259" t="str">
            <v>L3</v>
          </cell>
          <cell r="M1259" t="str">
            <v>ALL</v>
          </cell>
          <cell r="N1259" t="str">
            <v>FLPC(含奖金)</v>
          </cell>
          <cell r="O1259" t="str">
            <v>USD/小时</v>
          </cell>
          <cell r="P1259">
            <v>61.48</v>
          </cell>
        </row>
        <row r="1260">
          <cell r="A1260" t="str">
            <v>中东北非片区总部 - Chinese employees - L4</v>
          </cell>
          <cell r="B1260" t="str">
            <v>Current version</v>
          </cell>
          <cell r="C1260" t="str">
            <v>V2009R2</v>
          </cell>
          <cell r="D1260" t="str">
            <v>Labor Rate</v>
          </cell>
          <cell r="E1260" t="str">
            <v>MENA</v>
          </cell>
          <cell r="F1260" t="str">
            <v>Mena Regional Headquarter</v>
          </cell>
          <cell r="G1260" t="str">
            <v>Mena Regional Headquarter</v>
          </cell>
          <cell r="H1260" t="str">
            <v>5000</v>
          </cell>
          <cell r="I1260" t="str">
            <v>中东北非片区总部</v>
          </cell>
          <cell r="J1260" t="str">
            <v>中东北非片区总部</v>
          </cell>
          <cell r="K1260" t="str">
            <v>Chinese employees</v>
          </cell>
          <cell r="L1260" t="str">
            <v>L4</v>
          </cell>
          <cell r="M1260" t="str">
            <v>ALL</v>
          </cell>
          <cell r="N1260" t="str">
            <v>FLPC(含奖金)</v>
          </cell>
          <cell r="O1260" t="str">
            <v>USD/小时</v>
          </cell>
          <cell r="P1260">
            <v>98.9</v>
          </cell>
        </row>
        <row r="1261">
          <cell r="A1261" t="str">
            <v>中东地区部总部 - Chinese employees - L0</v>
          </cell>
          <cell r="B1261" t="str">
            <v>Current version</v>
          </cell>
          <cell r="C1261" t="str">
            <v>V2009R2</v>
          </cell>
          <cell r="D1261" t="str">
            <v>Labor Rate</v>
          </cell>
          <cell r="E1261" t="str">
            <v>MENA</v>
          </cell>
          <cell r="F1261" t="str">
            <v>Middle East Sub-Regional Division</v>
          </cell>
          <cell r="G1261" t="str">
            <v>中东地区部总部</v>
          </cell>
          <cell r="H1261" t="str">
            <v>5020</v>
          </cell>
          <cell r="I1261" t="str">
            <v>中东地区部总部</v>
          </cell>
          <cell r="J1261" t="str">
            <v>中东地区部总部</v>
          </cell>
          <cell r="K1261" t="str">
            <v>Chinese employees</v>
          </cell>
          <cell r="L1261" t="str">
            <v>L0</v>
          </cell>
          <cell r="M1261" t="str">
            <v>ALL</v>
          </cell>
          <cell r="N1261" t="str">
            <v>FLPC(含奖金)</v>
          </cell>
          <cell r="O1261" t="str">
            <v>USD/小时</v>
          </cell>
          <cell r="P1261">
            <v>41.3</v>
          </cell>
        </row>
        <row r="1262">
          <cell r="A1262" t="str">
            <v>中东地区部总部 - Chinese employees - L1</v>
          </cell>
          <cell r="B1262" t="str">
            <v>Current version</v>
          </cell>
          <cell r="C1262" t="str">
            <v>V2009R2</v>
          </cell>
          <cell r="D1262" t="str">
            <v>Labor Rate</v>
          </cell>
          <cell r="E1262" t="str">
            <v>MENA</v>
          </cell>
          <cell r="F1262" t="str">
            <v>Middle East Sub-Regional Division</v>
          </cell>
          <cell r="G1262" t="str">
            <v>中东地区部总部</v>
          </cell>
          <cell r="H1262" t="str">
            <v>5020</v>
          </cell>
          <cell r="I1262" t="str">
            <v>中东地区部总部</v>
          </cell>
          <cell r="J1262" t="str">
            <v>中东地区部总部</v>
          </cell>
          <cell r="K1262" t="str">
            <v>Chinese employees</v>
          </cell>
          <cell r="L1262" t="str">
            <v>L1</v>
          </cell>
          <cell r="M1262" t="str">
            <v>ALL</v>
          </cell>
          <cell r="N1262" t="str">
            <v>FLPC(含奖金)</v>
          </cell>
          <cell r="O1262" t="str">
            <v>USD/小时</v>
          </cell>
          <cell r="P1262">
            <v>47.28</v>
          </cell>
        </row>
        <row r="1263">
          <cell r="A1263" t="str">
            <v>中东地区部总部 - Chinese employees - L2</v>
          </cell>
          <cell r="B1263" t="str">
            <v>Current version</v>
          </cell>
          <cell r="C1263" t="str">
            <v>V2009R2</v>
          </cell>
          <cell r="D1263" t="str">
            <v>Labor Rate</v>
          </cell>
          <cell r="E1263" t="str">
            <v>MENA</v>
          </cell>
          <cell r="F1263" t="str">
            <v>Middle East Sub-Regional Division</v>
          </cell>
          <cell r="G1263" t="str">
            <v>中东地区部总部</v>
          </cell>
          <cell r="H1263" t="str">
            <v>5020</v>
          </cell>
          <cell r="I1263" t="str">
            <v>中东地区部总部</v>
          </cell>
          <cell r="J1263" t="str">
            <v>中东地区部总部</v>
          </cell>
          <cell r="K1263" t="str">
            <v>Chinese employees</v>
          </cell>
          <cell r="L1263" t="str">
            <v>L2</v>
          </cell>
          <cell r="M1263" t="str">
            <v>ALL</v>
          </cell>
          <cell r="N1263" t="str">
            <v>FLPC(含奖金)</v>
          </cell>
          <cell r="O1263" t="str">
            <v>USD/小时</v>
          </cell>
          <cell r="P1263">
            <v>55.03</v>
          </cell>
        </row>
        <row r="1264">
          <cell r="A1264" t="str">
            <v>中东地区部总部 - Chinese employees - L3</v>
          </cell>
          <cell r="B1264" t="str">
            <v>Current version</v>
          </cell>
          <cell r="C1264" t="str">
            <v>V2009R2</v>
          </cell>
          <cell r="D1264" t="str">
            <v>Labor Rate</v>
          </cell>
          <cell r="E1264" t="str">
            <v>MENA</v>
          </cell>
          <cell r="F1264" t="str">
            <v>Middle East Sub-Regional Division</v>
          </cell>
          <cell r="G1264" t="str">
            <v>中东地区部总部</v>
          </cell>
          <cell r="H1264" t="str">
            <v>5020</v>
          </cell>
          <cell r="I1264" t="str">
            <v>中东地区部总部</v>
          </cell>
          <cell r="J1264" t="str">
            <v>中东地区部总部</v>
          </cell>
          <cell r="K1264" t="str">
            <v>Chinese employees</v>
          </cell>
          <cell r="L1264" t="str">
            <v>L3</v>
          </cell>
          <cell r="M1264" t="str">
            <v>ALL</v>
          </cell>
          <cell r="N1264" t="str">
            <v>FLPC(含奖金)</v>
          </cell>
          <cell r="O1264" t="str">
            <v>USD/小时</v>
          </cell>
          <cell r="P1264">
            <v>66.13</v>
          </cell>
        </row>
        <row r="1265">
          <cell r="A1265" t="str">
            <v>中东地区部总部 - Chinese employees - L4</v>
          </cell>
          <cell r="B1265" t="str">
            <v>Current version</v>
          </cell>
          <cell r="C1265" t="str">
            <v>V2009R2</v>
          </cell>
          <cell r="D1265" t="str">
            <v>Labor Rate</v>
          </cell>
          <cell r="E1265" t="str">
            <v>MENA</v>
          </cell>
          <cell r="F1265" t="str">
            <v>Middle East Sub-Regional Division</v>
          </cell>
          <cell r="G1265" t="str">
            <v>中东地区部总部</v>
          </cell>
          <cell r="H1265" t="str">
            <v>5020</v>
          </cell>
          <cell r="I1265" t="str">
            <v>中东地区部总部</v>
          </cell>
          <cell r="J1265" t="str">
            <v>中东地区部总部</v>
          </cell>
          <cell r="K1265" t="str">
            <v>Chinese employees</v>
          </cell>
          <cell r="L1265" t="str">
            <v>L4</v>
          </cell>
          <cell r="M1265" t="str">
            <v>ALL</v>
          </cell>
          <cell r="N1265" t="str">
            <v>FLPC(含奖金)</v>
          </cell>
          <cell r="O1265" t="str">
            <v>USD/小时</v>
          </cell>
          <cell r="P1265">
            <v>106.09</v>
          </cell>
        </row>
        <row r="1266">
          <cell r="A1266" t="str">
            <v>北非地区部总部 - Chinese employees - L0</v>
          </cell>
          <cell r="B1266" t="str">
            <v>Current version</v>
          </cell>
          <cell r="C1266" t="str">
            <v>V2009R2</v>
          </cell>
          <cell r="D1266" t="str">
            <v>Labor Rate</v>
          </cell>
          <cell r="E1266" t="str">
            <v>MENA</v>
          </cell>
          <cell r="F1266" t="str">
            <v>Northern Africa Sub-Regional Division</v>
          </cell>
          <cell r="G1266" t="str">
            <v>北非地区部总部</v>
          </cell>
          <cell r="H1266" t="str">
            <v>5021</v>
          </cell>
          <cell r="I1266" t="str">
            <v>北非地区部总部</v>
          </cell>
          <cell r="J1266" t="str">
            <v>北非地区部总部</v>
          </cell>
          <cell r="K1266" t="str">
            <v>Chinese employees</v>
          </cell>
          <cell r="L1266" t="str">
            <v>L0</v>
          </cell>
          <cell r="M1266" t="str">
            <v>ALL</v>
          </cell>
          <cell r="N1266" t="str">
            <v>FLPC(含奖金)</v>
          </cell>
          <cell r="O1266" t="str">
            <v>USD/小时</v>
          </cell>
          <cell r="P1266">
            <v>34.72</v>
          </cell>
        </row>
        <row r="1267">
          <cell r="A1267" t="str">
            <v>北非地区部总部 - Chinese employees - L1</v>
          </cell>
          <cell r="B1267" t="str">
            <v>Current version</v>
          </cell>
          <cell r="C1267" t="str">
            <v>V2009R2</v>
          </cell>
          <cell r="D1267" t="str">
            <v>Labor Rate</v>
          </cell>
          <cell r="E1267" t="str">
            <v>MENA</v>
          </cell>
          <cell r="F1267" t="str">
            <v>Northern Africa Sub-Regional Division</v>
          </cell>
          <cell r="G1267" t="str">
            <v>北非地区部总部</v>
          </cell>
          <cell r="H1267" t="str">
            <v>5021</v>
          </cell>
          <cell r="I1267" t="str">
            <v>北非地区部总部</v>
          </cell>
          <cell r="J1267" t="str">
            <v>北非地区部总部</v>
          </cell>
          <cell r="K1267" t="str">
            <v>Chinese employees</v>
          </cell>
          <cell r="L1267" t="str">
            <v>L1</v>
          </cell>
          <cell r="M1267" t="str">
            <v>ALL</v>
          </cell>
          <cell r="N1267" t="str">
            <v>FLPC(含奖金)</v>
          </cell>
          <cell r="O1267" t="str">
            <v>USD/小时</v>
          </cell>
          <cell r="P1267">
            <v>41.02</v>
          </cell>
        </row>
        <row r="1268">
          <cell r="A1268" t="str">
            <v>北非地区部总部 - Chinese employees - L2</v>
          </cell>
          <cell r="B1268" t="str">
            <v>Current version</v>
          </cell>
          <cell r="C1268" t="str">
            <v>V2009R2</v>
          </cell>
          <cell r="D1268" t="str">
            <v>Labor Rate</v>
          </cell>
          <cell r="E1268" t="str">
            <v>MENA</v>
          </cell>
          <cell r="F1268" t="str">
            <v>Northern Africa Sub-Regional Division</v>
          </cell>
          <cell r="G1268" t="str">
            <v>北非地区部总部</v>
          </cell>
          <cell r="H1268" t="str">
            <v>5021</v>
          </cell>
          <cell r="I1268" t="str">
            <v>北非地区部总部</v>
          </cell>
          <cell r="J1268" t="str">
            <v>北非地区部总部</v>
          </cell>
          <cell r="K1268" t="str">
            <v>Chinese employees</v>
          </cell>
          <cell r="L1268" t="str">
            <v>L2</v>
          </cell>
          <cell r="M1268" t="str">
            <v>ALL</v>
          </cell>
          <cell r="N1268" t="str">
            <v>FLPC(含奖金)</v>
          </cell>
          <cell r="O1268" t="str">
            <v>USD/小时</v>
          </cell>
          <cell r="P1268">
            <v>48.52</v>
          </cell>
        </row>
        <row r="1269">
          <cell r="A1269" t="str">
            <v>北非地区部总部 - Chinese employees - L3</v>
          </cell>
          <cell r="B1269" t="str">
            <v>Current version</v>
          </cell>
          <cell r="C1269" t="str">
            <v>V2009R2</v>
          </cell>
          <cell r="D1269" t="str">
            <v>Labor Rate</v>
          </cell>
          <cell r="E1269" t="str">
            <v>MENA</v>
          </cell>
          <cell r="F1269" t="str">
            <v>Northern Africa Sub-Regional Division</v>
          </cell>
          <cell r="G1269" t="str">
            <v>北非地区部总部</v>
          </cell>
          <cell r="H1269" t="str">
            <v>5021</v>
          </cell>
          <cell r="I1269" t="str">
            <v>北非地区部总部</v>
          </cell>
          <cell r="J1269" t="str">
            <v>北非地区部总部</v>
          </cell>
          <cell r="K1269" t="str">
            <v>Chinese employees</v>
          </cell>
          <cell r="L1269" t="str">
            <v>L3</v>
          </cell>
          <cell r="M1269" t="str">
            <v>ALL</v>
          </cell>
          <cell r="N1269" t="str">
            <v>FLPC(含奖金)</v>
          </cell>
          <cell r="O1269" t="str">
            <v>USD/小时</v>
          </cell>
          <cell r="P1269">
            <v>61.48</v>
          </cell>
        </row>
        <row r="1270">
          <cell r="A1270" t="str">
            <v>北非地区部总部 - Chinese employees - L4</v>
          </cell>
          <cell r="B1270" t="str">
            <v>Current version</v>
          </cell>
          <cell r="C1270" t="str">
            <v>V2009R2</v>
          </cell>
          <cell r="D1270" t="str">
            <v>Labor Rate</v>
          </cell>
          <cell r="E1270" t="str">
            <v>MENA</v>
          </cell>
          <cell r="F1270" t="str">
            <v>Northern Africa Sub-Regional Division</v>
          </cell>
          <cell r="G1270" t="str">
            <v>北非地区部总部</v>
          </cell>
          <cell r="H1270" t="str">
            <v>5021</v>
          </cell>
          <cell r="I1270" t="str">
            <v>北非地区部总部</v>
          </cell>
          <cell r="J1270" t="str">
            <v>北非地区部总部</v>
          </cell>
          <cell r="K1270" t="str">
            <v>Chinese employees</v>
          </cell>
          <cell r="L1270" t="str">
            <v>L4</v>
          </cell>
          <cell r="M1270" t="str">
            <v>ALL</v>
          </cell>
          <cell r="N1270" t="str">
            <v>FLPC(含奖金)</v>
          </cell>
          <cell r="O1270" t="str">
            <v>USD/小时</v>
          </cell>
          <cell r="P1270">
            <v>98.9</v>
          </cell>
        </row>
        <row r="1271">
          <cell r="A1271" t="str">
            <v>西北非地区部总部 - Chinese employees - L0</v>
          </cell>
          <cell r="B1271" t="str">
            <v>Current version</v>
          </cell>
          <cell r="C1271" t="str">
            <v>V2009R2</v>
          </cell>
          <cell r="D1271" t="str">
            <v>Labor Rate</v>
          </cell>
          <cell r="E1271" t="str">
            <v>MENA</v>
          </cell>
          <cell r="F1271" t="str">
            <v>Northern Africa Sub-Regional Division</v>
          </cell>
          <cell r="G1271" t="str">
            <v>西北非地区部总部</v>
          </cell>
          <cell r="H1271" t="str">
            <v>5022</v>
          </cell>
          <cell r="I1271" t="str">
            <v>西北非地区部总部</v>
          </cell>
          <cell r="J1271" t="str">
            <v>西北非地区部总部</v>
          </cell>
          <cell r="K1271" t="str">
            <v>Chinese employees</v>
          </cell>
          <cell r="L1271" t="str">
            <v>L0</v>
          </cell>
          <cell r="M1271" t="str">
            <v>ALL</v>
          </cell>
          <cell r="N1271" t="str">
            <v>FLPC(含奖金)</v>
          </cell>
          <cell r="O1271" t="str">
            <v>USD/小时</v>
          </cell>
          <cell r="P1271">
            <v>39.9</v>
          </cell>
        </row>
        <row r="1272">
          <cell r="A1272" t="str">
            <v>西北非地区部总部 - Chinese employees - L1</v>
          </cell>
          <cell r="B1272" t="str">
            <v>Current version</v>
          </cell>
          <cell r="C1272" t="str">
            <v>V2009R2</v>
          </cell>
          <cell r="D1272" t="str">
            <v>Labor Rate</v>
          </cell>
          <cell r="E1272" t="str">
            <v>MENA</v>
          </cell>
          <cell r="F1272" t="str">
            <v>Northern Africa Sub-Regional Division</v>
          </cell>
          <cell r="G1272" t="str">
            <v>西北非地区部总部</v>
          </cell>
          <cell r="H1272" t="str">
            <v>5022</v>
          </cell>
          <cell r="I1272" t="str">
            <v>西北非地区部总部</v>
          </cell>
          <cell r="J1272" t="str">
            <v>西北非地区部总部</v>
          </cell>
          <cell r="K1272" t="str">
            <v>Chinese employees</v>
          </cell>
          <cell r="L1272" t="str">
            <v>L1</v>
          </cell>
          <cell r="M1272" t="str">
            <v>ALL</v>
          </cell>
          <cell r="N1272" t="str">
            <v>FLPC(含奖金)</v>
          </cell>
          <cell r="O1272" t="str">
            <v>USD/小时</v>
          </cell>
          <cell r="P1272">
            <v>45.95</v>
          </cell>
        </row>
        <row r="1273">
          <cell r="A1273" t="str">
            <v>西北非地区部总部 - Chinese employees - L2</v>
          </cell>
          <cell r="B1273" t="str">
            <v>Current version</v>
          </cell>
          <cell r="C1273" t="str">
            <v>V2009R2</v>
          </cell>
          <cell r="D1273" t="str">
            <v>Labor Rate</v>
          </cell>
          <cell r="E1273" t="str">
            <v>MENA</v>
          </cell>
          <cell r="F1273" t="str">
            <v>Northern Africa Sub-Regional Division</v>
          </cell>
          <cell r="G1273" t="str">
            <v>西北非地区部总部</v>
          </cell>
          <cell r="H1273" t="str">
            <v>5022</v>
          </cell>
          <cell r="I1273" t="str">
            <v>西北非地区部总部</v>
          </cell>
          <cell r="J1273" t="str">
            <v>西北非地区部总部</v>
          </cell>
          <cell r="K1273" t="str">
            <v>Chinese employees</v>
          </cell>
          <cell r="L1273" t="str">
            <v>L2</v>
          </cell>
          <cell r="M1273" t="str">
            <v>ALL</v>
          </cell>
          <cell r="N1273" t="str">
            <v>FLPC(含奖金)</v>
          </cell>
          <cell r="O1273" t="str">
            <v>USD/小时</v>
          </cell>
          <cell r="P1273">
            <v>53.34</v>
          </cell>
        </row>
        <row r="1274">
          <cell r="A1274" t="str">
            <v>西北非地区部总部 - Chinese employees - L3</v>
          </cell>
          <cell r="B1274" t="str">
            <v>Current version</v>
          </cell>
          <cell r="C1274" t="str">
            <v>V2009R2</v>
          </cell>
          <cell r="D1274" t="str">
            <v>Labor Rate</v>
          </cell>
          <cell r="E1274" t="str">
            <v>MENA</v>
          </cell>
          <cell r="F1274" t="str">
            <v>Northern Africa Sub-Regional Division</v>
          </cell>
          <cell r="G1274" t="str">
            <v>西北非地区部总部</v>
          </cell>
          <cell r="H1274" t="str">
            <v>5022</v>
          </cell>
          <cell r="I1274" t="str">
            <v>西北非地区部总部</v>
          </cell>
          <cell r="J1274" t="str">
            <v>西北非地区部总部</v>
          </cell>
          <cell r="K1274" t="str">
            <v>Chinese employees</v>
          </cell>
          <cell r="L1274" t="str">
            <v>L3</v>
          </cell>
          <cell r="M1274" t="str">
            <v>ALL</v>
          </cell>
          <cell r="N1274" t="str">
            <v>FLPC(含奖金)</v>
          </cell>
          <cell r="O1274" t="str">
            <v>USD/小时</v>
          </cell>
          <cell r="P1274">
            <v>63.91</v>
          </cell>
        </row>
        <row r="1275">
          <cell r="A1275" t="str">
            <v>西北非地区部总部 - Chinese employees - L4</v>
          </cell>
          <cell r="B1275" t="str">
            <v>Current version</v>
          </cell>
          <cell r="C1275" t="str">
            <v>V2009R2</v>
          </cell>
          <cell r="D1275" t="str">
            <v>Labor Rate</v>
          </cell>
          <cell r="E1275" t="str">
            <v>MENA</v>
          </cell>
          <cell r="F1275" t="str">
            <v>Northern Africa Sub-Regional Division</v>
          </cell>
          <cell r="G1275" t="str">
            <v>西北非地区部总部</v>
          </cell>
          <cell r="H1275" t="str">
            <v>5022</v>
          </cell>
          <cell r="I1275" t="str">
            <v>西北非地区部总部</v>
          </cell>
          <cell r="J1275" t="str">
            <v>西北非地区部总部</v>
          </cell>
          <cell r="K1275" t="str">
            <v>Chinese employees</v>
          </cell>
          <cell r="L1275" t="str">
            <v>L4</v>
          </cell>
          <cell r="M1275" t="str">
            <v>ALL</v>
          </cell>
          <cell r="N1275" t="str">
            <v>FLPC(含奖金)</v>
          </cell>
          <cell r="O1275" t="str">
            <v>USD/小时</v>
          </cell>
          <cell r="P1275">
            <v>101.99</v>
          </cell>
        </row>
        <row r="1276">
          <cell r="A1276" t="str">
            <v>拉美片区总部 - Chinese employees - L0</v>
          </cell>
          <cell r="B1276" t="str">
            <v>Current version</v>
          </cell>
          <cell r="C1276" t="str">
            <v>V2009R2</v>
          </cell>
          <cell r="D1276" t="str">
            <v>Labor Rate</v>
          </cell>
          <cell r="E1276" t="str">
            <v>LA</v>
          </cell>
          <cell r="F1276" t="str">
            <v>La Regional Headquarter</v>
          </cell>
          <cell r="G1276" t="str">
            <v>La Regional Headquarter</v>
          </cell>
          <cell r="H1276" t="str">
            <v>6000</v>
          </cell>
          <cell r="I1276" t="str">
            <v>拉美片区总部</v>
          </cell>
          <cell r="J1276" t="str">
            <v>拉美片区总部</v>
          </cell>
          <cell r="K1276" t="str">
            <v>Chinese employees</v>
          </cell>
          <cell r="L1276" t="str">
            <v>L0</v>
          </cell>
          <cell r="M1276" t="str">
            <v>ALL</v>
          </cell>
          <cell r="N1276" t="str">
            <v>FLPC(含奖金)</v>
          </cell>
          <cell r="O1276" t="str">
            <v>USD/小时</v>
          </cell>
          <cell r="P1276">
            <v>56.6</v>
          </cell>
        </row>
        <row r="1277">
          <cell r="A1277" t="str">
            <v>拉美片区总部 - Chinese employees - L1</v>
          </cell>
          <cell r="B1277" t="str">
            <v>Current version</v>
          </cell>
          <cell r="C1277" t="str">
            <v>V2009R2</v>
          </cell>
          <cell r="D1277" t="str">
            <v>Labor Rate</v>
          </cell>
          <cell r="E1277" t="str">
            <v>LA</v>
          </cell>
          <cell r="F1277" t="str">
            <v>La Regional Headquarter</v>
          </cell>
          <cell r="G1277" t="str">
            <v>La Regional Headquarter</v>
          </cell>
          <cell r="H1277" t="str">
            <v>6000</v>
          </cell>
          <cell r="I1277" t="str">
            <v>拉美片区总部</v>
          </cell>
          <cell r="J1277" t="str">
            <v>拉美片区总部</v>
          </cell>
          <cell r="K1277" t="str">
            <v>Chinese employees</v>
          </cell>
          <cell r="L1277" t="str">
            <v>L1</v>
          </cell>
          <cell r="M1277" t="str">
            <v>ALL</v>
          </cell>
          <cell r="N1277" t="str">
            <v>FLPC(含奖金)</v>
          </cell>
          <cell r="O1277" t="str">
            <v>USD/小时</v>
          </cell>
          <cell r="P1277">
            <v>63.97</v>
          </cell>
        </row>
        <row r="1278">
          <cell r="A1278" t="str">
            <v>拉美片区总部 - Chinese employees - L2</v>
          </cell>
          <cell r="B1278" t="str">
            <v>Current version</v>
          </cell>
          <cell r="C1278" t="str">
            <v>V2009R2</v>
          </cell>
          <cell r="D1278" t="str">
            <v>Labor Rate</v>
          </cell>
          <cell r="E1278" t="str">
            <v>LA</v>
          </cell>
          <cell r="F1278" t="str">
            <v>La Regional Headquarter</v>
          </cell>
          <cell r="G1278" t="str">
            <v>La Regional Headquarter</v>
          </cell>
          <cell r="H1278" t="str">
            <v>6000</v>
          </cell>
          <cell r="I1278" t="str">
            <v>拉美片区总部</v>
          </cell>
          <cell r="J1278" t="str">
            <v>拉美片区总部</v>
          </cell>
          <cell r="K1278" t="str">
            <v>Chinese employees</v>
          </cell>
          <cell r="L1278" t="str">
            <v>L2</v>
          </cell>
          <cell r="M1278" t="str">
            <v>ALL</v>
          </cell>
          <cell r="N1278" t="str">
            <v>FLPC(含奖金)</v>
          </cell>
          <cell r="O1278" t="str">
            <v>USD/小时</v>
          </cell>
          <cell r="P1278">
            <v>73.709999999999994</v>
          </cell>
        </row>
        <row r="1279">
          <cell r="A1279" t="str">
            <v>拉美片区总部 - Chinese employees - L3</v>
          </cell>
          <cell r="B1279" t="str">
            <v>Current version</v>
          </cell>
          <cell r="C1279" t="str">
            <v>V2009R2</v>
          </cell>
          <cell r="D1279" t="str">
            <v>Labor Rate</v>
          </cell>
          <cell r="E1279" t="str">
            <v>LA</v>
          </cell>
          <cell r="F1279" t="str">
            <v>La Regional Headquarter</v>
          </cell>
          <cell r="G1279" t="str">
            <v>La Regional Headquarter</v>
          </cell>
          <cell r="H1279" t="str">
            <v>6000</v>
          </cell>
          <cell r="I1279" t="str">
            <v>拉美片区总部</v>
          </cell>
          <cell r="J1279" t="str">
            <v>拉美片区总部</v>
          </cell>
          <cell r="K1279" t="str">
            <v>Chinese employees</v>
          </cell>
          <cell r="L1279" t="str">
            <v>L3</v>
          </cell>
          <cell r="M1279" t="str">
            <v>ALL</v>
          </cell>
          <cell r="N1279" t="str">
            <v>FLPC(含奖金)</v>
          </cell>
          <cell r="O1279" t="str">
            <v>USD/小时</v>
          </cell>
          <cell r="P1279">
            <v>87.9</v>
          </cell>
        </row>
        <row r="1280">
          <cell r="A1280" t="str">
            <v>拉美片区总部 - Chinese employees - L4</v>
          </cell>
          <cell r="B1280" t="str">
            <v>Current version</v>
          </cell>
          <cell r="C1280" t="str">
            <v>V2009R2</v>
          </cell>
          <cell r="D1280" t="str">
            <v>Labor Rate</v>
          </cell>
          <cell r="E1280" t="str">
            <v>LA</v>
          </cell>
          <cell r="F1280" t="str">
            <v>La Regional Headquarter</v>
          </cell>
          <cell r="G1280" t="str">
            <v>La Regional Headquarter</v>
          </cell>
          <cell r="H1280" t="str">
            <v>6000</v>
          </cell>
          <cell r="I1280" t="str">
            <v>拉美片区总部</v>
          </cell>
          <cell r="J1280" t="str">
            <v>拉美片区总部</v>
          </cell>
          <cell r="K1280" t="str">
            <v>Chinese employees</v>
          </cell>
          <cell r="L1280" t="str">
            <v>L4</v>
          </cell>
          <cell r="M1280" t="str">
            <v>ALL</v>
          </cell>
          <cell r="N1280" t="str">
            <v>FLPC(含奖金)</v>
          </cell>
          <cell r="O1280" t="str">
            <v>USD/小时</v>
          </cell>
          <cell r="P1280">
            <v>135.33000000000001</v>
          </cell>
        </row>
        <row r="1281">
          <cell r="A1281" t="str">
            <v>南美北地区部总部 - Chinese employees - L0</v>
          </cell>
          <cell r="B1281" t="str">
            <v>Current version</v>
          </cell>
          <cell r="C1281" t="str">
            <v>V2009R2</v>
          </cell>
          <cell r="D1281" t="str">
            <v>Labor Rate</v>
          </cell>
          <cell r="E1281" t="str">
            <v>LA</v>
          </cell>
          <cell r="F1281" t="str">
            <v>Northern South America Sub-Regional Division</v>
          </cell>
          <cell r="G1281" t="str">
            <v>南美北地区部</v>
          </cell>
          <cell r="H1281" t="str">
            <v>6024</v>
          </cell>
          <cell r="I1281" t="str">
            <v>南美北地区部总部</v>
          </cell>
          <cell r="J1281" t="str">
            <v>南美北地区部总部</v>
          </cell>
          <cell r="K1281" t="str">
            <v>Chinese employees</v>
          </cell>
          <cell r="L1281" t="str">
            <v>L0</v>
          </cell>
          <cell r="M1281" t="str">
            <v>ALL</v>
          </cell>
          <cell r="N1281" t="str">
            <v>FLPC(含奖金)</v>
          </cell>
          <cell r="O1281" t="str">
            <v>USD/小时</v>
          </cell>
          <cell r="P1281">
            <v>61.84</v>
          </cell>
        </row>
        <row r="1282">
          <cell r="A1282" t="str">
            <v>南美北地区部总部 - Chinese employees - L1</v>
          </cell>
          <cell r="B1282" t="str">
            <v>Current version</v>
          </cell>
          <cell r="C1282" t="str">
            <v>V2009R2</v>
          </cell>
          <cell r="D1282" t="str">
            <v>Labor Rate</v>
          </cell>
          <cell r="E1282" t="str">
            <v>LA</v>
          </cell>
          <cell r="F1282" t="str">
            <v>Northern South America Sub-Regional Division</v>
          </cell>
          <cell r="G1282" t="str">
            <v>南美北地区部</v>
          </cell>
          <cell r="H1282" t="str">
            <v>6024</v>
          </cell>
          <cell r="I1282" t="str">
            <v>南美北地区部总部</v>
          </cell>
          <cell r="J1282" t="str">
            <v>南美北地区部总部</v>
          </cell>
          <cell r="K1282" t="str">
            <v>Chinese employees</v>
          </cell>
          <cell r="L1282" t="str">
            <v>L1</v>
          </cell>
          <cell r="M1282" t="str">
            <v>ALL</v>
          </cell>
          <cell r="N1282" t="str">
            <v>FLPC(含奖金)</v>
          </cell>
          <cell r="O1282" t="str">
            <v>USD/小时</v>
          </cell>
          <cell r="P1282">
            <v>68.099999999999994</v>
          </cell>
        </row>
        <row r="1283">
          <cell r="A1283" t="str">
            <v>南美北地区部总部 - Chinese employees - L2</v>
          </cell>
          <cell r="B1283" t="str">
            <v>Current version</v>
          </cell>
          <cell r="C1283" t="str">
            <v>V2009R2</v>
          </cell>
          <cell r="D1283" t="str">
            <v>Labor Rate</v>
          </cell>
          <cell r="E1283" t="str">
            <v>LA</v>
          </cell>
          <cell r="F1283" t="str">
            <v>Northern South America Sub-Regional Division</v>
          </cell>
          <cell r="G1283" t="str">
            <v>南美北地区部</v>
          </cell>
          <cell r="H1283" t="str">
            <v>6024</v>
          </cell>
          <cell r="I1283" t="str">
            <v>南美北地区部总部</v>
          </cell>
          <cell r="J1283" t="str">
            <v>南美北地区部总部</v>
          </cell>
          <cell r="K1283" t="str">
            <v>Chinese employees</v>
          </cell>
          <cell r="L1283" t="str">
            <v>L2</v>
          </cell>
          <cell r="M1283" t="str">
            <v>ALL</v>
          </cell>
          <cell r="N1283" t="str">
            <v>FLPC(含奖金)</v>
          </cell>
          <cell r="O1283" t="str">
            <v>USD/小时</v>
          </cell>
          <cell r="P1283">
            <v>76.209999999999994</v>
          </cell>
        </row>
        <row r="1284">
          <cell r="A1284" t="str">
            <v>南美北地区部总部 - Chinese employees - L3</v>
          </cell>
          <cell r="B1284" t="str">
            <v>Current version</v>
          </cell>
          <cell r="C1284" t="str">
            <v>V2009R2</v>
          </cell>
          <cell r="D1284" t="str">
            <v>Labor Rate</v>
          </cell>
          <cell r="E1284" t="str">
            <v>LA</v>
          </cell>
          <cell r="F1284" t="str">
            <v>Northern South America Sub-Regional Division</v>
          </cell>
          <cell r="G1284" t="str">
            <v>南美北地区部</v>
          </cell>
          <cell r="H1284" t="str">
            <v>6024</v>
          </cell>
          <cell r="I1284" t="str">
            <v>南美北地区部总部</v>
          </cell>
          <cell r="J1284" t="str">
            <v>南美北地区部总部</v>
          </cell>
          <cell r="K1284" t="str">
            <v>Chinese employees</v>
          </cell>
          <cell r="L1284" t="str">
            <v>L3</v>
          </cell>
          <cell r="M1284" t="str">
            <v>ALL</v>
          </cell>
          <cell r="N1284" t="str">
            <v>FLPC(含奖金)</v>
          </cell>
          <cell r="O1284" t="str">
            <v>USD/小时</v>
          </cell>
          <cell r="P1284">
            <v>87.81</v>
          </cell>
        </row>
        <row r="1285">
          <cell r="A1285" t="str">
            <v>南美北地区部总部 - Chinese employees - L4</v>
          </cell>
          <cell r="B1285" t="str">
            <v>Current version</v>
          </cell>
          <cell r="C1285" t="str">
            <v>V2009R2</v>
          </cell>
          <cell r="D1285" t="str">
            <v>Labor Rate</v>
          </cell>
          <cell r="E1285" t="str">
            <v>LA</v>
          </cell>
          <cell r="F1285" t="str">
            <v>Northern South America Sub-Regional Division</v>
          </cell>
          <cell r="G1285" t="str">
            <v>南美北地区部</v>
          </cell>
          <cell r="H1285" t="str">
            <v>6024</v>
          </cell>
          <cell r="I1285" t="str">
            <v>南美北地区部总部</v>
          </cell>
          <cell r="J1285" t="str">
            <v>南美北地区部总部</v>
          </cell>
          <cell r="K1285" t="str">
            <v>Chinese employees</v>
          </cell>
          <cell r="L1285" t="str">
            <v>L4</v>
          </cell>
          <cell r="M1285" t="str">
            <v>ALL</v>
          </cell>
          <cell r="N1285" t="str">
            <v>FLPC(含奖金)</v>
          </cell>
          <cell r="O1285" t="str">
            <v>USD/小时</v>
          </cell>
          <cell r="P1285">
            <v>129.62</v>
          </cell>
        </row>
        <row r="1286">
          <cell r="A1286" t="str">
            <v>南美南地区部总部 - Chinese employees - L0</v>
          </cell>
          <cell r="B1286" t="str">
            <v>Current version</v>
          </cell>
          <cell r="C1286" t="str">
            <v>V2009R2</v>
          </cell>
          <cell r="D1286" t="str">
            <v>Labor Rate</v>
          </cell>
          <cell r="E1286" t="str">
            <v>LA</v>
          </cell>
          <cell r="F1286" t="str">
            <v>Southern South America Sub-Regional Division</v>
          </cell>
          <cell r="G1286" t="str">
            <v>南美南地区部总部</v>
          </cell>
          <cell r="H1286" t="str">
            <v>6027</v>
          </cell>
          <cell r="I1286" t="str">
            <v>南美南地区部总部</v>
          </cell>
          <cell r="J1286" t="str">
            <v>南美南地区部总部</v>
          </cell>
          <cell r="K1286" t="str">
            <v>Chinese employees</v>
          </cell>
          <cell r="L1286" t="str">
            <v>L0</v>
          </cell>
          <cell r="M1286" t="str">
            <v>ALL</v>
          </cell>
          <cell r="N1286" t="str">
            <v>FLPC(含奖金)</v>
          </cell>
          <cell r="O1286" t="str">
            <v>USD/小时</v>
          </cell>
          <cell r="P1286">
            <v>56.6</v>
          </cell>
        </row>
        <row r="1287">
          <cell r="A1287" t="str">
            <v>南美南地区部总部 - Chinese employees - L1</v>
          </cell>
          <cell r="B1287" t="str">
            <v>Current version</v>
          </cell>
          <cell r="C1287" t="str">
            <v>V2009R2</v>
          </cell>
          <cell r="D1287" t="str">
            <v>Labor Rate</v>
          </cell>
          <cell r="E1287" t="str">
            <v>LA</v>
          </cell>
          <cell r="F1287" t="str">
            <v>Southern South America Sub-Regional Division</v>
          </cell>
          <cell r="G1287" t="str">
            <v>南美南地区部总部</v>
          </cell>
          <cell r="H1287" t="str">
            <v>6027</v>
          </cell>
          <cell r="I1287" t="str">
            <v>南美南地区部总部</v>
          </cell>
          <cell r="J1287" t="str">
            <v>南美南地区部总部</v>
          </cell>
          <cell r="K1287" t="str">
            <v>Chinese employees</v>
          </cell>
          <cell r="L1287" t="str">
            <v>L1</v>
          </cell>
          <cell r="M1287" t="str">
            <v>ALL</v>
          </cell>
          <cell r="N1287" t="str">
            <v>FLPC(含奖金)</v>
          </cell>
          <cell r="O1287" t="str">
            <v>USD/小时</v>
          </cell>
          <cell r="P1287">
            <v>63.97</v>
          </cell>
        </row>
        <row r="1288">
          <cell r="A1288" t="str">
            <v>南美南地区部总部 - Chinese employees - L2</v>
          </cell>
          <cell r="B1288" t="str">
            <v>Current version</v>
          </cell>
          <cell r="C1288" t="str">
            <v>V2009R2</v>
          </cell>
          <cell r="D1288" t="str">
            <v>Labor Rate</v>
          </cell>
          <cell r="E1288" t="str">
            <v>LA</v>
          </cell>
          <cell r="F1288" t="str">
            <v>Southern South America Sub-Regional Division</v>
          </cell>
          <cell r="G1288" t="str">
            <v>南美南地区部总部</v>
          </cell>
          <cell r="H1288" t="str">
            <v>6027</v>
          </cell>
          <cell r="I1288" t="str">
            <v>南美南地区部总部</v>
          </cell>
          <cell r="J1288" t="str">
            <v>南美南地区部总部</v>
          </cell>
          <cell r="K1288" t="str">
            <v>Chinese employees</v>
          </cell>
          <cell r="L1288" t="str">
            <v>L2</v>
          </cell>
          <cell r="M1288" t="str">
            <v>ALL</v>
          </cell>
          <cell r="N1288" t="str">
            <v>FLPC(含奖金)</v>
          </cell>
          <cell r="O1288" t="str">
            <v>USD/小时</v>
          </cell>
          <cell r="P1288">
            <v>73.709999999999994</v>
          </cell>
        </row>
        <row r="1289">
          <cell r="A1289" t="str">
            <v>南美南地区部总部 - Chinese employees - L3</v>
          </cell>
          <cell r="B1289" t="str">
            <v>Current version</v>
          </cell>
          <cell r="C1289" t="str">
            <v>V2009R2</v>
          </cell>
          <cell r="D1289" t="str">
            <v>Labor Rate</v>
          </cell>
          <cell r="E1289" t="str">
            <v>LA</v>
          </cell>
          <cell r="F1289" t="str">
            <v>Southern South America Sub-Regional Division</v>
          </cell>
          <cell r="G1289" t="str">
            <v>南美南地区部总部</v>
          </cell>
          <cell r="H1289" t="str">
            <v>6027</v>
          </cell>
          <cell r="I1289" t="str">
            <v>南美南地区部总部</v>
          </cell>
          <cell r="J1289" t="str">
            <v>南美南地区部总部</v>
          </cell>
          <cell r="K1289" t="str">
            <v>Chinese employees</v>
          </cell>
          <cell r="L1289" t="str">
            <v>L3</v>
          </cell>
          <cell r="M1289" t="str">
            <v>ALL</v>
          </cell>
          <cell r="N1289" t="str">
            <v>FLPC(含奖金)</v>
          </cell>
          <cell r="O1289" t="str">
            <v>USD/小时</v>
          </cell>
          <cell r="P1289">
            <v>87.9</v>
          </cell>
        </row>
        <row r="1290">
          <cell r="A1290" t="str">
            <v>南美南地区部总部 - Chinese employees - L4</v>
          </cell>
          <cell r="B1290" t="str">
            <v>Current version</v>
          </cell>
          <cell r="C1290" t="str">
            <v>V2009R2</v>
          </cell>
          <cell r="D1290" t="str">
            <v>Labor Rate</v>
          </cell>
          <cell r="E1290" t="str">
            <v>LA</v>
          </cell>
          <cell r="F1290" t="str">
            <v>Southern South America Sub-Regional Division</v>
          </cell>
          <cell r="G1290" t="str">
            <v>南美南地区部总部</v>
          </cell>
          <cell r="H1290" t="str">
            <v>6027</v>
          </cell>
          <cell r="I1290" t="str">
            <v>南美南地区部总部</v>
          </cell>
          <cell r="J1290" t="str">
            <v>南美南地区部总部</v>
          </cell>
          <cell r="K1290" t="str">
            <v>Chinese employees</v>
          </cell>
          <cell r="L1290" t="str">
            <v>L4</v>
          </cell>
          <cell r="M1290" t="str">
            <v>ALL</v>
          </cell>
          <cell r="N1290" t="str">
            <v>FLPC(含奖金)</v>
          </cell>
          <cell r="O1290" t="str">
            <v>USD/小时</v>
          </cell>
          <cell r="P1290">
            <v>135.33000000000001</v>
          </cell>
        </row>
        <row r="1291">
          <cell r="A1291" t="str">
            <v>北美总部 - Chinese employees - L0</v>
          </cell>
          <cell r="B1291" t="str">
            <v>Current version</v>
          </cell>
          <cell r="C1291" t="str">
            <v>V2009R2</v>
          </cell>
          <cell r="D1291" t="str">
            <v>Labor Rate</v>
          </cell>
          <cell r="E1291" t="str">
            <v>USA Rep.O.</v>
          </cell>
          <cell r="F1291" t="str">
            <v>N.A. Regional Headquarter</v>
          </cell>
          <cell r="G1291" t="str">
            <v>N.A. Regional Headquarter</v>
          </cell>
          <cell r="H1291" t="str">
            <v>7000</v>
          </cell>
          <cell r="I1291" t="str">
            <v>北美总部</v>
          </cell>
          <cell r="J1291" t="str">
            <v>北美总部</v>
          </cell>
          <cell r="K1291" t="str">
            <v>Chinese employees</v>
          </cell>
          <cell r="L1291" t="str">
            <v>L0</v>
          </cell>
          <cell r="M1291" t="str">
            <v>ALL</v>
          </cell>
          <cell r="N1291" t="str">
            <v>FLPC(含奖金)</v>
          </cell>
          <cell r="O1291" t="str">
            <v>USD/小时</v>
          </cell>
          <cell r="P1291">
            <v>73.489999999999995</v>
          </cell>
        </row>
        <row r="1292">
          <cell r="A1292" t="str">
            <v>北美总部 - Chinese employees - L1</v>
          </cell>
          <cell r="B1292" t="str">
            <v>Current version</v>
          </cell>
          <cell r="C1292" t="str">
            <v>V2009R2</v>
          </cell>
          <cell r="D1292" t="str">
            <v>Labor Rate</v>
          </cell>
          <cell r="E1292" t="str">
            <v>USA Rep.O.</v>
          </cell>
          <cell r="F1292" t="str">
            <v>N.A. Regional Headquarter</v>
          </cell>
          <cell r="G1292" t="str">
            <v>N.A. Regional Headquarter</v>
          </cell>
          <cell r="H1292" t="str">
            <v>7000</v>
          </cell>
          <cell r="I1292" t="str">
            <v>北美总部</v>
          </cell>
          <cell r="J1292" t="str">
            <v>北美总部</v>
          </cell>
          <cell r="K1292" t="str">
            <v>Chinese employees</v>
          </cell>
          <cell r="L1292" t="str">
            <v>L1</v>
          </cell>
          <cell r="M1292" t="str">
            <v>ALL</v>
          </cell>
          <cell r="N1292" t="str">
            <v>FLPC(含奖金)</v>
          </cell>
          <cell r="O1292" t="str">
            <v>USD/小时</v>
          </cell>
          <cell r="P1292">
            <v>80.930000000000007</v>
          </cell>
        </row>
        <row r="1293">
          <cell r="A1293" t="str">
            <v>北美总部 - Chinese employees - L2</v>
          </cell>
          <cell r="B1293" t="str">
            <v>Current version</v>
          </cell>
          <cell r="C1293" t="str">
            <v>V2009R2</v>
          </cell>
          <cell r="D1293" t="str">
            <v>Labor Rate</v>
          </cell>
          <cell r="E1293" t="str">
            <v>USA Rep.O.</v>
          </cell>
          <cell r="F1293" t="str">
            <v>N.A. Regional Headquarter</v>
          </cell>
          <cell r="G1293" t="str">
            <v>N.A. Regional Headquarter</v>
          </cell>
          <cell r="H1293" t="str">
            <v>7000</v>
          </cell>
          <cell r="I1293" t="str">
            <v>北美总部</v>
          </cell>
          <cell r="J1293" t="str">
            <v>北美总部</v>
          </cell>
          <cell r="K1293" t="str">
            <v>Chinese employees</v>
          </cell>
          <cell r="L1293" t="str">
            <v>L2</v>
          </cell>
          <cell r="M1293" t="str">
            <v>ALL</v>
          </cell>
          <cell r="N1293" t="str">
            <v>FLPC(含奖金)</v>
          </cell>
          <cell r="O1293" t="str">
            <v>USD/小时</v>
          </cell>
          <cell r="P1293">
            <v>92.72</v>
          </cell>
        </row>
        <row r="1294">
          <cell r="A1294" t="str">
            <v>北美总部 - Chinese employees - L3</v>
          </cell>
          <cell r="B1294" t="str">
            <v>Current version</v>
          </cell>
          <cell r="C1294" t="str">
            <v>V2009R2</v>
          </cell>
          <cell r="D1294" t="str">
            <v>Labor Rate</v>
          </cell>
          <cell r="E1294" t="str">
            <v>USA Rep.O.</v>
          </cell>
          <cell r="F1294" t="str">
            <v>N.A. Regional Headquarter</v>
          </cell>
          <cell r="G1294" t="str">
            <v>N.A. Regional Headquarter</v>
          </cell>
          <cell r="H1294" t="str">
            <v>7000</v>
          </cell>
          <cell r="I1294" t="str">
            <v>北美总部</v>
          </cell>
          <cell r="J1294" t="str">
            <v>北美总部</v>
          </cell>
          <cell r="K1294" t="str">
            <v>Chinese employees</v>
          </cell>
          <cell r="L1294" t="str">
            <v>L3</v>
          </cell>
          <cell r="M1294" t="str">
            <v>ALL</v>
          </cell>
          <cell r="N1294" t="str">
            <v>FLPC(含奖金)</v>
          </cell>
          <cell r="O1294" t="str">
            <v>USD/小时</v>
          </cell>
          <cell r="P1294">
            <v>109.66</v>
          </cell>
        </row>
        <row r="1295">
          <cell r="A1295" t="str">
            <v>北美总部 - Chinese employees - L4</v>
          </cell>
          <cell r="B1295" t="str">
            <v>Current version</v>
          </cell>
          <cell r="C1295" t="str">
            <v>V2009R2</v>
          </cell>
          <cell r="D1295" t="str">
            <v>Labor Rate</v>
          </cell>
          <cell r="E1295" t="str">
            <v>USA Rep.O.</v>
          </cell>
          <cell r="F1295" t="str">
            <v>N.A. Regional Headquarter</v>
          </cell>
          <cell r="G1295" t="str">
            <v>N.A. Regional Headquarter</v>
          </cell>
          <cell r="H1295" t="str">
            <v>7000</v>
          </cell>
          <cell r="I1295" t="str">
            <v>北美总部</v>
          </cell>
          <cell r="J1295" t="str">
            <v>北美总部</v>
          </cell>
          <cell r="K1295" t="str">
            <v>Chinese employees</v>
          </cell>
          <cell r="L1295" t="str">
            <v>L4</v>
          </cell>
          <cell r="M1295" t="str">
            <v>ALL</v>
          </cell>
          <cell r="N1295" t="str">
            <v>FLPC(含奖金)</v>
          </cell>
          <cell r="O1295" t="str">
            <v>USD/小时</v>
          </cell>
          <cell r="P1295">
            <v>171.8</v>
          </cell>
        </row>
        <row r="1296">
          <cell r="A1296" t="str">
            <v>中国总部 - Chinese employees - L0</v>
          </cell>
          <cell r="B1296" t="str">
            <v>Current version</v>
          </cell>
          <cell r="C1296" t="str">
            <v>V2009R2</v>
          </cell>
          <cell r="D1296" t="str">
            <v>Labor Rate</v>
          </cell>
          <cell r="E1296" t="str">
            <v>China</v>
          </cell>
          <cell r="F1296" t="str">
            <v>China</v>
          </cell>
          <cell r="G1296" t="str">
            <v>中国总部</v>
          </cell>
          <cell r="H1296" t="str">
            <v>0002</v>
          </cell>
          <cell r="I1296" t="str">
            <v>中国总部</v>
          </cell>
          <cell r="J1296" t="str">
            <v>中国总部</v>
          </cell>
          <cell r="K1296" t="str">
            <v>Chinese employees</v>
          </cell>
          <cell r="L1296" t="str">
            <v>L0</v>
          </cell>
          <cell r="M1296" t="str">
            <v>ALL</v>
          </cell>
          <cell r="N1296" t="str">
            <v>FLPC(含奖金)</v>
          </cell>
          <cell r="O1296" t="str">
            <v>USD/小时</v>
          </cell>
          <cell r="P1296">
            <v>11.56</v>
          </cell>
        </row>
        <row r="1297">
          <cell r="A1297" t="str">
            <v>Nanchang - Chinese employees - L0</v>
          </cell>
          <cell r="B1297" t="str">
            <v>Current version</v>
          </cell>
          <cell r="C1297" t="str">
            <v>V2009R2</v>
          </cell>
          <cell r="D1297" t="str">
            <v>Labor Rate</v>
          </cell>
          <cell r="E1297" t="str">
            <v>China</v>
          </cell>
          <cell r="F1297" t="str">
            <v>China</v>
          </cell>
          <cell r="G1297" t="str">
            <v>南昌办事处</v>
          </cell>
          <cell r="H1297" t="str">
            <v>0013</v>
          </cell>
          <cell r="I1297" t="str">
            <v>南昌</v>
          </cell>
          <cell r="J1297" t="str">
            <v>Nanchang</v>
          </cell>
          <cell r="K1297" t="str">
            <v>Chinese employees</v>
          </cell>
          <cell r="L1297" t="str">
            <v>L0</v>
          </cell>
          <cell r="M1297" t="str">
            <v>ALL</v>
          </cell>
          <cell r="N1297" t="str">
            <v>FLPC(含奖金)</v>
          </cell>
          <cell r="O1297" t="str">
            <v>USD/小时</v>
          </cell>
          <cell r="P1297">
            <v>11.56</v>
          </cell>
        </row>
        <row r="1298">
          <cell r="A1298" t="str">
            <v>Nanchang - Chinese employees - L1</v>
          </cell>
          <cell r="B1298" t="str">
            <v>Current version</v>
          </cell>
          <cell r="C1298" t="str">
            <v>V2009R2</v>
          </cell>
          <cell r="D1298" t="str">
            <v>Labor Rate</v>
          </cell>
          <cell r="E1298" t="str">
            <v>China</v>
          </cell>
          <cell r="F1298" t="str">
            <v>China</v>
          </cell>
          <cell r="G1298" t="str">
            <v>南昌办事处</v>
          </cell>
          <cell r="H1298" t="str">
            <v>0013</v>
          </cell>
          <cell r="I1298" t="str">
            <v>南昌</v>
          </cell>
          <cell r="J1298" t="str">
            <v>Nanchang</v>
          </cell>
          <cell r="K1298" t="str">
            <v>Chinese employees</v>
          </cell>
          <cell r="L1298" t="str">
            <v>L1</v>
          </cell>
          <cell r="M1298" t="str">
            <v>ALL</v>
          </cell>
          <cell r="N1298" t="str">
            <v>FLPC(含奖金)</v>
          </cell>
          <cell r="O1298" t="str">
            <v>USD/小时</v>
          </cell>
          <cell r="P1298">
            <v>16.82</v>
          </cell>
        </row>
        <row r="1299">
          <cell r="A1299" t="str">
            <v>Nanchang - Chinese employees - L2</v>
          </cell>
          <cell r="B1299" t="str">
            <v>Current version</v>
          </cell>
          <cell r="C1299" t="str">
            <v>V2009R2</v>
          </cell>
          <cell r="D1299" t="str">
            <v>Labor Rate</v>
          </cell>
          <cell r="E1299" t="str">
            <v>China</v>
          </cell>
          <cell r="F1299" t="str">
            <v>China</v>
          </cell>
          <cell r="G1299" t="str">
            <v>南昌办事处</v>
          </cell>
          <cell r="H1299" t="str">
            <v>0013</v>
          </cell>
          <cell r="I1299" t="str">
            <v>南昌</v>
          </cell>
          <cell r="J1299" t="str">
            <v>Nanchang</v>
          </cell>
          <cell r="K1299" t="str">
            <v>Chinese employees</v>
          </cell>
          <cell r="L1299" t="str">
            <v>L2</v>
          </cell>
          <cell r="M1299" t="str">
            <v>ALL</v>
          </cell>
          <cell r="N1299" t="str">
            <v>FLPC(含奖金)</v>
          </cell>
          <cell r="O1299" t="str">
            <v>USD/小时</v>
          </cell>
          <cell r="P1299">
            <v>23.63</v>
          </cell>
        </row>
        <row r="1300">
          <cell r="A1300" t="str">
            <v>Nanchang - Chinese employees - L3</v>
          </cell>
          <cell r="B1300" t="str">
            <v>Current version</v>
          </cell>
          <cell r="C1300" t="str">
            <v>V2009R2</v>
          </cell>
          <cell r="D1300" t="str">
            <v>Labor Rate</v>
          </cell>
          <cell r="E1300" t="str">
            <v>China</v>
          </cell>
          <cell r="F1300" t="str">
            <v>China</v>
          </cell>
          <cell r="G1300" t="str">
            <v>南昌办事处</v>
          </cell>
          <cell r="H1300" t="str">
            <v>0013</v>
          </cell>
          <cell r="I1300" t="str">
            <v>南昌</v>
          </cell>
          <cell r="J1300" t="str">
            <v>Nanchang</v>
          </cell>
          <cell r="K1300" t="str">
            <v>Chinese employees</v>
          </cell>
          <cell r="L1300" t="str">
            <v>L3</v>
          </cell>
          <cell r="M1300" t="str">
            <v>ALL</v>
          </cell>
          <cell r="N1300" t="str">
            <v>FLPC(含奖金)</v>
          </cell>
          <cell r="O1300" t="str">
            <v>USD/小时</v>
          </cell>
          <cell r="P1300">
            <v>32.57</v>
          </cell>
        </row>
        <row r="1301">
          <cell r="A1301" t="str">
            <v>Nanchang - Chinese employees - L4</v>
          </cell>
          <cell r="B1301" t="str">
            <v>Current version</v>
          </cell>
          <cell r="C1301" t="str">
            <v>V2009R2</v>
          </cell>
          <cell r="D1301" t="str">
            <v>Labor Rate</v>
          </cell>
          <cell r="E1301" t="str">
            <v>China</v>
          </cell>
          <cell r="F1301" t="str">
            <v>China</v>
          </cell>
          <cell r="G1301" t="str">
            <v>南昌办事处</v>
          </cell>
          <cell r="H1301" t="str">
            <v>0013</v>
          </cell>
          <cell r="I1301" t="str">
            <v>南昌</v>
          </cell>
          <cell r="J1301" t="str">
            <v>Nanchang</v>
          </cell>
          <cell r="K1301" t="str">
            <v>Chinese employees</v>
          </cell>
          <cell r="L1301" t="str">
            <v>L4</v>
          </cell>
          <cell r="M1301" t="str">
            <v>ALL</v>
          </cell>
          <cell r="N1301" t="str">
            <v>FLPC(含奖金)</v>
          </cell>
          <cell r="O1301" t="str">
            <v>USD/小时</v>
          </cell>
          <cell r="P1301">
            <v>56.75</v>
          </cell>
        </row>
        <row r="1302">
          <cell r="A1302" t="str">
            <v>Wuhan - Chinese employees - L0</v>
          </cell>
          <cell r="B1302" t="str">
            <v>Current version</v>
          </cell>
          <cell r="C1302" t="str">
            <v>V2009R2</v>
          </cell>
          <cell r="D1302" t="str">
            <v>Labor Rate</v>
          </cell>
          <cell r="E1302" t="str">
            <v>China</v>
          </cell>
          <cell r="F1302" t="str">
            <v>China</v>
          </cell>
          <cell r="G1302" t="str">
            <v>武汉办事处</v>
          </cell>
          <cell r="H1302" t="str">
            <v>0014</v>
          </cell>
          <cell r="I1302" t="str">
            <v>武汉</v>
          </cell>
          <cell r="J1302" t="str">
            <v>Wuhan</v>
          </cell>
          <cell r="K1302" t="str">
            <v>Chinese employees</v>
          </cell>
          <cell r="L1302" t="str">
            <v>L0</v>
          </cell>
          <cell r="M1302" t="str">
            <v>ALL</v>
          </cell>
          <cell r="N1302" t="str">
            <v>FLPC(含奖金)</v>
          </cell>
          <cell r="O1302" t="str">
            <v>USD/小时</v>
          </cell>
          <cell r="P1302">
            <v>11.56</v>
          </cell>
        </row>
        <row r="1303">
          <cell r="A1303" t="str">
            <v>Wuhan - Chinese employees - L1</v>
          </cell>
          <cell r="B1303" t="str">
            <v>Current version</v>
          </cell>
          <cell r="C1303" t="str">
            <v>V2009R2</v>
          </cell>
          <cell r="D1303" t="str">
            <v>Labor Rate</v>
          </cell>
          <cell r="E1303" t="str">
            <v>China</v>
          </cell>
          <cell r="F1303" t="str">
            <v>China</v>
          </cell>
          <cell r="G1303" t="str">
            <v>武汉办事处</v>
          </cell>
          <cell r="H1303" t="str">
            <v>0014</v>
          </cell>
          <cell r="I1303" t="str">
            <v>武汉</v>
          </cell>
          <cell r="J1303" t="str">
            <v>Wuhan</v>
          </cell>
          <cell r="K1303" t="str">
            <v>Chinese employees</v>
          </cell>
          <cell r="L1303" t="str">
            <v>L1</v>
          </cell>
          <cell r="M1303" t="str">
            <v>ALL</v>
          </cell>
          <cell r="N1303" t="str">
            <v>FLPC(含奖金)</v>
          </cell>
          <cell r="O1303" t="str">
            <v>USD/小时</v>
          </cell>
          <cell r="P1303">
            <v>16.82</v>
          </cell>
        </row>
        <row r="1304">
          <cell r="A1304" t="str">
            <v>Wuhan - Chinese employees - L2</v>
          </cell>
          <cell r="B1304" t="str">
            <v>Current version</v>
          </cell>
          <cell r="C1304" t="str">
            <v>V2009R2</v>
          </cell>
          <cell r="D1304" t="str">
            <v>Labor Rate</v>
          </cell>
          <cell r="E1304" t="str">
            <v>China</v>
          </cell>
          <cell r="F1304" t="str">
            <v>China</v>
          </cell>
          <cell r="G1304" t="str">
            <v>武汉办事处</v>
          </cell>
          <cell r="H1304" t="str">
            <v>0014</v>
          </cell>
          <cell r="I1304" t="str">
            <v>武汉</v>
          </cell>
          <cell r="J1304" t="str">
            <v>Wuhan</v>
          </cell>
          <cell r="K1304" t="str">
            <v>Chinese employees</v>
          </cell>
          <cell r="L1304" t="str">
            <v>L2</v>
          </cell>
          <cell r="M1304" t="str">
            <v>ALL</v>
          </cell>
          <cell r="N1304" t="str">
            <v>FLPC(含奖金)</v>
          </cell>
          <cell r="O1304" t="str">
            <v>USD/小时</v>
          </cell>
          <cell r="P1304">
            <v>23.63</v>
          </cell>
        </row>
        <row r="1305">
          <cell r="A1305" t="str">
            <v>Wuhan - Chinese employees - L3</v>
          </cell>
          <cell r="B1305" t="str">
            <v>Current version</v>
          </cell>
          <cell r="C1305" t="str">
            <v>V2009R2</v>
          </cell>
          <cell r="D1305" t="str">
            <v>Labor Rate</v>
          </cell>
          <cell r="E1305" t="str">
            <v>China</v>
          </cell>
          <cell r="F1305" t="str">
            <v>China</v>
          </cell>
          <cell r="G1305" t="str">
            <v>武汉办事处</v>
          </cell>
          <cell r="H1305" t="str">
            <v>0014</v>
          </cell>
          <cell r="I1305" t="str">
            <v>武汉</v>
          </cell>
          <cell r="J1305" t="str">
            <v>Wuhan</v>
          </cell>
          <cell r="K1305" t="str">
            <v>Chinese employees</v>
          </cell>
          <cell r="L1305" t="str">
            <v>L3</v>
          </cell>
          <cell r="M1305" t="str">
            <v>ALL</v>
          </cell>
          <cell r="N1305" t="str">
            <v>FLPC(含奖金)</v>
          </cell>
          <cell r="O1305" t="str">
            <v>USD/小时</v>
          </cell>
          <cell r="P1305">
            <v>32.57</v>
          </cell>
        </row>
        <row r="1306">
          <cell r="A1306" t="str">
            <v>Wuhan - Chinese employees - L4</v>
          </cell>
          <cell r="B1306" t="str">
            <v>Current version</v>
          </cell>
          <cell r="C1306" t="str">
            <v>V2009R2</v>
          </cell>
          <cell r="D1306" t="str">
            <v>Labor Rate</v>
          </cell>
          <cell r="E1306" t="str">
            <v>China</v>
          </cell>
          <cell r="F1306" t="str">
            <v>China</v>
          </cell>
          <cell r="G1306" t="str">
            <v>武汉办事处</v>
          </cell>
          <cell r="H1306" t="str">
            <v>0014</v>
          </cell>
          <cell r="I1306" t="str">
            <v>武汉</v>
          </cell>
          <cell r="J1306" t="str">
            <v>Wuhan</v>
          </cell>
          <cell r="K1306" t="str">
            <v>Chinese employees</v>
          </cell>
          <cell r="L1306" t="str">
            <v>L4</v>
          </cell>
          <cell r="M1306" t="str">
            <v>ALL</v>
          </cell>
          <cell r="N1306" t="str">
            <v>FLPC(含奖金)</v>
          </cell>
          <cell r="O1306" t="str">
            <v>USD/小时</v>
          </cell>
          <cell r="P1306">
            <v>56.75</v>
          </cell>
        </row>
        <row r="1307">
          <cell r="A1307" t="str">
            <v>Lanzhou - Chinese employees - L0</v>
          </cell>
          <cell r="B1307" t="str">
            <v>Current version</v>
          </cell>
          <cell r="C1307" t="str">
            <v>V2009R2</v>
          </cell>
          <cell r="D1307" t="str">
            <v>Labor Rate</v>
          </cell>
          <cell r="E1307" t="str">
            <v>China</v>
          </cell>
          <cell r="F1307" t="str">
            <v>China</v>
          </cell>
          <cell r="G1307" t="str">
            <v>兰州办事处</v>
          </cell>
          <cell r="H1307" t="str">
            <v>0015</v>
          </cell>
          <cell r="I1307" t="str">
            <v>兰州</v>
          </cell>
          <cell r="J1307" t="str">
            <v>Lanzhou</v>
          </cell>
          <cell r="K1307" t="str">
            <v>Chinese employees</v>
          </cell>
          <cell r="L1307" t="str">
            <v>L0</v>
          </cell>
          <cell r="M1307" t="str">
            <v>ALL</v>
          </cell>
          <cell r="N1307" t="str">
            <v>FLPC(含奖金)</v>
          </cell>
          <cell r="O1307" t="str">
            <v>USD/小时</v>
          </cell>
          <cell r="P1307">
            <v>11.56</v>
          </cell>
        </row>
        <row r="1308">
          <cell r="A1308" t="str">
            <v>Lanzhou - Chinese employees - L1</v>
          </cell>
          <cell r="B1308" t="str">
            <v>Current version</v>
          </cell>
          <cell r="C1308" t="str">
            <v>V2009R2</v>
          </cell>
          <cell r="D1308" t="str">
            <v>Labor Rate</v>
          </cell>
          <cell r="E1308" t="str">
            <v>China</v>
          </cell>
          <cell r="F1308" t="str">
            <v>China</v>
          </cell>
          <cell r="G1308" t="str">
            <v>兰州办事处</v>
          </cell>
          <cell r="H1308" t="str">
            <v>0015</v>
          </cell>
          <cell r="I1308" t="str">
            <v>兰州</v>
          </cell>
          <cell r="J1308" t="str">
            <v>Lanzhou</v>
          </cell>
          <cell r="K1308" t="str">
            <v>Chinese employees</v>
          </cell>
          <cell r="L1308" t="str">
            <v>L1</v>
          </cell>
          <cell r="M1308" t="str">
            <v>ALL</v>
          </cell>
          <cell r="N1308" t="str">
            <v>FLPC(含奖金)</v>
          </cell>
          <cell r="O1308" t="str">
            <v>USD/小时</v>
          </cell>
          <cell r="P1308">
            <v>16.82</v>
          </cell>
        </row>
        <row r="1309">
          <cell r="A1309" t="str">
            <v>Lanzhou - Chinese employees - L2</v>
          </cell>
          <cell r="B1309" t="str">
            <v>Current version</v>
          </cell>
          <cell r="C1309" t="str">
            <v>V2009R2</v>
          </cell>
          <cell r="D1309" t="str">
            <v>Labor Rate</v>
          </cell>
          <cell r="E1309" t="str">
            <v>China</v>
          </cell>
          <cell r="F1309" t="str">
            <v>China</v>
          </cell>
          <cell r="G1309" t="str">
            <v>兰州办事处</v>
          </cell>
          <cell r="H1309" t="str">
            <v>0015</v>
          </cell>
          <cell r="I1309" t="str">
            <v>兰州</v>
          </cell>
          <cell r="J1309" t="str">
            <v>Lanzhou</v>
          </cell>
          <cell r="K1309" t="str">
            <v>Chinese employees</v>
          </cell>
          <cell r="L1309" t="str">
            <v>L2</v>
          </cell>
          <cell r="M1309" t="str">
            <v>ALL</v>
          </cell>
          <cell r="N1309" t="str">
            <v>FLPC(含奖金)</v>
          </cell>
          <cell r="O1309" t="str">
            <v>USD/小时</v>
          </cell>
          <cell r="P1309">
            <v>23.63</v>
          </cell>
        </row>
        <row r="1310">
          <cell r="A1310" t="str">
            <v>Lanzhou - Chinese employees - L3</v>
          </cell>
          <cell r="B1310" t="str">
            <v>Current version</v>
          </cell>
          <cell r="C1310" t="str">
            <v>V2009R2</v>
          </cell>
          <cell r="D1310" t="str">
            <v>Labor Rate</v>
          </cell>
          <cell r="E1310" t="str">
            <v>China</v>
          </cell>
          <cell r="F1310" t="str">
            <v>China</v>
          </cell>
          <cell r="G1310" t="str">
            <v>兰州办事处</v>
          </cell>
          <cell r="H1310" t="str">
            <v>0015</v>
          </cell>
          <cell r="I1310" t="str">
            <v>兰州</v>
          </cell>
          <cell r="J1310" t="str">
            <v>Lanzhou</v>
          </cell>
          <cell r="K1310" t="str">
            <v>Chinese employees</v>
          </cell>
          <cell r="L1310" t="str">
            <v>L3</v>
          </cell>
          <cell r="M1310" t="str">
            <v>ALL</v>
          </cell>
          <cell r="N1310" t="str">
            <v>FLPC(含奖金)</v>
          </cell>
          <cell r="O1310" t="str">
            <v>USD/小时</v>
          </cell>
          <cell r="P1310">
            <v>32.57</v>
          </cell>
        </row>
        <row r="1311">
          <cell r="A1311" t="str">
            <v>Lanzhou - Chinese employees - L4</v>
          </cell>
          <cell r="B1311" t="str">
            <v>Current version</v>
          </cell>
          <cell r="C1311" t="str">
            <v>V2009R2</v>
          </cell>
          <cell r="D1311" t="str">
            <v>Labor Rate</v>
          </cell>
          <cell r="E1311" t="str">
            <v>China</v>
          </cell>
          <cell r="F1311" t="str">
            <v>China</v>
          </cell>
          <cell r="G1311" t="str">
            <v>兰州办事处</v>
          </cell>
          <cell r="H1311" t="str">
            <v>0015</v>
          </cell>
          <cell r="I1311" t="str">
            <v>兰州</v>
          </cell>
          <cell r="J1311" t="str">
            <v>Lanzhou</v>
          </cell>
          <cell r="K1311" t="str">
            <v>Chinese employees</v>
          </cell>
          <cell r="L1311" t="str">
            <v>L4</v>
          </cell>
          <cell r="M1311" t="str">
            <v>ALL</v>
          </cell>
          <cell r="N1311" t="str">
            <v>FLPC(含奖金)</v>
          </cell>
          <cell r="O1311" t="str">
            <v>USD/小时</v>
          </cell>
          <cell r="P1311">
            <v>56.75</v>
          </cell>
        </row>
        <row r="1312">
          <cell r="A1312" t="str">
            <v>Wulumuqi - Chinese employees - L0</v>
          </cell>
          <cell r="B1312" t="str">
            <v>Current version</v>
          </cell>
          <cell r="C1312" t="str">
            <v>V2009R2</v>
          </cell>
          <cell r="D1312" t="str">
            <v>Labor Rate</v>
          </cell>
          <cell r="E1312" t="str">
            <v>China</v>
          </cell>
          <cell r="F1312" t="str">
            <v>China</v>
          </cell>
          <cell r="G1312" t="str">
            <v>乌鲁木齐办事处</v>
          </cell>
          <cell r="H1312" t="str">
            <v>0016</v>
          </cell>
          <cell r="I1312" t="str">
            <v>乌鲁木齐</v>
          </cell>
          <cell r="J1312" t="str">
            <v>Wulumuqi</v>
          </cell>
          <cell r="K1312" t="str">
            <v>Chinese employees</v>
          </cell>
          <cell r="L1312" t="str">
            <v>L0</v>
          </cell>
          <cell r="M1312" t="str">
            <v>ALL</v>
          </cell>
          <cell r="N1312" t="str">
            <v>FLPC(含奖金)</v>
          </cell>
          <cell r="O1312" t="str">
            <v>USD/小时</v>
          </cell>
          <cell r="P1312">
            <v>11.56</v>
          </cell>
        </row>
        <row r="1313">
          <cell r="A1313" t="str">
            <v>Wulumuqi - Chinese employees - L1</v>
          </cell>
          <cell r="B1313" t="str">
            <v>Current version</v>
          </cell>
          <cell r="C1313" t="str">
            <v>V2009R2</v>
          </cell>
          <cell r="D1313" t="str">
            <v>Labor Rate</v>
          </cell>
          <cell r="E1313" t="str">
            <v>China</v>
          </cell>
          <cell r="F1313" t="str">
            <v>China</v>
          </cell>
          <cell r="G1313" t="str">
            <v>乌鲁木齐办事处</v>
          </cell>
          <cell r="H1313" t="str">
            <v>0016</v>
          </cell>
          <cell r="I1313" t="str">
            <v>乌鲁木齐</v>
          </cell>
          <cell r="J1313" t="str">
            <v>Wulumuqi</v>
          </cell>
          <cell r="K1313" t="str">
            <v>Chinese employees</v>
          </cell>
          <cell r="L1313" t="str">
            <v>L1</v>
          </cell>
          <cell r="M1313" t="str">
            <v>ALL</v>
          </cell>
          <cell r="N1313" t="str">
            <v>FLPC(含奖金)</v>
          </cell>
          <cell r="O1313" t="str">
            <v>USD/小时</v>
          </cell>
          <cell r="P1313">
            <v>16.82</v>
          </cell>
        </row>
        <row r="1314">
          <cell r="A1314" t="str">
            <v>Wulumuqi - Chinese employees - L2</v>
          </cell>
          <cell r="B1314" t="str">
            <v>Current version</v>
          </cell>
          <cell r="C1314" t="str">
            <v>V2009R2</v>
          </cell>
          <cell r="D1314" t="str">
            <v>Labor Rate</v>
          </cell>
          <cell r="E1314" t="str">
            <v>China</v>
          </cell>
          <cell r="F1314" t="str">
            <v>China</v>
          </cell>
          <cell r="G1314" t="str">
            <v>乌鲁木齐办事处</v>
          </cell>
          <cell r="H1314" t="str">
            <v>0016</v>
          </cell>
          <cell r="I1314" t="str">
            <v>乌鲁木齐</v>
          </cell>
          <cell r="J1314" t="str">
            <v>Wulumuqi</v>
          </cell>
          <cell r="K1314" t="str">
            <v>Chinese employees</v>
          </cell>
          <cell r="L1314" t="str">
            <v>L2</v>
          </cell>
          <cell r="M1314" t="str">
            <v>ALL</v>
          </cell>
          <cell r="N1314" t="str">
            <v>FLPC(含奖金)</v>
          </cell>
          <cell r="O1314" t="str">
            <v>USD/小时</v>
          </cell>
          <cell r="P1314">
            <v>23.63</v>
          </cell>
        </row>
        <row r="1315">
          <cell r="A1315" t="str">
            <v>Wulumuqi - Chinese employees - L3</v>
          </cell>
          <cell r="B1315" t="str">
            <v>Current version</v>
          </cell>
          <cell r="C1315" t="str">
            <v>V2009R2</v>
          </cell>
          <cell r="D1315" t="str">
            <v>Labor Rate</v>
          </cell>
          <cell r="E1315" t="str">
            <v>China</v>
          </cell>
          <cell r="F1315" t="str">
            <v>China</v>
          </cell>
          <cell r="G1315" t="str">
            <v>乌鲁木齐办事处</v>
          </cell>
          <cell r="H1315" t="str">
            <v>0016</v>
          </cell>
          <cell r="I1315" t="str">
            <v>乌鲁木齐</v>
          </cell>
          <cell r="J1315" t="str">
            <v>Wulumuqi</v>
          </cell>
          <cell r="K1315" t="str">
            <v>Chinese employees</v>
          </cell>
          <cell r="L1315" t="str">
            <v>L3</v>
          </cell>
          <cell r="M1315" t="str">
            <v>ALL</v>
          </cell>
          <cell r="N1315" t="str">
            <v>FLPC(含奖金)</v>
          </cell>
          <cell r="O1315" t="str">
            <v>USD/小时</v>
          </cell>
          <cell r="P1315">
            <v>32.57</v>
          </cell>
        </row>
        <row r="1316">
          <cell r="A1316" t="str">
            <v>Wulumuqi - Chinese employees - L4</v>
          </cell>
          <cell r="B1316" t="str">
            <v>Current version</v>
          </cell>
          <cell r="C1316" t="str">
            <v>V2009R2</v>
          </cell>
          <cell r="D1316" t="str">
            <v>Labor Rate</v>
          </cell>
          <cell r="E1316" t="str">
            <v>China</v>
          </cell>
          <cell r="F1316" t="str">
            <v>China</v>
          </cell>
          <cell r="G1316" t="str">
            <v>乌鲁木齐办事处</v>
          </cell>
          <cell r="H1316" t="str">
            <v>0016</v>
          </cell>
          <cell r="I1316" t="str">
            <v>乌鲁木齐</v>
          </cell>
          <cell r="J1316" t="str">
            <v>Wulumuqi</v>
          </cell>
          <cell r="K1316" t="str">
            <v>Chinese employees</v>
          </cell>
          <cell r="L1316" t="str">
            <v>L4</v>
          </cell>
          <cell r="M1316" t="str">
            <v>ALL</v>
          </cell>
          <cell r="N1316" t="str">
            <v>FLPC(含奖金)</v>
          </cell>
          <cell r="O1316" t="str">
            <v>USD/小时</v>
          </cell>
          <cell r="P1316">
            <v>56.75</v>
          </cell>
        </row>
        <row r="1317">
          <cell r="A1317" t="str">
            <v>Xian - Chinese employees - L0</v>
          </cell>
          <cell r="B1317" t="str">
            <v>Current version</v>
          </cell>
          <cell r="C1317" t="str">
            <v>V2009R2</v>
          </cell>
          <cell r="D1317" t="str">
            <v>Labor Rate</v>
          </cell>
          <cell r="E1317" t="str">
            <v>China</v>
          </cell>
          <cell r="F1317" t="str">
            <v>China</v>
          </cell>
          <cell r="G1317" t="str">
            <v>西安办事处</v>
          </cell>
          <cell r="H1317" t="str">
            <v>0017</v>
          </cell>
          <cell r="I1317" t="str">
            <v>西安</v>
          </cell>
          <cell r="J1317" t="str">
            <v>Xian</v>
          </cell>
          <cell r="K1317" t="str">
            <v>Chinese employees</v>
          </cell>
          <cell r="L1317" t="str">
            <v>L0</v>
          </cell>
          <cell r="M1317" t="str">
            <v>ALL</v>
          </cell>
          <cell r="N1317" t="str">
            <v>FLPC(含奖金)</v>
          </cell>
          <cell r="O1317" t="str">
            <v>USD/小时</v>
          </cell>
          <cell r="P1317">
            <v>11.56</v>
          </cell>
        </row>
        <row r="1318">
          <cell r="A1318" t="str">
            <v>Xian - Chinese employees - L1</v>
          </cell>
          <cell r="B1318" t="str">
            <v>Current version</v>
          </cell>
          <cell r="C1318" t="str">
            <v>V2009R2</v>
          </cell>
          <cell r="D1318" t="str">
            <v>Labor Rate</v>
          </cell>
          <cell r="E1318" t="str">
            <v>China</v>
          </cell>
          <cell r="F1318" t="str">
            <v>China</v>
          </cell>
          <cell r="G1318" t="str">
            <v>西安办事处</v>
          </cell>
          <cell r="H1318" t="str">
            <v>0017</v>
          </cell>
          <cell r="I1318" t="str">
            <v>西安</v>
          </cell>
          <cell r="J1318" t="str">
            <v>Xian</v>
          </cell>
          <cell r="K1318" t="str">
            <v>Chinese employees</v>
          </cell>
          <cell r="L1318" t="str">
            <v>L1</v>
          </cell>
          <cell r="M1318" t="str">
            <v>ALL</v>
          </cell>
          <cell r="N1318" t="str">
            <v>FLPC(含奖金)</v>
          </cell>
          <cell r="O1318" t="str">
            <v>USD/小时</v>
          </cell>
          <cell r="P1318">
            <v>16.82</v>
          </cell>
        </row>
        <row r="1319">
          <cell r="A1319" t="str">
            <v>Xian - Chinese employees - L2</v>
          </cell>
          <cell r="B1319" t="str">
            <v>Current version</v>
          </cell>
          <cell r="C1319" t="str">
            <v>V2009R2</v>
          </cell>
          <cell r="D1319" t="str">
            <v>Labor Rate</v>
          </cell>
          <cell r="E1319" t="str">
            <v>China</v>
          </cell>
          <cell r="F1319" t="str">
            <v>China</v>
          </cell>
          <cell r="G1319" t="str">
            <v>西安办事处</v>
          </cell>
          <cell r="H1319" t="str">
            <v>0017</v>
          </cell>
          <cell r="I1319" t="str">
            <v>西安</v>
          </cell>
          <cell r="J1319" t="str">
            <v>Xian</v>
          </cell>
          <cell r="K1319" t="str">
            <v>Chinese employees</v>
          </cell>
          <cell r="L1319" t="str">
            <v>L2</v>
          </cell>
          <cell r="M1319" t="str">
            <v>ALL</v>
          </cell>
          <cell r="N1319" t="str">
            <v>FLPC(含奖金)</v>
          </cell>
          <cell r="O1319" t="str">
            <v>USD/小时</v>
          </cell>
          <cell r="P1319">
            <v>23.63</v>
          </cell>
        </row>
        <row r="1320">
          <cell r="A1320" t="str">
            <v>Xian - Chinese employees - L3</v>
          </cell>
          <cell r="B1320" t="str">
            <v>Current version</v>
          </cell>
          <cell r="C1320" t="str">
            <v>V2009R2</v>
          </cell>
          <cell r="D1320" t="str">
            <v>Labor Rate</v>
          </cell>
          <cell r="E1320" t="str">
            <v>China</v>
          </cell>
          <cell r="F1320" t="str">
            <v>China</v>
          </cell>
          <cell r="G1320" t="str">
            <v>西安办事处</v>
          </cell>
          <cell r="H1320" t="str">
            <v>0017</v>
          </cell>
          <cell r="I1320" t="str">
            <v>西安</v>
          </cell>
          <cell r="J1320" t="str">
            <v>Xian</v>
          </cell>
          <cell r="K1320" t="str">
            <v>Chinese employees</v>
          </cell>
          <cell r="L1320" t="str">
            <v>L3</v>
          </cell>
          <cell r="M1320" t="str">
            <v>ALL</v>
          </cell>
          <cell r="N1320" t="str">
            <v>FLPC(含奖金)</v>
          </cell>
          <cell r="O1320" t="str">
            <v>USD/小时</v>
          </cell>
          <cell r="P1320">
            <v>32.57</v>
          </cell>
        </row>
        <row r="1321">
          <cell r="A1321" t="str">
            <v>Xian - Chinese employees - L4</v>
          </cell>
          <cell r="B1321" t="str">
            <v>Current version</v>
          </cell>
          <cell r="C1321" t="str">
            <v>V2009R2</v>
          </cell>
          <cell r="D1321" t="str">
            <v>Labor Rate</v>
          </cell>
          <cell r="E1321" t="str">
            <v>China</v>
          </cell>
          <cell r="F1321" t="str">
            <v>China</v>
          </cell>
          <cell r="G1321" t="str">
            <v>西安办事处</v>
          </cell>
          <cell r="H1321" t="str">
            <v>0017</v>
          </cell>
          <cell r="I1321" t="str">
            <v>西安</v>
          </cell>
          <cell r="J1321" t="str">
            <v>Xian</v>
          </cell>
          <cell r="K1321" t="str">
            <v>Chinese employees</v>
          </cell>
          <cell r="L1321" t="str">
            <v>L4</v>
          </cell>
          <cell r="M1321" t="str">
            <v>ALL</v>
          </cell>
          <cell r="N1321" t="str">
            <v>FLPC(含奖金)</v>
          </cell>
          <cell r="O1321" t="str">
            <v>USD/小时</v>
          </cell>
          <cell r="P1321">
            <v>56.75</v>
          </cell>
        </row>
        <row r="1322">
          <cell r="A1322" t="str">
            <v>Chongqing - Chinese employees - L0</v>
          </cell>
          <cell r="B1322" t="str">
            <v>Current version</v>
          </cell>
          <cell r="C1322" t="str">
            <v>V2009R2</v>
          </cell>
          <cell r="D1322" t="str">
            <v>Labor Rate</v>
          </cell>
          <cell r="E1322" t="str">
            <v>China</v>
          </cell>
          <cell r="F1322" t="str">
            <v>China</v>
          </cell>
          <cell r="G1322" t="str">
            <v>重庆办事处</v>
          </cell>
          <cell r="H1322" t="str">
            <v>0019</v>
          </cell>
          <cell r="I1322" t="str">
            <v>重庆</v>
          </cell>
          <cell r="J1322" t="str">
            <v>Chongqing</v>
          </cell>
          <cell r="K1322" t="str">
            <v>Chinese employees</v>
          </cell>
          <cell r="L1322" t="str">
            <v>L0</v>
          </cell>
          <cell r="M1322" t="str">
            <v>ALL</v>
          </cell>
          <cell r="N1322" t="str">
            <v>FLPC(含奖金)</v>
          </cell>
          <cell r="O1322" t="str">
            <v>USD/小时</v>
          </cell>
          <cell r="P1322">
            <v>11.56</v>
          </cell>
        </row>
        <row r="1323">
          <cell r="A1323" t="str">
            <v>Chongqing - Chinese employees - L1</v>
          </cell>
          <cell r="B1323" t="str">
            <v>Current version</v>
          </cell>
          <cell r="C1323" t="str">
            <v>V2009R2</v>
          </cell>
          <cell r="D1323" t="str">
            <v>Labor Rate</v>
          </cell>
          <cell r="E1323" t="str">
            <v>China</v>
          </cell>
          <cell r="F1323" t="str">
            <v>China</v>
          </cell>
          <cell r="G1323" t="str">
            <v>重庆办事处</v>
          </cell>
          <cell r="H1323" t="str">
            <v>0019</v>
          </cell>
          <cell r="I1323" t="str">
            <v>重庆</v>
          </cell>
          <cell r="J1323" t="str">
            <v>Chongqing</v>
          </cell>
          <cell r="K1323" t="str">
            <v>Chinese employees</v>
          </cell>
          <cell r="L1323" t="str">
            <v>L1</v>
          </cell>
          <cell r="M1323" t="str">
            <v>ALL</v>
          </cell>
          <cell r="N1323" t="str">
            <v>FLPC(含奖金)</v>
          </cell>
          <cell r="O1323" t="str">
            <v>USD/小时</v>
          </cell>
          <cell r="P1323">
            <v>16.82</v>
          </cell>
        </row>
        <row r="1324">
          <cell r="A1324" t="str">
            <v>Chongqing - Chinese employees - L2</v>
          </cell>
          <cell r="B1324" t="str">
            <v>Current version</v>
          </cell>
          <cell r="C1324" t="str">
            <v>V2009R2</v>
          </cell>
          <cell r="D1324" t="str">
            <v>Labor Rate</v>
          </cell>
          <cell r="E1324" t="str">
            <v>China</v>
          </cell>
          <cell r="F1324" t="str">
            <v>China</v>
          </cell>
          <cell r="G1324" t="str">
            <v>重庆办事处</v>
          </cell>
          <cell r="H1324" t="str">
            <v>0019</v>
          </cell>
          <cell r="I1324" t="str">
            <v>重庆</v>
          </cell>
          <cell r="J1324" t="str">
            <v>Chongqing</v>
          </cell>
          <cell r="K1324" t="str">
            <v>Chinese employees</v>
          </cell>
          <cell r="L1324" t="str">
            <v>L2</v>
          </cell>
          <cell r="M1324" t="str">
            <v>ALL</v>
          </cell>
          <cell r="N1324" t="str">
            <v>FLPC(含奖金)</v>
          </cell>
          <cell r="O1324" t="str">
            <v>USD/小时</v>
          </cell>
          <cell r="P1324">
            <v>23.63</v>
          </cell>
        </row>
        <row r="1325">
          <cell r="A1325" t="str">
            <v>Chongqing - Chinese employees - L3</v>
          </cell>
          <cell r="B1325" t="str">
            <v>Current version</v>
          </cell>
          <cell r="C1325" t="str">
            <v>V2009R2</v>
          </cell>
          <cell r="D1325" t="str">
            <v>Labor Rate</v>
          </cell>
          <cell r="E1325" t="str">
            <v>China</v>
          </cell>
          <cell r="F1325" t="str">
            <v>China</v>
          </cell>
          <cell r="G1325" t="str">
            <v>重庆办事处</v>
          </cell>
          <cell r="H1325" t="str">
            <v>0019</v>
          </cell>
          <cell r="I1325" t="str">
            <v>重庆</v>
          </cell>
          <cell r="J1325" t="str">
            <v>Chongqing</v>
          </cell>
          <cell r="K1325" t="str">
            <v>Chinese employees</v>
          </cell>
          <cell r="L1325" t="str">
            <v>L3</v>
          </cell>
          <cell r="M1325" t="str">
            <v>ALL</v>
          </cell>
          <cell r="N1325" t="str">
            <v>FLPC(含奖金)</v>
          </cell>
          <cell r="O1325" t="str">
            <v>USD/小时</v>
          </cell>
          <cell r="P1325">
            <v>32.57</v>
          </cell>
        </row>
        <row r="1326">
          <cell r="A1326" t="str">
            <v>Chongqing - Chinese employees - L4</v>
          </cell>
          <cell r="B1326" t="str">
            <v>Current version</v>
          </cell>
          <cell r="C1326" t="str">
            <v>V2009R2</v>
          </cell>
          <cell r="D1326" t="str">
            <v>Labor Rate</v>
          </cell>
          <cell r="E1326" t="str">
            <v>China</v>
          </cell>
          <cell r="F1326" t="str">
            <v>China</v>
          </cell>
          <cell r="G1326" t="str">
            <v>重庆办事处</v>
          </cell>
          <cell r="H1326" t="str">
            <v>0019</v>
          </cell>
          <cell r="I1326" t="str">
            <v>重庆</v>
          </cell>
          <cell r="J1326" t="str">
            <v>Chongqing</v>
          </cell>
          <cell r="K1326" t="str">
            <v>Chinese employees</v>
          </cell>
          <cell r="L1326" t="str">
            <v>L4</v>
          </cell>
          <cell r="M1326" t="str">
            <v>ALL</v>
          </cell>
          <cell r="N1326" t="str">
            <v>FLPC(含奖金)</v>
          </cell>
          <cell r="O1326" t="str">
            <v>USD/小时</v>
          </cell>
          <cell r="P1326">
            <v>56.75</v>
          </cell>
        </row>
        <row r="1327">
          <cell r="A1327" t="str">
            <v>Kunming - Chinese employees - L0</v>
          </cell>
          <cell r="B1327" t="str">
            <v>Current version</v>
          </cell>
          <cell r="C1327" t="str">
            <v>V2009R2</v>
          </cell>
          <cell r="D1327" t="str">
            <v>Labor Rate</v>
          </cell>
          <cell r="E1327" t="str">
            <v>China</v>
          </cell>
          <cell r="F1327" t="str">
            <v>China</v>
          </cell>
          <cell r="G1327" t="str">
            <v>昆明办事处</v>
          </cell>
          <cell r="H1327" t="str">
            <v>0020</v>
          </cell>
          <cell r="I1327" t="str">
            <v>昆明</v>
          </cell>
          <cell r="J1327" t="str">
            <v>Kunming</v>
          </cell>
          <cell r="K1327" t="str">
            <v>Chinese employees</v>
          </cell>
          <cell r="L1327" t="str">
            <v>L0</v>
          </cell>
          <cell r="M1327" t="str">
            <v>ALL</v>
          </cell>
          <cell r="N1327" t="str">
            <v>FLPC(含奖金)</v>
          </cell>
          <cell r="O1327" t="str">
            <v>USD/小时</v>
          </cell>
          <cell r="P1327">
            <v>11.56</v>
          </cell>
        </row>
        <row r="1328">
          <cell r="A1328" t="str">
            <v>Kunming - Chinese employees - L1</v>
          </cell>
          <cell r="B1328" t="str">
            <v>Current version</v>
          </cell>
          <cell r="C1328" t="str">
            <v>V2009R2</v>
          </cell>
          <cell r="D1328" t="str">
            <v>Labor Rate</v>
          </cell>
          <cell r="E1328" t="str">
            <v>China</v>
          </cell>
          <cell r="F1328" t="str">
            <v>China</v>
          </cell>
          <cell r="G1328" t="str">
            <v>昆明办事处</v>
          </cell>
          <cell r="H1328" t="str">
            <v>0020</v>
          </cell>
          <cell r="I1328" t="str">
            <v>昆明</v>
          </cell>
          <cell r="J1328" t="str">
            <v>Kunming</v>
          </cell>
          <cell r="K1328" t="str">
            <v>Chinese employees</v>
          </cell>
          <cell r="L1328" t="str">
            <v>L1</v>
          </cell>
          <cell r="M1328" t="str">
            <v>ALL</v>
          </cell>
          <cell r="N1328" t="str">
            <v>FLPC(含奖金)</v>
          </cell>
          <cell r="O1328" t="str">
            <v>USD/小时</v>
          </cell>
          <cell r="P1328">
            <v>16.82</v>
          </cell>
        </row>
        <row r="1329">
          <cell r="A1329" t="str">
            <v>Kunming - Chinese employees - L2</v>
          </cell>
          <cell r="B1329" t="str">
            <v>Current version</v>
          </cell>
          <cell r="C1329" t="str">
            <v>V2009R2</v>
          </cell>
          <cell r="D1329" t="str">
            <v>Labor Rate</v>
          </cell>
          <cell r="E1329" t="str">
            <v>China</v>
          </cell>
          <cell r="F1329" t="str">
            <v>China</v>
          </cell>
          <cell r="G1329" t="str">
            <v>昆明办事处</v>
          </cell>
          <cell r="H1329" t="str">
            <v>0020</v>
          </cell>
          <cell r="I1329" t="str">
            <v>昆明</v>
          </cell>
          <cell r="J1329" t="str">
            <v>Kunming</v>
          </cell>
          <cell r="K1329" t="str">
            <v>Chinese employees</v>
          </cell>
          <cell r="L1329" t="str">
            <v>L2</v>
          </cell>
          <cell r="M1329" t="str">
            <v>ALL</v>
          </cell>
          <cell r="N1329" t="str">
            <v>FLPC(含奖金)</v>
          </cell>
          <cell r="O1329" t="str">
            <v>USD/小时</v>
          </cell>
          <cell r="P1329">
            <v>23.63</v>
          </cell>
        </row>
        <row r="1330">
          <cell r="A1330" t="str">
            <v>Kunming - Chinese employees - L3</v>
          </cell>
          <cell r="B1330" t="str">
            <v>Current version</v>
          </cell>
          <cell r="C1330" t="str">
            <v>V2009R2</v>
          </cell>
          <cell r="D1330" t="str">
            <v>Labor Rate</v>
          </cell>
          <cell r="E1330" t="str">
            <v>China</v>
          </cell>
          <cell r="F1330" t="str">
            <v>China</v>
          </cell>
          <cell r="G1330" t="str">
            <v>昆明办事处</v>
          </cell>
          <cell r="H1330" t="str">
            <v>0020</v>
          </cell>
          <cell r="I1330" t="str">
            <v>昆明</v>
          </cell>
          <cell r="J1330" t="str">
            <v>Kunming</v>
          </cell>
          <cell r="K1330" t="str">
            <v>Chinese employees</v>
          </cell>
          <cell r="L1330" t="str">
            <v>L3</v>
          </cell>
          <cell r="M1330" t="str">
            <v>ALL</v>
          </cell>
          <cell r="N1330" t="str">
            <v>FLPC(含奖金)</v>
          </cell>
          <cell r="O1330" t="str">
            <v>USD/小时</v>
          </cell>
          <cell r="P1330">
            <v>32.57</v>
          </cell>
        </row>
        <row r="1331">
          <cell r="A1331" t="str">
            <v>Kunming - Chinese employees - L4</v>
          </cell>
          <cell r="B1331" t="str">
            <v>Current version</v>
          </cell>
          <cell r="C1331" t="str">
            <v>V2009R2</v>
          </cell>
          <cell r="D1331" t="str">
            <v>Labor Rate</v>
          </cell>
          <cell r="E1331" t="str">
            <v>China</v>
          </cell>
          <cell r="F1331" t="str">
            <v>China</v>
          </cell>
          <cell r="G1331" t="str">
            <v>昆明办事处</v>
          </cell>
          <cell r="H1331" t="str">
            <v>0020</v>
          </cell>
          <cell r="I1331" t="str">
            <v>昆明</v>
          </cell>
          <cell r="J1331" t="str">
            <v>Kunming</v>
          </cell>
          <cell r="K1331" t="str">
            <v>Chinese employees</v>
          </cell>
          <cell r="L1331" t="str">
            <v>L4</v>
          </cell>
          <cell r="M1331" t="str">
            <v>ALL</v>
          </cell>
          <cell r="N1331" t="str">
            <v>FLPC(含奖金)</v>
          </cell>
          <cell r="O1331" t="str">
            <v>USD/小时</v>
          </cell>
          <cell r="P1331">
            <v>56.75</v>
          </cell>
        </row>
        <row r="1332">
          <cell r="A1332" t="str">
            <v>Guiyang - Chinese employees - L0</v>
          </cell>
          <cell r="B1332" t="str">
            <v>Current version</v>
          </cell>
          <cell r="C1332" t="str">
            <v>V2009R2</v>
          </cell>
          <cell r="D1332" t="str">
            <v>Labor Rate</v>
          </cell>
          <cell r="E1332" t="str">
            <v>China</v>
          </cell>
          <cell r="F1332" t="str">
            <v>China</v>
          </cell>
          <cell r="G1332" t="str">
            <v>贵阳办事处</v>
          </cell>
          <cell r="H1332" t="str">
            <v>0021</v>
          </cell>
          <cell r="I1332" t="str">
            <v>贵阳</v>
          </cell>
          <cell r="J1332" t="str">
            <v>Guiyang</v>
          </cell>
          <cell r="K1332" t="str">
            <v>Chinese employees</v>
          </cell>
          <cell r="L1332" t="str">
            <v>L0</v>
          </cell>
          <cell r="M1332" t="str">
            <v>ALL</v>
          </cell>
          <cell r="N1332" t="str">
            <v>FLPC(含奖金)</v>
          </cell>
          <cell r="O1332" t="str">
            <v>USD/小时</v>
          </cell>
          <cell r="P1332">
            <v>11.56</v>
          </cell>
        </row>
        <row r="1333">
          <cell r="A1333" t="str">
            <v>Guiyang - Chinese employees - L1</v>
          </cell>
          <cell r="B1333" t="str">
            <v>Current version</v>
          </cell>
          <cell r="C1333" t="str">
            <v>V2009R2</v>
          </cell>
          <cell r="D1333" t="str">
            <v>Labor Rate</v>
          </cell>
          <cell r="E1333" t="str">
            <v>China</v>
          </cell>
          <cell r="F1333" t="str">
            <v>China</v>
          </cell>
          <cell r="G1333" t="str">
            <v>贵阳办事处</v>
          </cell>
          <cell r="H1333" t="str">
            <v>0021</v>
          </cell>
          <cell r="I1333" t="str">
            <v>贵阳</v>
          </cell>
          <cell r="J1333" t="str">
            <v>Guiyang</v>
          </cell>
          <cell r="K1333" t="str">
            <v>Chinese employees</v>
          </cell>
          <cell r="L1333" t="str">
            <v>L1</v>
          </cell>
          <cell r="M1333" t="str">
            <v>ALL</v>
          </cell>
          <cell r="N1333" t="str">
            <v>FLPC(含奖金)</v>
          </cell>
          <cell r="O1333" t="str">
            <v>USD/小时</v>
          </cell>
          <cell r="P1333">
            <v>16.82</v>
          </cell>
        </row>
        <row r="1334">
          <cell r="A1334" t="str">
            <v>Guiyang - Chinese employees - L2</v>
          </cell>
          <cell r="B1334" t="str">
            <v>Current version</v>
          </cell>
          <cell r="C1334" t="str">
            <v>V2009R2</v>
          </cell>
          <cell r="D1334" t="str">
            <v>Labor Rate</v>
          </cell>
          <cell r="E1334" t="str">
            <v>China</v>
          </cell>
          <cell r="F1334" t="str">
            <v>China</v>
          </cell>
          <cell r="G1334" t="str">
            <v>贵阳办事处</v>
          </cell>
          <cell r="H1334" t="str">
            <v>0021</v>
          </cell>
          <cell r="I1334" t="str">
            <v>贵阳</v>
          </cell>
          <cell r="J1334" t="str">
            <v>Guiyang</v>
          </cell>
          <cell r="K1334" t="str">
            <v>Chinese employees</v>
          </cell>
          <cell r="L1334" t="str">
            <v>L2</v>
          </cell>
          <cell r="M1334" t="str">
            <v>ALL</v>
          </cell>
          <cell r="N1334" t="str">
            <v>FLPC(含奖金)</v>
          </cell>
          <cell r="O1334" t="str">
            <v>USD/小时</v>
          </cell>
          <cell r="P1334">
            <v>23.63</v>
          </cell>
        </row>
        <row r="1335">
          <cell r="A1335" t="str">
            <v>Guiyang - Chinese employees - L3</v>
          </cell>
          <cell r="B1335" t="str">
            <v>Current version</v>
          </cell>
          <cell r="C1335" t="str">
            <v>V2009R2</v>
          </cell>
          <cell r="D1335" t="str">
            <v>Labor Rate</v>
          </cell>
          <cell r="E1335" t="str">
            <v>China</v>
          </cell>
          <cell r="F1335" t="str">
            <v>China</v>
          </cell>
          <cell r="G1335" t="str">
            <v>贵阳办事处</v>
          </cell>
          <cell r="H1335" t="str">
            <v>0021</v>
          </cell>
          <cell r="I1335" t="str">
            <v>贵阳</v>
          </cell>
          <cell r="J1335" t="str">
            <v>Guiyang</v>
          </cell>
          <cell r="K1335" t="str">
            <v>Chinese employees</v>
          </cell>
          <cell r="L1335" t="str">
            <v>L3</v>
          </cell>
          <cell r="M1335" t="str">
            <v>ALL</v>
          </cell>
          <cell r="N1335" t="str">
            <v>FLPC(含奖金)</v>
          </cell>
          <cell r="O1335" t="str">
            <v>USD/小时</v>
          </cell>
          <cell r="P1335">
            <v>32.57</v>
          </cell>
        </row>
        <row r="1336">
          <cell r="A1336" t="str">
            <v>Guiyang - Chinese employees - L4</v>
          </cell>
          <cell r="B1336" t="str">
            <v>Current version</v>
          </cell>
          <cell r="C1336" t="str">
            <v>V2009R2</v>
          </cell>
          <cell r="D1336" t="str">
            <v>Labor Rate</v>
          </cell>
          <cell r="E1336" t="str">
            <v>China</v>
          </cell>
          <cell r="F1336" t="str">
            <v>China</v>
          </cell>
          <cell r="G1336" t="str">
            <v>贵阳办事处</v>
          </cell>
          <cell r="H1336" t="str">
            <v>0021</v>
          </cell>
          <cell r="I1336" t="str">
            <v>贵阳</v>
          </cell>
          <cell r="J1336" t="str">
            <v>Guiyang</v>
          </cell>
          <cell r="K1336" t="str">
            <v>Chinese employees</v>
          </cell>
          <cell r="L1336" t="str">
            <v>L4</v>
          </cell>
          <cell r="M1336" t="str">
            <v>ALL</v>
          </cell>
          <cell r="N1336" t="str">
            <v>FLPC(含奖金)</v>
          </cell>
          <cell r="O1336" t="str">
            <v>USD/小时</v>
          </cell>
          <cell r="P1336">
            <v>56.75</v>
          </cell>
        </row>
        <row r="1337">
          <cell r="A1337" t="str">
            <v>Shanghai - Chinese employees - L0</v>
          </cell>
          <cell r="B1337" t="str">
            <v>Current version</v>
          </cell>
          <cell r="C1337" t="str">
            <v>V2009R2</v>
          </cell>
          <cell r="D1337" t="str">
            <v>Labor Rate</v>
          </cell>
          <cell r="E1337" t="str">
            <v>China</v>
          </cell>
          <cell r="F1337" t="str">
            <v>China</v>
          </cell>
          <cell r="G1337" t="str">
            <v>上海办事处</v>
          </cell>
          <cell r="H1337" t="str">
            <v>0022</v>
          </cell>
          <cell r="I1337" t="str">
            <v>上海</v>
          </cell>
          <cell r="J1337" t="str">
            <v>Shanghai</v>
          </cell>
          <cell r="K1337" t="str">
            <v>Chinese employees</v>
          </cell>
          <cell r="L1337" t="str">
            <v>L0</v>
          </cell>
          <cell r="M1337" t="str">
            <v>ALL</v>
          </cell>
          <cell r="N1337" t="str">
            <v>FLPC(含奖金)</v>
          </cell>
          <cell r="O1337" t="str">
            <v>USD/小时</v>
          </cell>
          <cell r="P1337">
            <v>11.56</v>
          </cell>
        </row>
        <row r="1338">
          <cell r="A1338" t="str">
            <v>Shanghai - Chinese employees - L1</v>
          </cell>
          <cell r="B1338" t="str">
            <v>Current version</v>
          </cell>
          <cell r="C1338" t="str">
            <v>V2009R2</v>
          </cell>
          <cell r="D1338" t="str">
            <v>Labor Rate</v>
          </cell>
          <cell r="E1338" t="str">
            <v>China</v>
          </cell>
          <cell r="F1338" t="str">
            <v>China</v>
          </cell>
          <cell r="G1338" t="str">
            <v>上海办事处</v>
          </cell>
          <cell r="H1338" t="str">
            <v>0022</v>
          </cell>
          <cell r="I1338" t="str">
            <v>上海</v>
          </cell>
          <cell r="J1338" t="str">
            <v>Shanghai</v>
          </cell>
          <cell r="K1338" t="str">
            <v>Chinese employees</v>
          </cell>
          <cell r="L1338" t="str">
            <v>L1</v>
          </cell>
          <cell r="M1338" t="str">
            <v>ALL</v>
          </cell>
          <cell r="N1338" t="str">
            <v>FLPC(含奖金)</v>
          </cell>
          <cell r="O1338" t="str">
            <v>USD/小时</v>
          </cell>
          <cell r="P1338">
            <v>16.82</v>
          </cell>
        </row>
        <row r="1339">
          <cell r="A1339" t="str">
            <v>Kracnodar - Chinese employees - L1</v>
          </cell>
          <cell r="B1339" t="str">
            <v>Current version</v>
          </cell>
          <cell r="C1339" t="str">
            <v>V2009R2</v>
          </cell>
          <cell r="D1339" t="str">
            <v>Labor Rate</v>
          </cell>
          <cell r="E1339" t="str">
            <v>CIS</v>
          </cell>
          <cell r="F1339" t="str">
            <v>Russia</v>
          </cell>
          <cell r="G1339" t="str">
            <v>Russia Rep.O.</v>
          </cell>
          <cell r="H1339" t="str">
            <v>3028</v>
          </cell>
          <cell r="I1339" t="str">
            <v>克拉斯诺达尔</v>
          </cell>
          <cell r="J1339" t="str">
            <v>Kracnodar</v>
          </cell>
          <cell r="K1339" t="str">
            <v>Chinese employees</v>
          </cell>
          <cell r="L1339" t="str">
            <v>L1</v>
          </cell>
          <cell r="M1339" t="str">
            <v>ALL</v>
          </cell>
          <cell r="N1339" t="str">
            <v>FLPC(含奖金)</v>
          </cell>
          <cell r="O1339" t="str">
            <v>USD/小时</v>
          </cell>
          <cell r="P1339">
            <v>63.68</v>
          </cell>
        </row>
        <row r="1340">
          <cell r="A1340" t="str">
            <v>Kracnodar - Chinese employees - L2</v>
          </cell>
          <cell r="B1340" t="str">
            <v>Current version</v>
          </cell>
          <cell r="C1340" t="str">
            <v>V2009R2</v>
          </cell>
          <cell r="D1340" t="str">
            <v>Labor Rate</v>
          </cell>
          <cell r="E1340" t="str">
            <v>CIS</v>
          </cell>
          <cell r="F1340" t="str">
            <v>Russia</v>
          </cell>
          <cell r="G1340" t="str">
            <v>Russia Rep.O.</v>
          </cell>
          <cell r="H1340" t="str">
            <v>3028</v>
          </cell>
          <cell r="I1340" t="str">
            <v>克拉斯诺达尔</v>
          </cell>
          <cell r="J1340" t="str">
            <v>Kracnodar</v>
          </cell>
          <cell r="K1340" t="str">
            <v>Chinese employees</v>
          </cell>
          <cell r="L1340" t="str">
            <v>L2</v>
          </cell>
          <cell r="M1340" t="str">
            <v>ALL</v>
          </cell>
          <cell r="N1340" t="str">
            <v>FLPC(含奖金)</v>
          </cell>
          <cell r="O1340" t="str">
            <v>USD/小时</v>
          </cell>
          <cell r="P1340">
            <v>71.930000000000007</v>
          </cell>
        </row>
        <row r="1341">
          <cell r="A1341" t="str">
            <v>Kracnodar - Chinese employees - L3</v>
          </cell>
          <cell r="B1341" t="str">
            <v>Current version</v>
          </cell>
          <cell r="C1341" t="str">
            <v>V2009R2</v>
          </cell>
          <cell r="D1341" t="str">
            <v>Labor Rate</v>
          </cell>
          <cell r="E1341" t="str">
            <v>CIS</v>
          </cell>
          <cell r="F1341" t="str">
            <v>Russia</v>
          </cell>
          <cell r="G1341" t="str">
            <v>Russia Rep.O.</v>
          </cell>
          <cell r="H1341" t="str">
            <v>3028</v>
          </cell>
          <cell r="I1341" t="str">
            <v>克拉斯诺达尔</v>
          </cell>
          <cell r="J1341" t="str">
            <v>Kracnodar</v>
          </cell>
          <cell r="K1341" t="str">
            <v>Chinese employees</v>
          </cell>
          <cell r="L1341" t="str">
            <v>L3</v>
          </cell>
          <cell r="M1341" t="str">
            <v>ALL</v>
          </cell>
          <cell r="N1341" t="str">
            <v>FLPC(含奖金)</v>
          </cell>
          <cell r="O1341" t="str">
            <v>USD/小时</v>
          </cell>
          <cell r="P1341">
            <v>83.76</v>
          </cell>
        </row>
        <row r="1342">
          <cell r="A1342" t="str">
            <v>Kracnodar - Chinese employees - L4</v>
          </cell>
          <cell r="B1342" t="str">
            <v>Current version</v>
          </cell>
          <cell r="C1342" t="str">
            <v>V2009R2</v>
          </cell>
          <cell r="D1342" t="str">
            <v>Labor Rate</v>
          </cell>
          <cell r="E1342" t="str">
            <v>CIS</v>
          </cell>
          <cell r="F1342" t="str">
            <v>Russia</v>
          </cell>
          <cell r="G1342" t="str">
            <v>Russia Rep.O.</v>
          </cell>
          <cell r="H1342" t="str">
            <v>3028</v>
          </cell>
          <cell r="I1342" t="str">
            <v>克拉斯诺达尔</v>
          </cell>
          <cell r="J1342" t="str">
            <v>Kracnodar</v>
          </cell>
          <cell r="K1342" t="str">
            <v>Chinese employees</v>
          </cell>
          <cell r="L1342" t="str">
            <v>L4</v>
          </cell>
          <cell r="M1342" t="str">
            <v>ALL</v>
          </cell>
          <cell r="N1342" t="str">
            <v>FLPC(含奖金)</v>
          </cell>
          <cell r="O1342" t="str">
            <v>USD/小时</v>
          </cell>
          <cell r="P1342">
            <v>126.27</v>
          </cell>
        </row>
        <row r="1343">
          <cell r="A1343" t="str">
            <v>Irkusk - Chinese employees - L0</v>
          </cell>
          <cell r="B1343" t="str">
            <v>Current version</v>
          </cell>
          <cell r="C1343" t="str">
            <v>V2009R2</v>
          </cell>
          <cell r="D1343" t="str">
            <v>Labor Rate</v>
          </cell>
          <cell r="E1343" t="str">
            <v>CIS</v>
          </cell>
          <cell r="F1343" t="str">
            <v>Russia</v>
          </cell>
          <cell r="G1343" t="str">
            <v>Russia Rep.O.</v>
          </cell>
          <cell r="H1343" t="str">
            <v>3029</v>
          </cell>
          <cell r="I1343" t="str">
            <v>伊尔库斯克</v>
          </cell>
          <cell r="J1343" t="str">
            <v>Irkusk</v>
          </cell>
          <cell r="K1343" t="str">
            <v>Chinese employees</v>
          </cell>
          <cell r="L1343" t="str">
            <v>L0</v>
          </cell>
          <cell r="M1343" t="str">
            <v>ALL</v>
          </cell>
          <cell r="N1343" t="str">
            <v>FLPC(含奖金)</v>
          </cell>
          <cell r="O1343" t="str">
            <v>USD/小时</v>
          </cell>
          <cell r="P1343">
            <v>57.12</v>
          </cell>
        </row>
        <row r="1344">
          <cell r="A1344" t="str">
            <v>Irkusk - Chinese employees - L1</v>
          </cell>
          <cell r="B1344" t="str">
            <v>Current version</v>
          </cell>
          <cell r="C1344" t="str">
            <v>V2009R2</v>
          </cell>
          <cell r="D1344" t="str">
            <v>Labor Rate</v>
          </cell>
          <cell r="E1344" t="str">
            <v>CIS</v>
          </cell>
          <cell r="F1344" t="str">
            <v>Russia</v>
          </cell>
          <cell r="G1344" t="str">
            <v>Russia Rep.O.</v>
          </cell>
          <cell r="H1344" t="str">
            <v>3029</v>
          </cell>
          <cell r="I1344" t="str">
            <v>伊尔库斯克</v>
          </cell>
          <cell r="J1344" t="str">
            <v>Irkusk</v>
          </cell>
          <cell r="K1344" t="str">
            <v>Chinese employees</v>
          </cell>
          <cell r="L1344" t="str">
            <v>L1</v>
          </cell>
          <cell r="M1344" t="str">
            <v>ALL</v>
          </cell>
          <cell r="N1344" t="str">
            <v>FLPC(含奖金)</v>
          </cell>
          <cell r="O1344" t="str">
            <v>USD/小时</v>
          </cell>
          <cell r="P1344">
            <v>63.68</v>
          </cell>
        </row>
        <row r="1345">
          <cell r="A1345" t="str">
            <v>Irkusk - Chinese employees - L2</v>
          </cell>
          <cell r="B1345" t="str">
            <v>Current version</v>
          </cell>
          <cell r="C1345" t="str">
            <v>V2009R2</v>
          </cell>
          <cell r="D1345" t="str">
            <v>Labor Rate</v>
          </cell>
          <cell r="E1345" t="str">
            <v>CIS</v>
          </cell>
          <cell r="F1345" t="str">
            <v>Russia</v>
          </cell>
          <cell r="G1345" t="str">
            <v>Russia Rep.O.</v>
          </cell>
          <cell r="H1345" t="str">
            <v>3029</v>
          </cell>
          <cell r="I1345" t="str">
            <v>伊尔库斯克</v>
          </cell>
          <cell r="J1345" t="str">
            <v>Irkusk</v>
          </cell>
          <cell r="K1345" t="str">
            <v>Chinese employees</v>
          </cell>
          <cell r="L1345" t="str">
            <v>L2</v>
          </cell>
          <cell r="M1345" t="str">
            <v>ALL</v>
          </cell>
          <cell r="N1345" t="str">
            <v>FLPC(含奖金)</v>
          </cell>
          <cell r="O1345" t="str">
            <v>USD/小时</v>
          </cell>
          <cell r="P1345">
            <v>71.930000000000007</v>
          </cell>
        </row>
        <row r="1346">
          <cell r="A1346" t="str">
            <v>Irkusk - Chinese employees - L3</v>
          </cell>
          <cell r="B1346" t="str">
            <v>Current version</v>
          </cell>
          <cell r="C1346" t="str">
            <v>V2009R2</v>
          </cell>
          <cell r="D1346" t="str">
            <v>Labor Rate</v>
          </cell>
          <cell r="E1346" t="str">
            <v>CIS</v>
          </cell>
          <cell r="F1346" t="str">
            <v>Russia</v>
          </cell>
          <cell r="G1346" t="str">
            <v>Russia Rep.O.</v>
          </cell>
          <cell r="H1346" t="str">
            <v>3029</v>
          </cell>
          <cell r="I1346" t="str">
            <v>伊尔库斯克</v>
          </cell>
          <cell r="J1346" t="str">
            <v>Irkusk</v>
          </cell>
          <cell r="K1346" t="str">
            <v>Chinese employees</v>
          </cell>
          <cell r="L1346" t="str">
            <v>L3</v>
          </cell>
          <cell r="M1346" t="str">
            <v>ALL</v>
          </cell>
          <cell r="N1346" t="str">
            <v>FLPC(含奖金)</v>
          </cell>
          <cell r="O1346" t="str">
            <v>USD/小时</v>
          </cell>
          <cell r="P1346">
            <v>83.76</v>
          </cell>
        </row>
        <row r="1347">
          <cell r="A1347" t="str">
            <v>Irkusk - Chinese employees - L4</v>
          </cell>
          <cell r="B1347" t="str">
            <v>Current version</v>
          </cell>
          <cell r="C1347" t="str">
            <v>V2009R2</v>
          </cell>
          <cell r="D1347" t="str">
            <v>Labor Rate</v>
          </cell>
          <cell r="E1347" t="str">
            <v>CIS</v>
          </cell>
          <cell r="F1347" t="str">
            <v>Russia</v>
          </cell>
          <cell r="G1347" t="str">
            <v>Russia Rep.O.</v>
          </cell>
          <cell r="H1347" t="str">
            <v>3029</v>
          </cell>
          <cell r="I1347" t="str">
            <v>伊尔库斯克</v>
          </cell>
          <cell r="J1347" t="str">
            <v>Irkusk</v>
          </cell>
          <cell r="K1347" t="str">
            <v>Chinese employees</v>
          </cell>
          <cell r="L1347" t="str">
            <v>L4</v>
          </cell>
          <cell r="M1347" t="str">
            <v>ALL</v>
          </cell>
          <cell r="N1347" t="str">
            <v>FLPC(含奖金)</v>
          </cell>
          <cell r="O1347" t="str">
            <v>USD/小时</v>
          </cell>
          <cell r="P1347">
            <v>126.27</v>
          </cell>
        </row>
        <row r="1348">
          <cell r="A1348" t="str">
            <v>Kazan - Chinese employees - L0</v>
          </cell>
          <cell r="B1348" t="str">
            <v>Current version</v>
          </cell>
          <cell r="C1348" t="str">
            <v>V2009R2</v>
          </cell>
          <cell r="D1348" t="str">
            <v>Labor Rate</v>
          </cell>
          <cell r="E1348" t="str">
            <v>CIS</v>
          </cell>
          <cell r="F1348" t="str">
            <v>Russia</v>
          </cell>
          <cell r="G1348" t="str">
            <v>Russia Rep.O.</v>
          </cell>
          <cell r="H1348" t="str">
            <v>3030</v>
          </cell>
          <cell r="I1348" t="str">
            <v>喀山</v>
          </cell>
          <cell r="J1348" t="str">
            <v>Kazan</v>
          </cell>
          <cell r="K1348" t="str">
            <v>Chinese employees</v>
          </cell>
          <cell r="L1348" t="str">
            <v>L0</v>
          </cell>
          <cell r="M1348" t="str">
            <v>ALL</v>
          </cell>
          <cell r="N1348" t="str">
            <v>FLPC(含奖金)</v>
          </cell>
          <cell r="O1348" t="str">
            <v>USD/小时</v>
          </cell>
          <cell r="P1348">
            <v>57.12</v>
          </cell>
        </row>
        <row r="1349">
          <cell r="A1349" t="str">
            <v>Kazan - Chinese employees - L1</v>
          </cell>
          <cell r="B1349" t="str">
            <v>Current version</v>
          </cell>
          <cell r="C1349" t="str">
            <v>V2009R2</v>
          </cell>
          <cell r="D1349" t="str">
            <v>Labor Rate</v>
          </cell>
          <cell r="E1349" t="str">
            <v>CIS</v>
          </cell>
          <cell r="F1349" t="str">
            <v>Russia</v>
          </cell>
          <cell r="G1349" t="str">
            <v>Russia Rep.O.</v>
          </cell>
          <cell r="H1349" t="str">
            <v>3030</v>
          </cell>
          <cell r="I1349" t="str">
            <v>喀山</v>
          </cell>
          <cell r="J1349" t="str">
            <v>Kazan</v>
          </cell>
          <cell r="K1349" t="str">
            <v>Chinese employees</v>
          </cell>
          <cell r="L1349" t="str">
            <v>L1</v>
          </cell>
          <cell r="M1349" t="str">
            <v>ALL</v>
          </cell>
          <cell r="N1349" t="str">
            <v>FLPC(含奖金)</v>
          </cell>
          <cell r="O1349" t="str">
            <v>USD/小时</v>
          </cell>
          <cell r="P1349">
            <v>63.68</v>
          </cell>
        </row>
        <row r="1350">
          <cell r="A1350" t="str">
            <v>Kazan - Chinese employees - L2</v>
          </cell>
          <cell r="B1350" t="str">
            <v>Current version</v>
          </cell>
          <cell r="C1350" t="str">
            <v>V2009R2</v>
          </cell>
          <cell r="D1350" t="str">
            <v>Labor Rate</v>
          </cell>
          <cell r="E1350" t="str">
            <v>CIS</v>
          </cell>
          <cell r="F1350" t="str">
            <v>Russia</v>
          </cell>
          <cell r="G1350" t="str">
            <v>Russia Rep.O.</v>
          </cell>
          <cell r="H1350" t="str">
            <v>3030</v>
          </cell>
          <cell r="I1350" t="str">
            <v>喀山</v>
          </cell>
          <cell r="J1350" t="str">
            <v>Kazan</v>
          </cell>
          <cell r="K1350" t="str">
            <v>Chinese employees</v>
          </cell>
          <cell r="L1350" t="str">
            <v>L2</v>
          </cell>
          <cell r="M1350" t="str">
            <v>ALL</v>
          </cell>
          <cell r="N1350" t="str">
            <v>FLPC(含奖金)</v>
          </cell>
          <cell r="O1350" t="str">
            <v>USD/小时</v>
          </cell>
          <cell r="P1350">
            <v>71.930000000000007</v>
          </cell>
        </row>
        <row r="1351">
          <cell r="A1351" t="str">
            <v>Kazan - Chinese employees - L3</v>
          </cell>
          <cell r="B1351" t="str">
            <v>Current version</v>
          </cell>
          <cell r="C1351" t="str">
            <v>V2009R2</v>
          </cell>
          <cell r="D1351" t="str">
            <v>Labor Rate</v>
          </cell>
          <cell r="E1351" t="str">
            <v>CIS</v>
          </cell>
          <cell r="F1351" t="str">
            <v>Russia</v>
          </cell>
          <cell r="G1351" t="str">
            <v>Russia Rep.O.</v>
          </cell>
          <cell r="H1351" t="str">
            <v>3030</v>
          </cell>
          <cell r="I1351" t="str">
            <v>喀山</v>
          </cell>
          <cell r="J1351" t="str">
            <v>Kazan</v>
          </cell>
          <cell r="K1351" t="str">
            <v>Chinese employees</v>
          </cell>
          <cell r="L1351" t="str">
            <v>L3</v>
          </cell>
          <cell r="M1351" t="str">
            <v>ALL</v>
          </cell>
          <cell r="N1351" t="str">
            <v>FLPC(含奖金)</v>
          </cell>
          <cell r="O1351" t="str">
            <v>USD/小时</v>
          </cell>
          <cell r="P1351">
            <v>83.76</v>
          </cell>
        </row>
        <row r="1352">
          <cell r="A1352" t="str">
            <v>Kazan - Chinese employees - L4</v>
          </cell>
          <cell r="B1352" t="str">
            <v>Current version</v>
          </cell>
          <cell r="C1352" t="str">
            <v>V2009R2</v>
          </cell>
          <cell r="D1352" t="str">
            <v>Labor Rate</v>
          </cell>
          <cell r="E1352" t="str">
            <v>CIS</v>
          </cell>
          <cell r="F1352" t="str">
            <v>Russia</v>
          </cell>
          <cell r="G1352" t="str">
            <v>Russia Rep.O.</v>
          </cell>
          <cell r="H1352" t="str">
            <v>3030</v>
          </cell>
          <cell r="I1352" t="str">
            <v>喀山</v>
          </cell>
          <cell r="J1352" t="str">
            <v>Kazan</v>
          </cell>
          <cell r="K1352" t="str">
            <v>Chinese employees</v>
          </cell>
          <cell r="L1352" t="str">
            <v>L4</v>
          </cell>
          <cell r="M1352" t="str">
            <v>ALL</v>
          </cell>
          <cell r="N1352" t="str">
            <v>FLPC(含奖金)</v>
          </cell>
          <cell r="O1352" t="str">
            <v>USD/小时</v>
          </cell>
          <cell r="P1352">
            <v>126.27</v>
          </cell>
        </row>
        <row r="1353">
          <cell r="A1353" t="str">
            <v>Guinea - Local employees - L3</v>
          </cell>
          <cell r="B1353" t="str">
            <v>Current version</v>
          </cell>
          <cell r="C1353" t="str">
            <v>V2009R2</v>
          </cell>
          <cell r="D1353" t="str">
            <v>Labor Rate</v>
          </cell>
          <cell r="E1353" t="str">
            <v>SA</v>
          </cell>
          <cell r="F1353" t="str">
            <v>Western Africa Sub-Regional Division</v>
          </cell>
          <cell r="G1353" t="str">
            <v>Cote D’Ivoire Rep.O.</v>
          </cell>
          <cell r="H1353" t="str">
            <v>4027</v>
          </cell>
          <cell r="I1353" t="str">
            <v>几内亚</v>
          </cell>
          <cell r="J1353" t="str">
            <v>Guinea</v>
          </cell>
          <cell r="K1353" t="str">
            <v>Local employees</v>
          </cell>
          <cell r="L1353" t="str">
            <v>L3</v>
          </cell>
          <cell r="M1353" t="str">
            <v>ALL</v>
          </cell>
          <cell r="N1353" t="str">
            <v>FLPC(含奖金)</v>
          </cell>
          <cell r="O1353" t="str">
            <v>USD/小时</v>
          </cell>
          <cell r="P1353">
            <v>24.6</v>
          </cell>
        </row>
        <row r="1354">
          <cell r="A1354" t="str">
            <v>Guinea - Local employees - L4</v>
          </cell>
          <cell r="B1354" t="str">
            <v>Current version</v>
          </cell>
          <cell r="C1354" t="str">
            <v>V2009R2</v>
          </cell>
          <cell r="D1354" t="str">
            <v>Labor Rate</v>
          </cell>
          <cell r="E1354" t="str">
            <v>SA</v>
          </cell>
          <cell r="F1354" t="str">
            <v>Western Africa Sub-Regional Division</v>
          </cell>
          <cell r="G1354" t="str">
            <v>Cote D’Ivoire Rep.O.</v>
          </cell>
          <cell r="H1354" t="str">
            <v>4027</v>
          </cell>
          <cell r="I1354" t="str">
            <v>几内亚</v>
          </cell>
          <cell r="J1354" t="str">
            <v>Guinea</v>
          </cell>
          <cell r="K1354" t="str">
            <v>Local employees</v>
          </cell>
          <cell r="L1354" t="str">
            <v>L4</v>
          </cell>
          <cell r="M1354" t="str">
            <v>ALL</v>
          </cell>
          <cell r="N1354" t="str">
            <v>FLPC(含奖金)</v>
          </cell>
          <cell r="O1354" t="str">
            <v>USD/小时</v>
          </cell>
          <cell r="P1354">
            <v>34.15</v>
          </cell>
        </row>
        <row r="1355">
          <cell r="A1355" t="str">
            <v>Guinea-Bissau - Local employees - L0</v>
          </cell>
          <cell r="B1355" t="str">
            <v>Current version</v>
          </cell>
          <cell r="C1355" t="str">
            <v>V2009R2</v>
          </cell>
          <cell r="D1355" t="str">
            <v>Labor Rate</v>
          </cell>
          <cell r="E1355" t="str">
            <v>SA</v>
          </cell>
          <cell r="F1355" t="str">
            <v>Western Africa Sub-Regional Division</v>
          </cell>
          <cell r="G1355" t="str">
            <v>Cote D’Ivoire Rep.O.</v>
          </cell>
          <cell r="H1355" t="str">
            <v>4044</v>
          </cell>
          <cell r="I1355" t="str">
            <v>几内亚比绍</v>
          </cell>
          <cell r="J1355" t="str">
            <v>Guinea-Bissau</v>
          </cell>
          <cell r="K1355" t="str">
            <v>Local employees</v>
          </cell>
          <cell r="L1355" t="str">
            <v>L0</v>
          </cell>
          <cell r="M1355" t="str">
            <v>ALL</v>
          </cell>
          <cell r="N1355" t="str">
            <v>FLPC(含奖金)</v>
          </cell>
          <cell r="O1355" t="str">
            <v>USD/小时</v>
          </cell>
          <cell r="P1355">
            <v>14.2</v>
          </cell>
        </row>
        <row r="1356">
          <cell r="A1356" t="str">
            <v>Guinea-Bissau - Local employees - L1</v>
          </cell>
          <cell r="B1356" t="str">
            <v>Current version</v>
          </cell>
          <cell r="C1356" t="str">
            <v>V2009R2</v>
          </cell>
          <cell r="D1356" t="str">
            <v>Labor Rate</v>
          </cell>
          <cell r="E1356" t="str">
            <v>SA</v>
          </cell>
          <cell r="F1356" t="str">
            <v>Western Africa Sub-Regional Division</v>
          </cell>
          <cell r="G1356" t="str">
            <v>Cote D’Ivoire Rep.O.</v>
          </cell>
          <cell r="H1356" t="str">
            <v>4044</v>
          </cell>
          <cell r="I1356" t="str">
            <v>几内亚比绍</v>
          </cell>
          <cell r="J1356" t="str">
            <v>Guinea-Bissau</v>
          </cell>
          <cell r="K1356" t="str">
            <v>Local employees</v>
          </cell>
          <cell r="L1356" t="str">
            <v>L1</v>
          </cell>
          <cell r="M1356" t="str">
            <v>ALL</v>
          </cell>
          <cell r="N1356" t="str">
            <v>FLPC(含奖金)</v>
          </cell>
          <cell r="O1356" t="str">
            <v>USD/小时</v>
          </cell>
          <cell r="P1356">
            <v>16.079999999999998</v>
          </cell>
        </row>
        <row r="1357">
          <cell r="A1357" t="str">
            <v>Guinea-Bissau - Local employees - L2</v>
          </cell>
          <cell r="B1357" t="str">
            <v>Current version</v>
          </cell>
          <cell r="C1357" t="str">
            <v>V2009R2</v>
          </cell>
          <cell r="D1357" t="str">
            <v>Labor Rate</v>
          </cell>
          <cell r="E1357" t="str">
            <v>SA</v>
          </cell>
          <cell r="F1357" t="str">
            <v>Western Africa Sub-Regional Division</v>
          </cell>
          <cell r="G1357" t="str">
            <v>Cote D’Ivoire Rep.O.</v>
          </cell>
          <cell r="H1357" t="str">
            <v>4044</v>
          </cell>
          <cell r="I1357" t="str">
            <v>几内亚比绍</v>
          </cell>
          <cell r="J1357" t="str">
            <v>Guinea-Bissau</v>
          </cell>
          <cell r="K1357" t="str">
            <v>Local employees</v>
          </cell>
          <cell r="L1357" t="str">
            <v>L2</v>
          </cell>
          <cell r="M1357" t="str">
            <v>ALL</v>
          </cell>
          <cell r="N1357" t="str">
            <v>FLPC(含奖金)</v>
          </cell>
          <cell r="O1357" t="str">
            <v>USD/小时</v>
          </cell>
          <cell r="P1357">
            <v>19.07</v>
          </cell>
        </row>
        <row r="1358">
          <cell r="A1358" t="str">
            <v>Guinea-Bissau - Local employees - L3</v>
          </cell>
          <cell r="B1358" t="str">
            <v>Current version</v>
          </cell>
          <cell r="C1358" t="str">
            <v>V2009R2</v>
          </cell>
          <cell r="D1358" t="str">
            <v>Labor Rate</v>
          </cell>
          <cell r="E1358" t="str">
            <v>SA</v>
          </cell>
          <cell r="F1358" t="str">
            <v>Western Africa Sub-Regional Division</v>
          </cell>
          <cell r="G1358" t="str">
            <v>Cote D’Ivoire Rep.O.</v>
          </cell>
          <cell r="H1358" t="str">
            <v>4044</v>
          </cell>
          <cell r="I1358" t="str">
            <v>几内亚比绍</v>
          </cell>
          <cell r="J1358" t="str">
            <v>Guinea-Bissau</v>
          </cell>
          <cell r="K1358" t="str">
            <v>Local employees</v>
          </cell>
          <cell r="L1358" t="str">
            <v>L3</v>
          </cell>
          <cell r="M1358" t="str">
            <v>ALL</v>
          </cell>
          <cell r="N1358" t="str">
            <v>FLPC(含奖金)</v>
          </cell>
          <cell r="O1358" t="str">
            <v>USD/小时</v>
          </cell>
          <cell r="P1358">
            <v>24.6</v>
          </cell>
        </row>
        <row r="1359">
          <cell r="A1359" t="str">
            <v>Guinea-Bissau - Local employees - L4</v>
          </cell>
          <cell r="B1359" t="str">
            <v>Current version</v>
          </cell>
          <cell r="C1359" t="str">
            <v>V2009R2</v>
          </cell>
          <cell r="D1359" t="str">
            <v>Labor Rate</v>
          </cell>
          <cell r="E1359" t="str">
            <v>SA</v>
          </cell>
          <cell r="F1359" t="str">
            <v>Western Africa Sub-Regional Division</v>
          </cell>
          <cell r="G1359" t="str">
            <v>Cote D’Ivoire Rep.O.</v>
          </cell>
          <cell r="H1359" t="str">
            <v>4044</v>
          </cell>
          <cell r="I1359" t="str">
            <v>几内亚比绍</v>
          </cell>
          <cell r="J1359" t="str">
            <v>Guinea-Bissau</v>
          </cell>
          <cell r="K1359" t="str">
            <v>Local employees</v>
          </cell>
          <cell r="L1359" t="str">
            <v>L4</v>
          </cell>
          <cell r="M1359" t="str">
            <v>ALL</v>
          </cell>
          <cell r="N1359" t="str">
            <v>FLPC(含奖金)</v>
          </cell>
          <cell r="O1359" t="str">
            <v>USD/小时</v>
          </cell>
          <cell r="P1359">
            <v>34.15</v>
          </cell>
        </row>
        <row r="1360">
          <cell r="A1360" t="str">
            <v>Cameroon - Local employees - L1</v>
          </cell>
          <cell r="B1360" t="str">
            <v>Current version</v>
          </cell>
          <cell r="C1360" t="str">
            <v>V2009R2</v>
          </cell>
          <cell r="D1360" t="str">
            <v>Labor Rate</v>
          </cell>
          <cell r="E1360" t="str">
            <v>SA</v>
          </cell>
          <cell r="F1360" t="str">
            <v>Western Africa Sub-Regional Division</v>
          </cell>
          <cell r="G1360" t="str">
            <v>Cameroon Rep.O.</v>
          </cell>
          <cell r="H1360" t="str">
            <v>4019</v>
          </cell>
          <cell r="I1360" t="str">
            <v>喀麦隆</v>
          </cell>
          <cell r="J1360" t="str">
            <v>Cameroon</v>
          </cell>
          <cell r="K1360" t="str">
            <v>Local employees</v>
          </cell>
          <cell r="L1360" t="str">
            <v>L1</v>
          </cell>
          <cell r="M1360" t="str">
            <v>ALL</v>
          </cell>
          <cell r="N1360" t="str">
            <v>FLPC(含奖金)</v>
          </cell>
          <cell r="O1360" t="str">
            <v>USD/小时</v>
          </cell>
          <cell r="P1360">
            <v>25.24</v>
          </cell>
        </row>
        <row r="1361">
          <cell r="A1361" t="str">
            <v>Cameroon - Local employees - L2</v>
          </cell>
          <cell r="B1361" t="str">
            <v>Current version</v>
          </cell>
          <cell r="C1361" t="str">
            <v>V2009R2</v>
          </cell>
          <cell r="D1361" t="str">
            <v>Labor Rate</v>
          </cell>
          <cell r="E1361" t="str">
            <v>SA</v>
          </cell>
          <cell r="F1361" t="str">
            <v>Western Africa Sub-Regional Division</v>
          </cell>
          <cell r="G1361" t="str">
            <v>Cameroon Rep.O.</v>
          </cell>
          <cell r="H1361" t="str">
            <v>4019</v>
          </cell>
          <cell r="I1361" t="str">
            <v>喀麦隆</v>
          </cell>
          <cell r="J1361" t="str">
            <v>Cameroon</v>
          </cell>
          <cell r="K1361" t="str">
            <v>Local employees</v>
          </cell>
          <cell r="L1361" t="str">
            <v>L2</v>
          </cell>
          <cell r="M1361" t="str">
            <v>ALL</v>
          </cell>
          <cell r="N1361" t="str">
            <v>FLPC(含奖金)</v>
          </cell>
          <cell r="O1361" t="str">
            <v>USD/小时</v>
          </cell>
          <cell r="P1361">
            <v>28.49</v>
          </cell>
        </row>
        <row r="1362">
          <cell r="A1362" t="str">
            <v>Cameroon - Local employees - L3</v>
          </cell>
          <cell r="B1362" t="str">
            <v>Current version</v>
          </cell>
          <cell r="C1362" t="str">
            <v>V2009R2</v>
          </cell>
          <cell r="D1362" t="str">
            <v>Labor Rate</v>
          </cell>
          <cell r="E1362" t="str">
            <v>SA</v>
          </cell>
          <cell r="F1362" t="str">
            <v>Western Africa Sub-Regional Division</v>
          </cell>
          <cell r="G1362" t="str">
            <v>Cameroon Rep.O.</v>
          </cell>
          <cell r="H1362" t="str">
            <v>4019</v>
          </cell>
          <cell r="I1362" t="str">
            <v>喀麦隆</v>
          </cell>
          <cell r="J1362" t="str">
            <v>Cameroon</v>
          </cell>
          <cell r="K1362" t="str">
            <v>Local employees</v>
          </cell>
          <cell r="L1362" t="str">
            <v>L3</v>
          </cell>
          <cell r="M1362" t="str">
            <v>ALL</v>
          </cell>
          <cell r="N1362" t="str">
            <v>FLPC(含奖金)</v>
          </cell>
          <cell r="O1362" t="str">
            <v>USD/小时</v>
          </cell>
          <cell r="P1362">
            <v>41.07</v>
          </cell>
        </row>
        <row r="1363">
          <cell r="A1363" t="str">
            <v>Cameroon - Local employees - L4</v>
          </cell>
          <cell r="B1363" t="str">
            <v>Current version</v>
          </cell>
          <cell r="C1363" t="str">
            <v>V2009R2</v>
          </cell>
          <cell r="D1363" t="str">
            <v>Labor Rate</v>
          </cell>
          <cell r="E1363" t="str">
            <v>SA</v>
          </cell>
          <cell r="F1363" t="str">
            <v>Western Africa Sub-Regional Division</v>
          </cell>
          <cell r="G1363" t="str">
            <v>Cameroon Rep.O.</v>
          </cell>
          <cell r="H1363" t="str">
            <v>4019</v>
          </cell>
          <cell r="I1363" t="str">
            <v>喀麦隆</v>
          </cell>
          <cell r="J1363" t="str">
            <v>Cameroon</v>
          </cell>
          <cell r="K1363" t="str">
            <v>Local employees</v>
          </cell>
          <cell r="L1363" t="str">
            <v>L4</v>
          </cell>
          <cell r="M1363" t="str">
            <v>ALL</v>
          </cell>
          <cell r="N1363" t="str">
            <v>FLPC(含奖金)</v>
          </cell>
          <cell r="O1363" t="str">
            <v>USD/小时</v>
          </cell>
          <cell r="P1363">
            <v>66.53</v>
          </cell>
        </row>
        <row r="1364">
          <cell r="A1364" t="str">
            <v>Central Africa - Local employees - L1</v>
          </cell>
          <cell r="B1364" t="str">
            <v>Current version</v>
          </cell>
          <cell r="C1364" t="str">
            <v>V2009R2</v>
          </cell>
          <cell r="D1364" t="str">
            <v>Labor Rate</v>
          </cell>
          <cell r="E1364" t="str">
            <v>SA</v>
          </cell>
          <cell r="F1364" t="str">
            <v>Western Africa Sub-Regional Division</v>
          </cell>
          <cell r="G1364" t="str">
            <v>Cameroon Rep.O.</v>
          </cell>
          <cell r="H1364" t="str">
            <v>4038</v>
          </cell>
          <cell r="I1364" t="str">
            <v>中非</v>
          </cell>
          <cell r="J1364" t="str">
            <v>Central Africa</v>
          </cell>
          <cell r="K1364" t="str">
            <v>Local employees</v>
          </cell>
          <cell r="L1364" t="str">
            <v>L1</v>
          </cell>
          <cell r="M1364" t="str">
            <v>ALL</v>
          </cell>
          <cell r="N1364" t="str">
            <v>FLPC(含奖金)</v>
          </cell>
          <cell r="O1364" t="str">
            <v>USD/小时</v>
          </cell>
          <cell r="P1364">
            <v>26.6</v>
          </cell>
        </row>
        <row r="1365">
          <cell r="A1365" t="str">
            <v>Central Africa - Local employees - L2</v>
          </cell>
          <cell r="B1365" t="str">
            <v>Current version</v>
          </cell>
          <cell r="C1365" t="str">
            <v>V2009R2</v>
          </cell>
          <cell r="D1365" t="str">
            <v>Labor Rate</v>
          </cell>
          <cell r="E1365" t="str">
            <v>SA</v>
          </cell>
          <cell r="F1365" t="str">
            <v>Western Africa Sub-Regional Division</v>
          </cell>
          <cell r="G1365" t="str">
            <v>Cameroon Rep.O.</v>
          </cell>
          <cell r="H1365" t="str">
            <v>4038</v>
          </cell>
          <cell r="I1365" t="str">
            <v>中非</v>
          </cell>
          <cell r="J1365" t="str">
            <v>Central Africa</v>
          </cell>
          <cell r="K1365" t="str">
            <v>Local employees</v>
          </cell>
          <cell r="L1365" t="str">
            <v>L2</v>
          </cell>
          <cell r="M1365" t="str">
            <v>ALL</v>
          </cell>
          <cell r="N1365" t="str">
            <v>FLPC(含奖金)</v>
          </cell>
          <cell r="O1365" t="str">
            <v>USD/小时</v>
          </cell>
          <cell r="P1365">
            <v>30.33</v>
          </cell>
        </row>
        <row r="1366">
          <cell r="A1366" t="str">
            <v>Central Africa - Local employees - L3</v>
          </cell>
          <cell r="B1366" t="str">
            <v>Current version</v>
          </cell>
          <cell r="C1366" t="str">
            <v>V2009R2</v>
          </cell>
          <cell r="D1366" t="str">
            <v>Labor Rate</v>
          </cell>
          <cell r="E1366" t="str">
            <v>SA</v>
          </cell>
          <cell r="F1366" t="str">
            <v>Western Africa Sub-Regional Division</v>
          </cell>
          <cell r="G1366" t="str">
            <v>Cameroon Rep.O.</v>
          </cell>
          <cell r="H1366" t="str">
            <v>4038</v>
          </cell>
          <cell r="I1366" t="str">
            <v>中非</v>
          </cell>
          <cell r="J1366" t="str">
            <v>Central Africa</v>
          </cell>
          <cell r="K1366" t="str">
            <v>Local employees</v>
          </cell>
          <cell r="L1366" t="str">
            <v>L3</v>
          </cell>
          <cell r="M1366" t="str">
            <v>ALL</v>
          </cell>
          <cell r="N1366" t="str">
            <v>FLPC(含奖金)</v>
          </cell>
          <cell r="O1366" t="str">
            <v>USD/小时</v>
          </cell>
          <cell r="P1366">
            <v>44.92</v>
          </cell>
        </row>
        <row r="1367">
          <cell r="A1367" t="str">
            <v>Central Africa - Local employees - L4</v>
          </cell>
          <cell r="B1367" t="str">
            <v>Current version</v>
          </cell>
          <cell r="C1367" t="str">
            <v>V2009R2</v>
          </cell>
          <cell r="D1367" t="str">
            <v>Labor Rate</v>
          </cell>
          <cell r="E1367" t="str">
            <v>SA</v>
          </cell>
          <cell r="F1367" t="str">
            <v>Western Africa Sub-Regional Division</v>
          </cell>
          <cell r="G1367" t="str">
            <v>Cameroon Rep.O.</v>
          </cell>
          <cell r="H1367" t="str">
            <v>4038</v>
          </cell>
          <cell r="I1367" t="str">
            <v>中非</v>
          </cell>
          <cell r="J1367" t="str">
            <v>Central Africa</v>
          </cell>
          <cell r="K1367" t="str">
            <v>Local employees</v>
          </cell>
          <cell r="L1367" t="str">
            <v>L4</v>
          </cell>
          <cell r="M1367" t="str">
            <v>ALL</v>
          </cell>
          <cell r="N1367" t="str">
            <v>FLPC(含奖金)</v>
          </cell>
          <cell r="O1367" t="str">
            <v>USD/小时</v>
          </cell>
          <cell r="P1367">
            <v>74.11</v>
          </cell>
        </row>
        <row r="1368">
          <cell r="A1368" t="str">
            <v>Gabon - Local employees - L1</v>
          </cell>
          <cell r="B1368" t="str">
            <v>Current version</v>
          </cell>
          <cell r="C1368" t="str">
            <v>V2009R2</v>
          </cell>
          <cell r="D1368" t="str">
            <v>Labor Rate</v>
          </cell>
          <cell r="E1368" t="str">
            <v>SA</v>
          </cell>
          <cell r="F1368" t="str">
            <v>Western Africa Sub-Regional Division</v>
          </cell>
          <cell r="G1368" t="str">
            <v>Cameroon Rep.O.</v>
          </cell>
          <cell r="H1368" t="str">
            <v>4041</v>
          </cell>
          <cell r="I1368" t="str">
            <v>加蓬</v>
          </cell>
          <cell r="J1368" t="str">
            <v>Gabon</v>
          </cell>
          <cell r="K1368" t="str">
            <v>Local employees</v>
          </cell>
          <cell r="L1368" t="str">
            <v>L1</v>
          </cell>
          <cell r="M1368" t="str">
            <v>ALL</v>
          </cell>
          <cell r="N1368" t="str">
            <v>FLPC(含奖金)</v>
          </cell>
          <cell r="O1368" t="str">
            <v>USD/小时</v>
          </cell>
          <cell r="P1368">
            <v>26.11</v>
          </cell>
        </row>
        <row r="1369">
          <cell r="A1369" t="str">
            <v>Gabon - Local employees - L2</v>
          </cell>
          <cell r="B1369" t="str">
            <v>Current version</v>
          </cell>
          <cell r="C1369" t="str">
            <v>V2009R2</v>
          </cell>
          <cell r="D1369" t="str">
            <v>Labor Rate</v>
          </cell>
          <cell r="E1369" t="str">
            <v>SA</v>
          </cell>
          <cell r="F1369" t="str">
            <v>Western Africa Sub-Regional Division</v>
          </cell>
          <cell r="G1369" t="str">
            <v>Cameroon Rep.O.</v>
          </cell>
          <cell r="H1369" t="str">
            <v>4041</v>
          </cell>
          <cell r="I1369" t="str">
            <v>加蓬</v>
          </cell>
          <cell r="J1369" t="str">
            <v>Gabon</v>
          </cell>
          <cell r="K1369" t="str">
            <v>Local employees</v>
          </cell>
          <cell r="L1369" t="str">
            <v>L2</v>
          </cell>
          <cell r="M1369" t="str">
            <v>ALL</v>
          </cell>
          <cell r="N1369" t="str">
            <v>FLPC(含奖金)</v>
          </cell>
          <cell r="O1369" t="str">
            <v>USD/小时</v>
          </cell>
          <cell r="P1369">
            <v>29.68</v>
          </cell>
        </row>
        <row r="1370">
          <cell r="A1370" t="str">
            <v>Gabon - Local employees - L3</v>
          </cell>
          <cell r="B1370" t="str">
            <v>Current version</v>
          </cell>
          <cell r="C1370" t="str">
            <v>V2009R2</v>
          </cell>
          <cell r="D1370" t="str">
            <v>Labor Rate</v>
          </cell>
          <cell r="E1370" t="str">
            <v>SA</v>
          </cell>
          <cell r="F1370" t="str">
            <v>Western Africa Sub-Regional Division</v>
          </cell>
          <cell r="G1370" t="str">
            <v>Cameroon Rep.O.</v>
          </cell>
          <cell r="H1370" t="str">
            <v>4041</v>
          </cell>
          <cell r="I1370" t="str">
            <v>加蓬</v>
          </cell>
          <cell r="J1370" t="str">
            <v>Gabon</v>
          </cell>
          <cell r="K1370" t="str">
            <v>Local employees</v>
          </cell>
          <cell r="L1370" t="str">
            <v>L3</v>
          </cell>
          <cell r="M1370" t="str">
            <v>ALL</v>
          </cell>
          <cell r="N1370" t="str">
            <v>FLPC(含奖金)</v>
          </cell>
          <cell r="O1370" t="str">
            <v>USD/小时</v>
          </cell>
          <cell r="P1370">
            <v>43.63</v>
          </cell>
        </row>
        <row r="1371">
          <cell r="A1371" t="str">
            <v>Gabon - Local employees - L4</v>
          </cell>
          <cell r="B1371" t="str">
            <v>Current version</v>
          </cell>
          <cell r="C1371" t="str">
            <v>V2009R2</v>
          </cell>
          <cell r="D1371" t="str">
            <v>Labor Rate</v>
          </cell>
          <cell r="E1371" t="str">
            <v>SA</v>
          </cell>
          <cell r="F1371" t="str">
            <v>Western Africa Sub-Regional Division</v>
          </cell>
          <cell r="G1371" t="str">
            <v>Cameroon Rep.O.</v>
          </cell>
          <cell r="H1371" t="str">
            <v>4041</v>
          </cell>
          <cell r="I1371" t="str">
            <v>加蓬</v>
          </cell>
          <cell r="J1371" t="str">
            <v>Gabon</v>
          </cell>
          <cell r="K1371" t="str">
            <v>Local employees</v>
          </cell>
          <cell r="L1371" t="str">
            <v>L4</v>
          </cell>
          <cell r="M1371" t="str">
            <v>ALL</v>
          </cell>
          <cell r="N1371" t="str">
            <v>FLPC(含奖金)</v>
          </cell>
          <cell r="O1371" t="str">
            <v>USD/小时</v>
          </cell>
          <cell r="P1371">
            <v>71.52</v>
          </cell>
        </row>
        <row r="1372">
          <cell r="A1372" t="str">
            <v>Equatorial Guinea - Local employees - L1</v>
          </cell>
          <cell r="B1372" t="str">
            <v>Current version</v>
          </cell>
          <cell r="C1372" t="str">
            <v>V2009R2</v>
          </cell>
          <cell r="D1372" t="str">
            <v>Labor Rate</v>
          </cell>
          <cell r="E1372" t="str">
            <v>SA</v>
          </cell>
          <cell r="F1372" t="str">
            <v>Western Africa Sub-Regional Division</v>
          </cell>
          <cell r="G1372" t="str">
            <v>Cameroon Rep.O.</v>
          </cell>
          <cell r="H1372" t="str">
            <v>4043</v>
          </cell>
          <cell r="I1372" t="str">
            <v>赤道几内亚</v>
          </cell>
          <cell r="J1372" t="str">
            <v>Equatorial Guinea</v>
          </cell>
          <cell r="K1372" t="str">
            <v>Local employees</v>
          </cell>
          <cell r="L1372" t="str">
            <v>L1</v>
          </cell>
          <cell r="M1372" t="str">
            <v>ALL</v>
          </cell>
          <cell r="N1372" t="str">
            <v>FLPC(含奖金)</v>
          </cell>
          <cell r="O1372" t="str">
            <v>USD/小时</v>
          </cell>
          <cell r="P1372">
            <v>26.11</v>
          </cell>
        </row>
        <row r="1373">
          <cell r="A1373" t="str">
            <v>Equatorial Guinea - Local employees - L2</v>
          </cell>
          <cell r="B1373" t="str">
            <v>Current version</v>
          </cell>
          <cell r="C1373" t="str">
            <v>V2009R2</v>
          </cell>
          <cell r="D1373" t="str">
            <v>Labor Rate</v>
          </cell>
          <cell r="E1373" t="str">
            <v>SA</v>
          </cell>
          <cell r="F1373" t="str">
            <v>Western Africa Sub-Regional Division</v>
          </cell>
          <cell r="G1373" t="str">
            <v>Cameroon Rep.O.</v>
          </cell>
          <cell r="H1373" t="str">
            <v>4043</v>
          </cell>
          <cell r="I1373" t="str">
            <v>赤道几内亚</v>
          </cell>
          <cell r="J1373" t="str">
            <v>Equatorial Guinea</v>
          </cell>
          <cell r="K1373" t="str">
            <v>Local employees</v>
          </cell>
          <cell r="L1373" t="str">
            <v>L2</v>
          </cell>
          <cell r="M1373" t="str">
            <v>ALL</v>
          </cell>
          <cell r="N1373" t="str">
            <v>FLPC(含奖金)</v>
          </cell>
          <cell r="O1373" t="str">
            <v>USD/小时</v>
          </cell>
          <cell r="P1373">
            <v>29.68</v>
          </cell>
        </row>
        <row r="1374">
          <cell r="A1374" t="str">
            <v>Equatorial Guinea - Local employees - L3</v>
          </cell>
          <cell r="B1374" t="str">
            <v>Current version</v>
          </cell>
          <cell r="C1374" t="str">
            <v>V2009R2</v>
          </cell>
          <cell r="D1374" t="str">
            <v>Labor Rate</v>
          </cell>
          <cell r="E1374" t="str">
            <v>SA</v>
          </cell>
          <cell r="F1374" t="str">
            <v>Western Africa Sub-Regional Division</v>
          </cell>
          <cell r="G1374" t="str">
            <v>Cameroon Rep.O.</v>
          </cell>
          <cell r="H1374" t="str">
            <v>4043</v>
          </cell>
          <cell r="I1374" t="str">
            <v>赤道几内亚</v>
          </cell>
          <cell r="J1374" t="str">
            <v>Equatorial Guinea</v>
          </cell>
          <cell r="K1374" t="str">
            <v>Local employees</v>
          </cell>
          <cell r="L1374" t="str">
            <v>L3</v>
          </cell>
          <cell r="M1374" t="str">
            <v>ALL</v>
          </cell>
          <cell r="N1374" t="str">
            <v>FLPC(含奖金)</v>
          </cell>
          <cell r="O1374" t="str">
            <v>USD/小时</v>
          </cell>
          <cell r="P1374">
            <v>43.63</v>
          </cell>
        </row>
        <row r="1375">
          <cell r="A1375" t="str">
            <v>Equatorial Guinea - Local employees - L4</v>
          </cell>
          <cell r="B1375" t="str">
            <v>Current version</v>
          </cell>
          <cell r="C1375" t="str">
            <v>V2009R2</v>
          </cell>
          <cell r="D1375" t="str">
            <v>Labor Rate</v>
          </cell>
          <cell r="E1375" t="str">
            <v>SA</v>
          </cell>
          <cell r="F1375" t="str">
            <v>Western Africa Sub-Regional Division</v>
          </cell>
          <cell r="G1375" t="str">
            <v>Cameroon Rep.O.</v>
          </cell>
          <cell r="H1375" t="str">
            <v>4043</v>
          </cell>
          <cell r="I1375" t="str">
            <v>赤道几内亚</v>
          </cell>
          <cell r="J1375" t="str">
            <v>Equatorial Guinea</v>
          </cell>
          <cell r="K1375" t="str">
            <v>Local employees</v>
          </cell>
          <cell r="L1375" t="str">
            <v>L4</v>
          </cell>
          <cell r="M1375" t="str">
            <v>ALL</v>
          </cell>
          <cell r="N1375" t="str">
            <v>FLPC(含奖金)</v>
          </cell>
          <cell r="O1375" t="str">
            <v>USD/小时</v>
          </cell>
          <cell r="P1375">
            <v>71.52</v>
          </cell>
        </row>
        <row r="1376">
          <cell r="A1376" t="str">
            <v>Zimbabwe - Local employees - L0</v>
          </cell>
          <cell r="B1376" t="str">
            <v>Current version</v>
          </cell>
          <cell r="C1376" t="str">
            <v>V2009R2</v>
          </cell>
          <cell r="D1376" t="str">
            <v>Labor Rate</v>
          </cell>
          <cell r="E1376" t="str">
            <v>SA</v>
          </cell>
          <cell r="F1376" t="str">
            <v>Southern Africa Sub-Regional Division</v>
          </cell>
          <cell r="G1376" t="str">
            <v>Zambia/Zimba Rep.O.</v>
          </cell>
          <cell r="H1376" t="str">
            <v>4009</v>
          </cell>
          <cell r="I1376" t="str">
            <v>津巴布韦</v>
          </cell>
          <cell r="J1376" t="str">
            <v>Zimbabwe</v>
          </cell>
          <cell r="K1376" t="str">
            <v>Local employees</v>
          </cell>
          <cell r="L1376" t="str">
            <v>L0</v>
          </cell>
          <cell r="M1376" t="str">
            <v>ALL</v>
          </cell>
          <cell r="N1376" t="str">
            <v>FLPC(含奖金)</v>
          </cell>
          <cell r="O1376" t="str">
            <v>USD/小时</v>
          </cell>
          <cell r="P1376">
            <v>17.34</v>
          </cell>
        </row>
        <row r="1377">
          <cell r="A1377" t="str">
            <v>Zimbabwe - Local employees - L1</v>
          </cell>
          <cell r="B1377" t="str">
            <v>Current version</v>
          </cell>
          <cell r="C1377" t="str">
            <v>V2009R2</v>
          </cell>
          <cell r="D1377" t="str">
            <v>Labor Rate</v>
          </cell>
          <cell r="E1377" t="str">
            <v>SA</v>
          </cell>
          <cell r="F1377" t="str">
            <v>Southern Africa Sub-Regional Division</v>
          </cell>
          <cell r="G1377" t="str">
            <v>Zambia/Zimba Rep.O.</v>
          </cell>
          <cell r="H1377" t="str">
            <v>4009</v>
          </cell>
          <cell r="I1377" t="str">
            <v>津巴布韦</v>
          </cell>
          <cell r="J1377" t="str">
            <v>Zimbabwe</v>
          </cell>
          <cell r="K1377" t="str">
            <v>Local employees</v>
          </cell>
          <cell r="L1377" t="str">
            <v>L1</v>
          </cell>
          <cell r="M1377" t="str">
            <v>ALL</v>
          </cell>
          <cell r="N1377" t="str">
            <v>FLPC(含奖金)</v>
          </cell>
          <cell r="O1377" t="str">
            <v>USD/小时</v>
          </cell>
          <cell r="P1377">
            <v>23.21</v>
          </cell>
        </row>
        <row r="1378">
          <cell r="A1378" t="str">
            <v>Zimbabwe - Local employees - L2</v>
          </cell>
          <cell r="B1378" t="str">
            <v>Current version</v>
          </cell>
          <cell r="C1378" t="str">
            <v>V2009R2</v>
          </cell>
          <cell r="D1378" t="str">
            <v>Labor Rate</v>
          </cell>
          <cell r="E1378" t="str">
            <v>SA</v>
          </cell>
          <cell r="F1378" t="str">
            <v>Southern Africa Sub-Regional Division</v>
          </cell>
          <cell r="G1378" t="str">
            <v>Zambia/Zimba Rep.O.</v>
          </cell>
          <cell r="H1378" t="str">
            <v>4009</v>
          </cell>
          <cell r="I1378" t="str">
            <v>津巴布韦</v>
          </cell>
          <cell r="J1378" t="str">
            <v>Zimbabwe</v>
          </cell>
          <cell r="K1378" t="str">
            <v>Local employees</v>
          </cell>
          <cell r="L1378" t="str">
            <v>L2</v>
          </cell>
          <cell r="M1378" t="str">
            <v>ALL</v>
          </cell>
          <cell r="N1378" t="str">
            <v>FLPC(含奖金)</v>
          </cell>
          <cell r="O1378" t="str">
            <v>USD/小时</v>
          </cell>
          <cell r="P1378">
            <v>31.73</v>
          </cell>
        </row>
        <row r="1379">
          <cell r="A1379" t="str">
            <v>Zambia - Local employees - L0</v>
          </cell>
          <cell r="B1379" t="str">
            <v>Current version</v>
          </cell>
          <cell r="C1379" t="str">
            <v>V2009R2</v>
          </cell>
          <cell r="D1379" t="str">
            <v>Labor Rate</v>
          </cell>
          <cell r="E1379" t="str">
            <v>SA</v>
          </cell>
          <cell r="F1379" t="str">
            <v>Southern Africa Sub-Regional Division</v>
          </cell>
          <cell r="G1379" t="str">
            <v>Zambia/Zimba Rep.O.</v>
          </cell>
          <cell r="H1379" t="str">
            <v>4010</v>
          </cell>
          <cell r="I1379" t="str">
            <v>赞比亚</v>
          </cell>
          <cell r="J1379" t="str">
            <v>Zambia</v>
          </cell>
          <cell r="K1379" t="str">
            <v>Local employees</v>
          </cell>
          <cell r="L1379" t="str">
            <v>L0</v>
          </cell>
          <cell r="M1379" t="str">
            <v>ALL</v>
          </cell>
          <cell r="N1379" t="str">
            <v>FLPC(含奖金)</v>
          </cell>
          <cell r="O1379" t="str">
            <v>USD/小时</v>
          </cell>
          <cell r="P1379">
            <v>20.71</v>
          </cell>
        </row>
        <row r="1380">
          <cell r="A1380" t="str">
            <v>Zambia - Local employees - L1</v>
          </cell>
          <cell r="B1380" t="str">
            <v>Current version</v>
          </cell>
          <cell r="C1380" t="str">
            <v>V2009R2</v>
          </cell>
          <cell r="D1380" t="str">
            <v>Labor Rate</v>
          </cell>
          <cell r="E1380" t="str">
            <v>SA</v>
          </cell>
          <cell r="F1380" t="str">
            <v>Southern Africa Sub-Regional Division</v>
          </cell>
          <cell r="G1380" t="str">
            <v>Zambia/Zimba Rep.O.</v>
          </cell>
          <cell r="H1380" t="str">
            <v>4010</v>
          </cell>
          <cell r="I1380" t="str">
            <v>赞比亚</v>
          </cell>
          <cell r="J1380" t="str">
            <v>Zambia</v>
          </cell>
          <cell r="K1380" t="str">
            <v>Local employees</v>
          </cell>
          <cell r="L1380" t="str">
            <v>L1</v>
          </cell>
          <cell r="M1380" t="str">
            <v>ALL</v>
          </cell>
          <cell r="N1380" t="str">
            <v>FLPC(含奖金)</v>
          </cell>
          <cell r="O1380" t="str">
            <v>USD/小时</v>
          </cell>
          <cell r="P1380">
            <v>24.91</v>
          </cell>
        </row>
        <row r="1381">
          <cell r="A1381" t="str">
            <v>Zambia - Local employees - L2</v>
          </cell>
          <cell r="B1381" t="str">
            <v>Current version</v>
          </cell>
          <cell r="C1381" t="str">
            <v>V2009R2</v>
          </cell>
          <cell r="D1381" t="str">
            <v>Labor Rate</v>
          </cell>
          <cell r="E1381" t="str">
            <v>SA</v>
          </cell>
          <cell r="F1381" t="str">
            <v>Southern Africa Sub-Regional Division</v>
          </cell>
          <cell r="G1381" t="str">
            <v>Zambia/Zimba Rep.O.</v>
          </cell>
          <cell r="H1381" t="str">
            <v>4010</v>
          </cell>
          <cell r="I1381" t="str">
            <v>赞比亚</v>
          </cell>
          <cell r="J1381" t="str">
            <v>Zambia</v>
          </cell>
          <cell r="K1381" t="str">
            <v>Local employees</v>
          </cell>
          <cell r="L1381" t="str">
            <v>L2</v>
          </cell>
          <cell r="M1381" t="str">
            <v>ALL</v>
          </cell>
          <cell r="N1381" t="str">
            <v>FLPC(含奖金)</v>
          </cell>
          <cell r="O1381" t="str">
            <v>USD/小时</v>
          </cell>
          <cell r="P1381">
            <v>34.659999999999997</v>
          </cell>
        </row>
        <row r="1382">
          <cell r="A1382" t="str">
            <v>Zambia - Local employees - L3</v>
          </cell>
          <cell r="B1382" t="str">
            <v>Current version</v>
          </cell>
          <cell r="C1382" t="str">
            <v>V2009R2</v>
          </cell>
          <cell r="D1382" t="str">
            <v>Labor Rate</v>
          </cell>
          <cell r="E1382" t="str">
            <v>SA</v>
          </cell>
          <cell r="F1382" t="str">
            <v>Southern Africa Sub-Regional Division</v>
          </cell>
          <cell r="G1382" t="str">
            <v>Zambia/Zimba Rep.O.</v>
          </cell>
          <cell r="H1382" t="str">
            <v>4010</v>
          </cell>
          <cell r="I1382" t="str">
            <v>赞比亚</v>
          </cell>
          <cell r="J1382" t="str">
            <v>Zambia</v>
          </cell>
          <cell r="K1382" t="str">
            <v>Local employees</v>
          </cell>
          <cell r="L1382" t="str">
            <v>L3</v>
          </cell>
          <cell r="M1382" t="str">
            <v>ALL</v>
          </cell>
          <cell r="N1382" t="str">
            <v>FLPC(含奖金)</v>
          </cell>
          <cell r="O1382" t="str">
            <v>USD/小时</v>
          </cell>
          <cell r="P1382">
            <v>54.87</v>
          </cell>
        </row>
        <row r="1383">
          <cell r="A1383" t="str">
            <v>Zambia - Local employees - L4</v>
          </cell>
          <cell r="B1383" t="str">
            <v>Current version</v>
          </cell>
          <cell r="C1383" t="str">
            <v>V2009R2</v>
          </cell>
          <cell r="D1383" t="str">
            <v>Labor Rate</v>
          </cell>
          <cell r="E1383" t="str">
            <v>SA</v>
          </cell>
          <cell r="F1383" t="str">
            <v>Southern Africa Sub-Regional Division</v>
          </cell>
          <cell r="G1383" t="str">
            <v>Zambia/Zimba Rep.O.</v>
          </cell>
          <cell r="H1383" t="str">
            <v>4010</v>
          </cell>
          <cell r="I1383" t="str">
            <v>赞比亚</v>
          </cell>
          <cell r="J1383" t="str">
            <v>Zambia</v>
          </cell>
          <cell r="K1383" t="str">
            <v>Local employees</v>
          </cell>
          <cell r="L1383" t="str">
            <v>L4</v>
          </cell>
          <cell r="M1383" t="str">
            <v>ALL</v>
          </cell>
          <cell r="N1383" t="str">
            <v>FLPC(含奖金)</v>
          </cell>
          <cell r="O1383" t="str">
            <v>USD/小时</v>
          </cell>
          <cell r="P1383">
            <v>74.08</v>
          </cell>
        </row>
        <row r="1384">
          <cell r="A1384" t="str">
            <v>Malawi - Local employees - L0</v>
          </cell>
          <cell r="B1384" t="str">
            <v>Current version</v>
          </cell>
          <cell r="C1384" t="str">
            <v>V2009R2</v>
          </cell>
          <cell r="D1384" t="str">
            <v>Labor Rate</v>
          </cell>
          <cell r="E1384" t="str">
            <v>SA</v>
          </cell>
          <cell r="F1384" t="str">
            <v>Southern Africa Sub-Regional Division</v>
          </cell>
          <cell r="G1384" t="str">
            <v>Zambia/Zimba Rep.O.</v>
          </cell>
          <cell r="H1384" t="str">
            <v>4020</v>
          </cell>
          <cell r="I1384" t="str">
            <v>马拉维</v>
          </cell>
          <cell r="J1384" t="str">
            <v>Malawi</v>
          </cell>
          <cell r="K1384" t="str">
            <v>Local employees</v>
          </cell>
          <cell r="L1384" t="str">
            <v>L0</v>
          </cell>
          <cell r="M1384" t="str">
            <v>ALL</v>
          </cell>
          <cell r="N1384" t="str">
            <v>FLPC(含奖金)</v>
          </cell>
          <cell r="O1384" t="str">
            <v>USD/小时</v>
          </cell>
          <cell r="P1384">
            <v>13.94</v>
          </cell>
        </row>
        <row r="1385">
          <cell r="A1385" t="str">
            <v>Malawi - Local employees - L1</v>
          </cell>
          <cell r="B1385" t="str">
            <v>Current version</v>
          </cell>
          <cell r="C1385" t="str">
            <v>V2009R2</v>
          </cell>
          <cell r="D1385" t="str">
            <v>Labor Rate</v>
          </cell>
          <cell r="E1385" t="str">
            <v>SA</v>
          </cell>
          <cell r="F1385" t="str">
            <v>Southern Africa Sub-Regional Division</v>
          </cell>
          <cell r="G1385" t="str">
            <v>Zambia/Zimba Rep.O.</v>
          </cell>
          <cell r="H1385" t="str">
            <v>4020</v>
          </cell>
          <cell r="I1385" t="str">
            <v>马拉维</v>
          </cell>
          <cell r="J1385" t="str">
            <v>Malawi</v>
          </cell>
          <cell r="K1385" t="str">
            <v>Local employees</v>
          </cell>
          <cell r="L1385" t="str">
            <v>L1</v>
          </cell>
          <cell r="M1385" t="str">
            <v>ALL</v>
          </cell>
          <cell r="N1385" t="str">
            <v>FLPC(含奖金)</v>
          </cell>
          <cell r="O1385" t="str">
            <v>USD/小时</v>
          </cell>
          <cell r="P1385">
            <v>19.010000000000002</v>
          </cell>
        </row>
        <row r="1386">
          <cell r="A1386" t="str">
            <v>Malawi - Local employees - L2</v>
          </cell>
          <cell r="B1386" t="str">
            <v>Current version</v>
          </cell>
          <cell r="C1386" t="str">
            <v>V2009R2</v>
          </cell>
          <cell r="D1386" t="str">
            <v>Labor Rate</v>
          </cell>
          <cell r="E1386" t="str">
            <v>SA</v>
          </cell>
          <cell r="F1386" t="str">
            <v>Southern Africa Sub-Regional Division</v>
          </cell>
          <cell r="G1386" t="str">
            <v>Zambia/Zimba Rep.O.</v>
          </cell>
          <cell r="H1386" t="str">
            <v>4020</v>
          </cell>
          <cell r="I1386" t="str">
            <v>马拉维</v>
          </cell>
          <cell r="J1386" t="str">
            <v>Malawi</v>
          </cell>
          <cell r="K1386" t="str">
            <v>Local employees</v>
          </cell>
          <cell r="L1386" t="str">
            <v>L2</v>
          </cell>
          <cell r="M1386" t="str">
            <v>ALL</v>
          </cell>
          <cell r="N1386" t="str">
            <v>FLPC(含奖金)</v>
          </cell>
          <cell r="O1386" t="str">
            <v>USD/小时</v>
          </cell>
          <cell r="P1386">
            <v>32.32</v>
          </cell>
        </row>
        <row r="1387">
          <cell r="A1387" t="str">
            <v>South Africa - Local employees - L0</v>
          </cell>
          <cell r="B1387" t="str">
            <v>Current version</v>
          </cell>
          <cell r="C1387" t="str">
            <v>V2009R2</v>
          </cell>
          <cell r="D1387" t="str">
            <v>Labor Rate</v>
          </cell>
          <cell r="E1387" t="str">
            <v>SA</v>
          </cell>
          <cell r="F1387" t="str">
            <v>Southern Africa Sub-Regional Division</v>
          </cell>
          <cell r="G1387" t="str">
            <v>South Africa Rep.O.</v>
          </cell>
          <cell r="H1387" t="str">
            <v>4001</v>
          </cell>
          <cell r="I1387" t="str">
            <v>南非</v>
          </cell>
          <cell r="J1387" t="str">
            <v>South Africa</v>
          </cell>
          <cell r="K1387" t="str">
            <v>Local employees</v>
          </cell>
          <cell r="L1387" t="str">
            <v>L0</v>
          </cell>
          <cell r="M1387" t="str">
            <v>ALL</v>
          </cell>
          <cell r="N1387" t="str">
            <v>FLPC(含奖金)</v>
          </cell>
          <cell r="O1387" t="str">
            <v>USD/小时</v>
          </cell>
          <cell r="P1387">
            <v>25.55</v>
          </cell>
        </row>
        <row r="1388">
          <cell r="A1388" t="str">
            <v>South Africa - Local employees - L1</v>
          </cell>
          <cell r="B1388" t="str">
            <v>Current version</v>
          </cell>
          <cell r="C1388" t="str">
            <v>V2009R2</v>
          </cell>
          <cell r="D1388" t="str">
            <v>Labor Rate</v>
          </cell>
          <cell r="E1388" t="str">
            <v>SA</v>
          </cell>
          <cell r="F1388" t="str">
            <v>Southern Africa Sub-Regional Division</v>
          </cell>
          <cell r="G1388" t="str">
            <v>South Africa Rep.O.</v>
          </cell>
          <cell r="H1388" t="str">
            <v>4001</v>
          </cell>
          <cell r="I1388" t="str">
            <v>南非</v>
          </cell>
          <cell r="J1388" t="str">
            <v>South Africa</v>
          </cell>
          <cell r="K1388" t="str">
            <v>Local employees</v>
          </cell>
          <cell r="L1388" t="str">
            <v>L1</v>
          </cell>
          <cell r="M1388" t="str">
            <v>ALL</v>
          </cell>
          <cell r="N1388" t="str">
            <v>FLPC(含奖金)</v>
          </cell>
          <cell r="O1388" t="str">
            <v>USD/小时</v>
          </cell>
          <cell r="P1388">
            <v>32.53</v>
          </cell>
        </row>
        <row r="1389">
          <cell r="A1389" t="str">
            <v>South Africa - Local employees - L2</v>
          </cell>
          <cell r="B1389" t="str">
            <v>Current version</v>
          </cell>
          <cell r="C1389" t="str">
            <v>V2009R2</v>
          </cell>
          <cell r="D1389" t="str">
            <v>Labor Rate</v>
          </cell>
          <cell r="E1389" t="str">
            <v>SA</v>
          </cell>
          <cell r="F1389" t="str">
            <v>Southern Africa Sub-Regional Division</v>
          </cell>
          <cell r="G1389" t="str">
            <v>South Africa Rep.O.</v>
          </cell>
          <cell r="H1389" t="str">
            <v>4001</v>
          </cell>
          <cell r="I1389" t="str">
            <v>南非</v>
          </cell>
          <cell r="J1389" t="str">
            <v>South Africa</v>
          </cell>
          <cell r="K1389" t="str">
            <v>Local employees</v>
          </cell>
          <cell r="L1389" t="str">
            <v>L2</v>
          </cell>
          <cell r="M1389" t="str">
            <v>ALL</v>
          </cell>
          <cell r="N1389" t="str">
            <v>FLPC(含奖金)</v>
          </cell>
          <cell r="O1389" t="str">
            <v>USD/小时</v>
          </cell>
          <cell r="P1389">
            <v>43.55</v>
          </cell>
        </row>
        <row r="1390">
          <cell r="A1390" t="str">
            <v>South Africa - Local employees - L3</v>
          </cell>
          <cell r="B1390" t="str">
            <v>Current version</v>
          </cell>
          <cell r="C1390" t="str">
            <v>V2009R2</v>
          </cell>
          <cell r="D1390" t="str">
            <v>Labor Rate</v>
          </cell>
          <cell r="E1390" t="str">
            <v>SA</v>
          </cell>
          <cell r="F1390" t="str">
            <v>Southern Africa Sub-Regional Division</v>
          </cell>
          <cell r="G1390" t="str">
            <v>South Africa Rep.O.</v>
          </cell>
          <cell r="H1390" t="str">
            <v>4001</v>
          </cell>
          <cell r="I1390" t="str">
            <v>南非</v>
          </cell>
          <cell r="J1390" t="str">
            <v>South Africa</v>
          </cell>
          <cell r="K1390" t="str">
            <v>Local employees</v>
          </cell>
          <cell r="L1390" t="str">
            <v>L3</v>
          </cell>
          <cell r="M1390" t="str">
            <v>ALL</v>
          </cell>
          <cell r="N1390" t="str">
            <v>FLPC(含奖金)</v>
          </cell>
          <cell r="O1390" t="str">
            <v>USD/小时</v>
          </cell>
          <cell r="P1390">
            <v>68.88</v>
          </cell>
        </row>
        <row r="1391">
          <cell r="A1391" t="str">
            <v>South Africa - Local employees - L4</v>
          </cell>
          <cell r="B1391" t="str">
            <v>Current version</v>
          </cell>
          <cell r="C1391" t="str">
            <v>V2009R2</v>
          </cell>
          <cell r="D1391" t="str">
            <v>Labor Rate</v>
          </cell>
          <cell r="E1391" t="str">
            <v>SA</v>
          </cell>
          <cell r="F1391" t="str">
            <v>Southern Africa Sub-Regional Division</v>
          </cell>
          <cell r="G1391" t="str">
            <v>South Africa Rep.O.</v>
          </cell>
          <cell r="H1391" t="str">
            <v>4001</v>
          </cell>
          <cell r="I1391" t="str">
            <v>南非</v>
          </cell>
          <cell r="J1391" t="str">
            <v>South Africa</v>
          </cell>
          <cell r="K1391" t="str">
            <v>Local employees</v>
          </cell>
          <cell r="L1391" t="str">
            <v>L4</v>
          </cell>
          <cell r="M1391" t="str">
            <v>ALL</v>
          </cell>
          <cell r="N1391" t="str">
            <v>FLPC(含奖金)</v>
          </cell>
          <cell r="O1391" t="str">
            <v>USD/小时</v>
          </cell>
          <cell r="P1391">
            <v>120.22</v>
          </cell>
        </row>
        <row r="1392">
          <cell r="A1392" t="str">
            <v>Botswana - Local employees - L0</v>
          </cell>
          <cell r="B1392" t="str">
            <v>Current version</v>
          </cell>
          <cell r="C1392" t="str">
            <v>V2009R2</v>
          </cell>
          <cell r="D1392" t="str">
            <v>Labor Rate</v>
          </cell>
          <cell r="E1392" t="str">
            <v>SA</v>
          </cell>
          <cell r="F1392" t="str">
            <v>Southern Africa Sub-Regional Division</v>
          </cell>
          <cell r="G1392" t="str">
            <v>South Africa Rep.O.</v>
          </cell>
          <cell r="H1392" t="str">
            <v>4008</v>
          </cell>
          <cell r="I1392" t="str">
            <v>博茨瓦纳</v>
          </cell>
          <cell r="J1392" t="str">
            <v>Botswana</v>
          </cell>
          <cell r="K1392" t="str">
            <v>Local employees</v>
          </cell>
          <cell r="L1392" t="str">
            <v>L0</v>
          </cell>
          <cell r="M1392" t="str">
            <v>ALL</v>
          </cell>
          <cell r="N1392" t="str">
            <v>FLPC(含奖金)</v>
          </cell>
          <cell r="O1392" t="str">
            <v>USD/小时</v>
          </cell>
          <cell r="P1392">
            <v>21.63</v>
          </cell>
        </row>
        <row r="1393">
          <cell r="A1393" t="str">
            <v>Botswana - Local employees - L1</v>
          </cell>
          <cell r="B1393" t="str">
            <v>Current version</v>
          </cell>
          <cell r="C1393" t="str">
            <v>V2009R2</v>
          </cell>
          <cell r="D1393" t="str">
            <v>Labor Rate</v>
          </cell>
          <cell r="E1393" t="str">
            <v>SA</v>
          </cell>
          <cell r="F1393" t="str">
            <v>Southern Africa Sub-Regional Division</v>
          </cell>
          <cell r="G1393" t="str">
            <v>South Africa Rep.O.</v>
          </cell>
          <cell r="H1393" t="str">
            <v>4008</v>
          </cell>
          <cell r="I1393" t="str">
            <v>博茨瓦纳</v>
          </cell>
          <cell r="J1393" t="str">
            <v>Botswana</v>
          </cell>
          <cell r="K1393" t="str">
            <v>Local employees</v>
          </cell>
          <cell r="L1393" t="str">
            <v>L1</v>
          </cell>
          <cell r="M1393" t="str">
            <v>ALL</v>
          </cell>
          <cell r="N1393" t="str">
            <v>FLPC(含奖金)</v>
          </cell>
          <cell r="O1393" t="str">
            <v>USD/小时</v>
          </cell>
          <cell r="P1393">
            <v>27.93</v>
          </cell>
        </row>
        <row r="1394">
          <cell r="A1394" t="str">
            <v>Botswana - Local employees - L2</v>
          </cell>
          <cell r="B1394" t="str">
            <v>Current version</v>
          </cell>
          <cell r="C1394" t="str">
            <v>V2009R2</v>
          </cell>
          <cell r="D1394" t="str">
            <v>Labor Rate</v>
          </cell>
          <cell r="E1394" t="str">
            <v>SA</v>
          </cell>
          <cell r="F1394" t="str">
            <v>Southern Africa Sub-Regional Division</v>
          </cell>
          <cell r="G1394" t="str">
            <v>South Africa Rep.O.</v>
          </cell>
          <cell r="H1394" t="str">
            <v>4008</v>
          </cell>
          <cell r="I1394" t="str">
            <v>博茨瓦纳</v>
          </cell>
          <cell r="J1394" t="str">
            <v>Botswana</v>
          </cell>
          <cell r="K1394" t="str">
            <v>Local employees</v>
          </cell>
          <cell r="L1394" t="str">
            <v>L2</v>
          </cell>
          <cell r="M1394" t="str">
            <v>ALL</v>
          </cell>
          <cell r="N1394" t="str">
            <v>FLPC(含奖金)</v>
          </cell>
          <cell r="O1394" t="str">
            <v>USD/小时</v>
          </cell>
          <cell r="P1394">
            <v>33.64</v>
          </cell>
        </row>
        <row r="1395">
          <cell r="A1395" t="str">
            <v>Mozambique - Local employees - L0</v>
          </cell>
          <cell r="B1395" t="str">
            <v>Current version</v>
          </cell>
          <cell r="C1395" t="str">
            <v>V2009R2</v>
          </cell>
          <cell r="D1395" t="str">
            <v>Labor Rate</v>
          </cell>
          <cell r="E1395" t="str">
            <v>SA</v>
          </cell>
          <cell r="F1395" t="str">
            <v>Southern Africa Sub-Regional Division</v>
          </cell>
          <cell r="G1395" t="str">
            <v>South Africa Rep.O.</v>
          </cell>
          <cell r="H1395" t="str">
            <v>4011</v>
          </cell>
          <cell r="I1395" t="str">
            <v>莫桑比克</v>
          </cell>
          <cell r="J1395" t="str">
            <v>Mozambique</v>
          </cell>
          <cell r="K1395" t="str">
            <v>Local employees</v>
          </cell>
          <cell r="L1395" t="str">
            <v>L0</v>
          </cell>
          <cell r="M1395" t="str">
            <v>ALL</v>
          </cell>
          <cell r="N1395" t="str">
            <v>FLPC(含奖金)</v>
          </cell>
          <cell r="O1395" t="str">
            <v>USD/小时</v>
          </cell>
          <cell r="P1395">
            <v>19.72</v>
          </cell>
        </row>
        <row r="1396">
          <cell r="A1396" t="str">
            <v>Mozambique - Local employees - L1</v>
          </cell>
          <cell r="B1396" t="str">
            <v>Current version</v>
          </cell>
          <cell r="C1396" t="str">
            <v>V2009R2</v>
          </cell>
          <cell r="D1396" t="str">
            <v>Labor Rate</v>
          </cell>
          <cell r="E1396" t="str">
            <v>SA</v>
          </cell>
          <cell r="F1396" t="str">
            <v>Southern Africa Sub-Regional Division</v>
          </cell>
          <cell r="G1396" t="str">
            <v>South Africa Rep.O.</v>
          </cell>
          <cell r="H1396" t="str">
            <v>4011</v>
          </cell>
          <cell r="I1396" t="str">
            <v>莫桑比克</v>
          </cell>
          <cell r="J1396" t="str">
            <v>Mozambique</v>
          </cell>
          <cell r="K1396" t="str">
            <v>Local employees</v>
          </cell>
          <cell r="L1396" t="str">
            <v>L1</v>
          </cell>
          <cell r="M1396" t="str">
            <v>ALL</v>
          </cell>
          <cell r="N1396" t="str">
            <v>FLPC(含奖金)</v>
          </cell>
          <cell r="O1396" t="str">
            <v>USD/小时</v>
          </cell>
          <cell r="P1396">
            <v>28.22</v>
          </cell>
        </row>
        <row r="1397">
          <cell r="A1397" t="str">
            <v>Mauritius - Local employees - L0</v>
          </cell>
          <cell r="B1397" t="str">
            <v>Current version</v>
          </cell>
          <cell r="C1397" t="str">
            <v>V2009R2</v>
          </cell>
          <cell r="D1397" t="str">
            <v>Labor Rate</v>
          </cell>
          <cell r="E1397" t="str">
            <v>SA</v>
          </cell>
          <cell r="F1397" t="str">
            <v>Southern Africa Sub-Regional Division</v>
          </cell>
          <cell r="G1397" t="str">
            <v>Madagascar/Mauritius Rep.O.</v>
          </cell>
          <cell r="H1397" t="str">
            <v>4007</v>
          </cell>
          <cell r="I1397" t="str">
            <v>毛里求斯</v>
          </cell>
          <cell r="J1397" t="str">
            <v>Mauritius</v>
          </cell>
          <cell r="K1397" t="str">
            <v>Local employees</v>
          </cell>
          <cell r="L1397" t="str">
            <v>L0</v>
          </cell>
          <cell r="M1397" t="str">
            <v>ALL</v>
          </cell>
          <cell r="N1397" t="str">
            <v>FLPC(含奖金)</v>
          </cell>
          <cell r="O1397" t="str">
            <v>USD/小时</v>
          </cell>
          <cell r="P1397">
            <v>14.92</v>
          </cell>
        </row>
        <row r="1398">
          <cell r="A1398" t="str">
            <v>Mauritius - Local employees - L1</v>
          </cell>
          <cell r="B1398" t="str">
            <v>Current version</v>
          </cell>
          <cell r="C1398" t="str">
            <v>V2009R2</v>
          </cell>
          <cell r="D1398" t="str">
            <v>Labor Rate</v>
          </cell>
          <cell r="E1398" t="str">
            <v>SA</v>
          </cell>
          <cell r="F1398" t="str">
            <v>Southern Africa Sub-Regional Division</v>
          </cell>
          <cell r="G1398" t="str">
            <v>Madagascar/Mauritius Rep.O.</v>
          </cell>
          <cell r="H1398" t="str">
            <v>4007</v>
          </cell>
          <cell r="I1398" t="str">
            <v>毛里求斯</v>
          </cell>
          <cell r="J1398" t="str">
            <v>Mauritius</v>
          </cell>
          <cell r="K1398" t="str">
            <v>Local employees</v>
          </cell>
          <cell r="L1398" t="str">
            <v>L1</v>
          </cell>
          <cell r="M1398" t="str">
            <v>ALL</v>
          </cell>
          <cell r="N1398" t="str">
            <v>FLPC(含奖金)</v>
          </cell>
          <cell r="O1398" t="str">
            <v>USD/小时</v>
          </cell>
          <cell r="P1398">
            <v>18.190000000000001</v>
          </cell>
        </row>
        <row r="1399">
          <cell r="A1399" t="str">
            <v>Mauritius - Local employees - L2</v>
          </cell>
          <cell r="B1399" t="str">
            <v>Current version</v>
          </cell>
          <cell r="C1399" t="str">
            <v>V2009R2</v>
          </cell>
          <cell r="D1399" t="str">
            <v>Labor Rate</v>
          </cell>
          <cell r="E1399" t="str">
            <v>SA</v>
          </cell>
          <cell r="F1399" t="str">
            <v>Southern Africa Sub-Regional Division</v>
          </cell>
          <cell r="G1399" t="str">
            <v>Madagascar/Mauritius Rep.O.</v>
          </cell>
          <cell r="H1399" t="str">
            <v>4007</v>
          </cell>
          <cell r="I1399" t="str">
            <v>毛里求斯</v>
          </cell>
          <cell r="J1399" t="str">
            <v>Mauritius</v>
          </cell>
          <cell r="K1399" t="str">
            <v>Local employees</v>
          </cell>
          <cell r="L1399" t="str">
            <v>L2</v>
          </cell>
          <cell r="M1399" t="str">
            <v>ALL</v>
          </cell>
          <cell r="N1399" t="str">
            <v>FLPC(含奖金)</v>
          </cell>
          <cell r="O1399" t="str">
            <v>USD/小时</v>
          </cell>
          <cell r="P1399">
            <v>25.47</v>
          </cell>
        </row>
        <row r="1400">
          <cell r="A1400" t="str">
            <v>Mauritius - Local employees - L3</v>
          </cell>
          <cell r="B1400" t="str">
            <v>Current version</v>
          </cell>
          <cell r="C1400" t="str">
            <v>V2009R2</v>
          </cell>
          <cell r="D1400" t="str">
            <v>Labor Rate</v>
          </cell>
          <cell r="E1400" t="str">
            <v>SA</v>
          </cell>
          <cell r="F1400" t="str">
            <v>Southern Africa Sub-Regional Division</v>
          </cell>
          <cell r="G1400" t="str">
            <v>Madagascar/Mauritius Rep.O.</v>
          </cell>
          <cell r="H1400" t="str">
            <v>4007</v>
          </cell>
          <cell r="I1400" t="str">
            <v>毛里求斯</v>
          </cell>
          <cell r="J1400" t="str">
            <v>Mauritius</v>
          </cell>
          <cell r="K1400" t="str">
            <v>Local employees</v>
          </cell>
          <cell r="L1400" t="str">
            <v>L3</v>
          </cell>
          <cell r="M1400" t="str">
            <v>ALL</v>
          </cell>
          <cell r="N1400" t="str">
            <v>FLPC(含奖金)</v>
          </cell>
          <cell r="O1400" t="str">
            <v>USD/小时</v>
          </cell>
          <cell r="P1400">
            <v>37.229999999999997</v>
          </cell>
        </row>
        <row r="1401">
          <cell r="A1401" t="str">
            <v>Madagascar - Local employees - L0</v>
          </cell>
          <cell r="B1401" t="str">
            <v>Current version</v>
          </cell>
          <cell r="C1401" t="str">
            <v>V2009R2</v>
          </cell>
          <cell r="D1401" t="str">
            <v>Labor Rate</v>
          </cell>
          <cell r="E1401" t="str">
            <v>SA</v>
          </cell>
          <cell r="F1401" t="str">
            <v>Southern Africa Sub-Regional Division</v>
          </cell>
          <cell r="G1401" t="str">
            <v>Madagascar/Mauritius Rep.O.</v>
          </cell>
          <cell r="H1401" t="str">
            <v>4016</v>
          </cell>
          <cell r="I1401" t="str">
            <v>马达加斯加</v>
          </cell>
          <cell r="J1401" t="str">
            <v>Madagascar</v>
          </cell>
          <cell r="K1401" t="str">
            <v>Local employees</v>
          </cell>
          <cell r="L1401" t="str">
            <v>L0</v>
          </cell>
          <cell r="M1401" t="str">
            <v>ALL</v>
          </cell>
          <cell r="N1401" t="str">
            <v>FLPC(含奖金)</v>
          </cell>
          <cell r="O1401" t="str">
            <v>USD/小时</v>
          </cell>
          <cell r="P1401">
            <v>14.84</v>
          </cell>
        </row>
        <row r="1402">
          <cell r="A1402" t="str">
            <v>Madagascar - Local employees - L1</v>
          </cell>
          <cell r="B1402" t="str">
            <v>Current version</v>
          </cell>
          <cell r="C1402" t="str">
            <v>V2009R2</v>
          </cell>
          <cell r="D1402" t="str">
            <v>Labor Rate</v>
          </cell>
          <cell r="E1402" t="str">
            <v>SA</v>
          </cell>
          <cell r="F1402" t="str">
            <v>Southern Africa Sub-Regional Division</v>
          </cell>
          <cell r="G1402" t="str">
            <v>Madagascar/Mauritius Rep.O.</v>
          </cell>
          <cell r="H1402" t="str">
            <v>4016</v>
          </cell>
          <cell r="I1402" t="str">
            <v>马达加斯加</v>
          </cell>
          <cell r="J1402" t="str">
            <v>Madagascar</v>
          </cell>
          <cell r="K1402" t="str">
            <v>Local employees</v>
          </cell>
          <cell r="L1402" t="str">
            <v>L1</v>
          </cell>
          <cell r="M1402" t="str">
            <v>ALL</v>
          </cell>
          <cell r="N1402" t="str">
            <v>FLPC(含奖金)</v>
          </cell>
          <cell r="O1402" t="str">
            <v>USD/小时</v>
          </cell>
          <cell r="P1402">
            <v>16.54</v>
          </cell>
        </row>
        <row r="1403">
          <cell r="A1403" t="str">
            <v>Madagascar - Local employees - L2</v>
          </cell>
          <cell r="B1403" t="str">
            <v>Current version</v>
          </cell>
          <cell r="C1403" t="str">
            <v>V2009R2</v>
          </cell>
          <cell r="D1403" t="str">
            <v>Labor Rate</v>
          </cell>
          <cell r="E1403" t="str">
            <v>SA</v>
          </cell>
          <cell r="F1403" t="str">
            <v>Southern Africa Sub-Regional Division</v>
          </cell>
          <cell r="G1403" t="str">
            <v>Madagascar/Mauritius Rep.O.</v>
          </cell>
          <cell r="H1403" t="str">
            <v>4016</v>
          </cell>
          <cell r="I1403" t="str">
            <v>马达加斯加</v>
          </cell>
          <cell r="J1403" t="str">
            <v>Madagascar</v>
          </cell>
          <cell r="K1403" t="str">
            <v>Local employees</v>
          </cell>
          <cell r="L1403" t="str">
            <v>L2</v>
          </cell>
          <cell r="M1403" t="str">
            <v>ALL</v>
          </cell>
          <cell r="N1403" t="str">
            <v>FLPC(含奖金)</v>
          </cell>
          <cell r="O1403" t="str">
            <v>USD/小时</v>
          </cell>
          <cell r="P1403">
            <v>20.67</v>
          </cell>
        </row>
        <row r="1404">
          <cell r="A1404" t="str">
            <v>Madagascar - Local employees - L3</v>
          </cell>
          <cell r="B1404" t="str">
            <v>Current version</v>
          </cell>
          <cell r="C1404" t="str">
            <v>V2009R2</v>
          </cell>
          <cell r="D1404" t="str">
            <v>Labor Rate</v>
          </cell>
          <cell r="E1404" t="str">
            <v>SA</v>
          </cell>
          <cell r="F1404" t="str">
            <v>Southern Africa Sub-Regional Division</v>
          </cell>
          <cell r="G1404" t="str">
            <v>Madagascar/Mauritius Rep.O.</v>
          </cell>
          <cell r="H1404" t="str">
            <v>4016</v>
          </cell>
          <cell r="I1404" t="str">
            <v>马达加斯加</v>
          </cell>
          <cell r="J1404" t="str">
            <v>Madagascar</v>
          </cell>
          <cell r="K1404" t="str">
            <v>Local employees</v>
          </cell>
          <cell r="L1404" t="str">
            <v>L3</v>
          </cell>
          <cell r="M1404" t="str">
            <v>ALL</v>
          </cell>
          <cell r="N1404" t="str">
            <v>FLPC(含奖金)</v>
          </cell>
          <cell r="O1404" t="str">
            <v>USD/小时</v>
          </cell>
          <cell r="P1404">
            <v>198.36</v>
          </cell>
        </row>
        <row r="1405">
          <cell r="A1405" t="str">
            <v>Angola - Local employees - L0</v>
          </cell>
          <cell r="B1405" t="str">
            <v>Current version</v>
          </cell>
          <cell r="C1405" t="str">
            <v>V2009R2</v>
          </cell>
          <cell r="D1405" t="str">
            <v>Labor Rate</v>
          </cell>
          <cell r="E1405" t="str">
            <v>SA</v>
          </cell>
          <cell r="F1405" t="str">
            <v>Southern Africa Sub-Regional Division</v>
          </cell>
          <cell r="G1405" t="str">
            <v>Angola Rep.O.</v>
          </cell>
          <cell r="H1405" t="str">
            <v>4015</v>
          </cell>
          <cell r="I1405" t="str">
            <v>A8安哥拉</v>
          </cell>
          <cell r="J1405" t="str">
            <v>Angola</v>
          </cell>
          <cell r="K1405" t="str">
            <v>Local employees</v>
          </cell>
          <cell r="L1405" t="str">
            <v>L0</v>
          </cell>
          <cell r="M1405" t="str">
            <v>ALL</v>
          </cell>
          <cell r="N1405" t="str">
            <v>FLPC(含奖金)</v>
          </cell>
          <cell r="O1405" t="str">
            <v>USD/小时</v>
          </cell>
          <cell r="P1405">
            <v>33.340000000000003</v>
          </cell>
        </row>
        <row r="1406">
          <cell r="A1406" t="str">
            <v>Angola - Local employees - L1</v>
          </cell>
          <cell r="B1406" t="str">
            <v>Current version</v>
          </cell>
          <cell r="C1406" t="str">
            <v>V2009R2</v>
          </cell>
          <cell r="D1406" t="str">
            <v>Labor Rate</v>
          </cell>
          <cell r="E1406" t="str">
            <v>SA</v>
          </cell>
          <cell r="F1406" t="str">
            <v>Southern Africa Sub-Regional Division</v>
          </cell>
          <cell r="G1406" t="str">
            <v>Angola Rep.O.</v>
          </cell>
          <cell r="H1406" t="str">
            <v>4015</v>
          </cell>
          <cell r="I1406" t="str">
            <v>A8安哥拉</v>
          </cell>
          <cell r="J1406" t="str">
            <v>Angola</v>
          </cell>
          <cell r="K1406" t="str">
            <v>Local employees</v>
          </cell>
          <cell r="L1406" t="str">
            <v>L1</v>
          </cell>
          <cell r="M1406" t="str">
            <v>ALL</v>
          </cell>
          <cell r="N1406" t="str">
            <v>FLPC(含奖金)</v>
          </cell>
          <cell r="O1406" t="str">
            <v>USD/小时</v>
          </cell>
          <cell r="P1406">
            <v>38.68</v>
          </cell>
        </row>
        <row r="1407">
          <cell r="A1407" t="str">
            <v>Angola - Local employees - L2</v>
          </cell>
          <cell r="B1407" t="str">
            <v>Current version</v>
          </cell>
          <cell r="C1407" t="str">
            <v>V2009R2</v>
          </cell>
          <cell r="D1407" t="str">
            <v>Labor Rate</v>
          </cell>
          <cell r="E1407" t="str">
            <v>SA</v>
          </cell>
          <cell r="F1407" t="str">
            <v>Southern Africa Sub-Regional Division</v>
          </cell>
          <cell r="G1407" t="str">
            <v>Angola Rep.O.</v>
          </cell>
          <cell r="H1407" t="str">
            <v>4015</v>
          </cell>
          <cell r="I1407" t="str">
            <v>A8安哥拉</v>
          </cell>
          <cell r="J1407" t="str">
            <v>Angola</v>
          </cell>
          <cell r="K1407" t="str">
            <v>Local employees</v>
          </cell>
          <cell r="L1407" t="str">
            <v>L2</v>
          </cell>
          <cell r="M1407" t="str">
            <v>ALL</v>
          </cell>
          <cell r="N1407" t="str">
            <v>FLPC(含奖金)</v>
          </cell>
          <cell r="O1407" t="str">
            <v>USD/小时</v>
          </cell>
          <cell r="P1407">
            <v>50.18</v>
          </cell>
        </row>
        <row r="1408">
          <cell r="A1408" t="str">
            <v>Angola - Local employees - L3</v>
          </cell>
          <cell r="B1408" t="str">
            <v>Current version</v>
          </cell>
          <cell r="C1408" t="str">
            <v>V2009R2</v>
          </cell>
          <cell r="D1408" t="str">
            <v>Labor Rate</v>
          </cell>
          <cell r="E1408" t="str">
            <v>SA</v>
          </cell>
          <cell r="F1408" t="str">
            <v>Southern Africa Sub-Regional Division</v>
          </cell>
          <cell r="G1408" t="str">
            <v>Angola Rep.O.</v>
          </cell>
          <cell r="H1408" t="str">
            <v>4015</v>
          </cell>
          <cell r="I1408" t="str">
            <v>A8安哥拉</v>
          </cell>
          <cell r="J1408" t="str">
            <v>Angola</v>
          </cell>
          <cell r="K1408" t="str">
            <v>Local employees</v>
          </cell>
          <cell r="L1408" t="str">
            <v>L3</v>
          </cell>
          <cell r="M1408" t="str">
            <v>ALL</v>
          </cell>
          <cell r="N1408" t="str">
            <v>FLPC(含奖金)</v>
          </cell>
          <cell r="O1408" t="str">
            <v>USD/小时</v>
          </cell>
          <cell r="P1408">
            <v>68.150000000000006</v>
          </cell>
        </row>
        <row r="1409">
          <cell r="A1409" t="str">
            <v>Namibia - Local employees - L0</v>
          </cell>
          <cell r="B1409" t="str">
            <v>Current version</v>
          </cell>
          <cell r="C1409" t="str">
            <v>V2009R2</v>
          </cell>
          <cell r="D1409" t="str">
            <v>Labor Rate</v>
          </cell>
          <cell r="E1409" t="str">
            <v>SA</v>
          </cell>
          <cell r="F1409" t="str">
            <v>Southern Africa Sub-Regional Division</v>
          </cell>
          <cell r="G1409" t="str">
            <v>Angola Rep.O.</v>
          </cell>
          <cell r="H1409" t="str">
            <v>4017</v>
          </cell>
          <cell r="I1409" t="str">
            <v>纳米比亚</v>
          </cell>
          <cell r="J1409" t="str">
            <v>Namibia</v>
          </cell>
          <cell r="K1409" t="str">
            <v>Local employees</v>
          </cell>
          <cell r="L1409" t="str">
            <v>L0</v>
          </cell>
          <cell r="M1409" t="str">
            <v>ALL</v>
          </cell>
          <cell r="N1409" t="str">
            <v>FLPC(含奖金)</v>
          </cell>
          <cell r="O1409" t="str">
            <v>USD/小时</v>
          </cell>
          <cell r="P1409">
            <v>30.47</v>
          </cell>
        </row>
        <row r="1410">
          <cell r="A1410" t="str">
            <v>Namibia - Local employees - L1</v>
          </cell>
          <cell r="B1410" t="str">
            <v>Current version</v>
          </cell>
          <cell r="C1410" t="str">
            <v>V2009R2</v>
          </cell>
          <cell r="D1410" t="str">
            <v>Labor Rate</v>
          </cell>
          <cell r="E1410" t="str">
            <v>SA</v>
          </cell>
          <cell r="F1410" t="str">
            <v>Southern Africa Sub-Regional Division</v>
          </cell>
          <cell r="G1410" t="str">
            <v>Angola Rep.O.</v>
          </cell>
          <cell r="H1410" t="str">
            <v>4017</v>
          </cell>
          <cell r="I1410" t="str">
            <v>纳米比亚</v>
          </cell>
          <cell r="J1410" t="str">
            <v>Namibia</v>
          </cell>
          <cell r="K1410" t="str">
            <v>Local employees</v>
          </cell>
          <cell r="L1410" t="str">
            <v>L1</v>
          </cell>
          <cell r="M1410" t="str">
            <v>ALL</v>
          </cell>
          <cell r="N1410" t="str">
            <v>FLPC(含奖金)</v>
          </cell>
          <cell r="O1410" t="str">
            <v>USD/小时</v>
          </cell>
          <cell r="P1410">
            <v>34.9</v>
          </cell>
        </row>
        <row r="1411">
          <cell r="A1411" t="str">
            <v>Ethiopia - Local employees - L0</v>
          </cell>
          <cell r="B1411" t="str">
            <v>Current version</v>
          </cell>
          <cell r="C1411" t="str">
            <v>V2009R2</v>
          </cell>
          <cell r="D1411" t="str">
            <v>Labor Rate</v>
          </cell>
          <cell r="E1411" t="str">
            <v>SA</v>
          </cell>
          <cell r="F1411" t="str">
            <v>Eastern Africa Sub-Regional Division</v>
          </cell>
          <cell r="G1411" t="str">
            <v>Uganda Rep.O.</v>
          </cell>
          <cell r="H1411" t="str">
            <v>4012</v>
          </cell>
          <cell r="I1411" t="str">
            <v>埃塞俄比亚</v>
          </cell>
          <cell r="J1411" t="str">
            <v>Ethiopia</v>
          </cell>
          <cell r="K1411" t="str">
            <v>Local employees</v>
          </cell>
          <cell r="L1411" t="str">
            <v>L0</v>
          </cell>
          <cell r="M1411" t="str">
            <v>ALL</v>
          </cell>
          <cell r="N1411" t="str">
            <v>FLPC(含奖金)</v>
          </cell>
          <cell r="O1411" t="str">
            <v>USD/小时</v>
          </cell>
          <cell r="P1411">
            <v>13.53</v>
          </cell>
        </row>
        <row r="1412">
          <cell r="A1412" t="str">
            <v>Ethiopia - Local employees - L1</v>
          </cell>
          <cell r="B1412" t="str">
            <v>Current version</v>
          </cell>
          <cell r="C1412" t="str">
            <v>V2009R2</v>
          </cell>
          <cell r="D1412" t="str">
            <v>Labor Rate</v>
          </cell>
          <cell r="E1412" t="str">
            <v>SA</v>
          </cell>
          <cell r="F1412" t="str">
            <v>Eastern Africa Sub-Regional Division</v>
          </cell>
          <cell r="G1412" t="str">
            <v>Uganda Rep.O.</v>
          </cell>
          <cell r="H1412" t="str">
            <v>4012</v>
          </cell>
          <cell r="I1412" t="str">
            <v>埃塞俄比亚</v>
          </cell>
          <cell r="J1412" t="str">
            <v>Ethiopia</v>
          </cell>
          <cell r="K1412" t="str">
            <v>Local employees</v>
          </cell>
          <cell r="L1412" t="str">
            <v>L1</v>
          </cell>
          <cell r="M1412" t="str">
            <v>ALL</v>
          </cell>
          <cell r="N1412" t="str">
            <v>FLPC(含奖金)</v>
          </cell>
          <cell r="O1412" t="str">
            <v>USD/小时</v>
          </cell>
          <cell r="P1412">
            <v>14.3</v>
          </cell>
        </row>
        <row r="1413">
          <cell r="A1413" t="str">
            <v>Ethiopia - Local employees - L2</v>
          </cell>
          <cell r="B1413" t="str">
            <v>Current version</v>
          </cell>
          <cell r="C1413" t="str">
            <v>V2009R2</v>
          </cell>
          <cell r="D1413" t="str">
            <v>Labor Rate</v>
          </cell>
          <cell r="E1413" t="str">
            <v>SA</v>
          </cell>
          <cell r="F1413" t="str">
            <v>Eastern Africa Sub-Regional Division</v>
          </cell>
          <cell r="G1413" t="str">
            <v>Uganda Rep.O.</v>
          </cell>
          <cell r="H1413" t="str">
            <v>4012</v>
          </cell>
          <cell r="I1413" t="str">
            <v>埃塞俄比亚</v>
          </cell>
          <cell r="J1413" t="str">
            <v>Ethiopia</v>
          </cell>
          <cell r="K1413" t="str">
            <v>Local employees</v>
          </cell>
          <cell r="L1413" t="str">
            <v>L2</v>
          </cell>
          <cell r="M1413" t="str">
            <v>ALL</v>
          </cell>
          <cell r="N1413" t="str">
            <v>FLPC(含奖金)</v>
          </cell>
          <cell r="O1413" t="str">
            <v>USD/小时</v>
          </cell>
          <cell r="P1413">
            <v>15.79</v>
          </cell>
        </row>
        <row r="1414">
          <cell r="A1414" t="str">
            <v>Ethiopia - Local employees - L3</v>
          </cell>
          <cell r="B1414" t="str">
            <v>Current version</v>
          </cell>
          <cell r="C1414" t="str">
            <v>V2009R2</v>
          </cell>
          <cell r="D1414" t="str">
            <v>Labor Rate</v>
          </cell>
          <cell r="E1414" t="str">
            <v>SA</v>
          </cell>
          <cell r="F1414" t="str">
            <v>Eastern Africa Sub-Regional Division</v>
          </cell>
          <cell r="G1414" t="str">
            <v>Uganda Rep.O.</v>
          </cell>
          <cell r="H1414" t="str">
            <v>4012</v>
          </cell>
          <cell r="I1414" t="str">
            <v>埃塞俄比亚</v>
          </cell>
          <cell r="J1414" t="str">
            <v>Ethiopia</v>
          </cell>
          <cell r="K1414" t="str">
            <v>Local employees</v>
          </cell>
          <cell r="L1414" t="str">
            <v>L3</v>
          </cell>
          <cell r="M1414" t="str">
            <v>ALL</v>
          </cell>
          <cell r="N1414" t="str">
            <v>FLPC(含奖金)</v>
          </cell>
          <cell r="O1414" t="str">
            <v>USD/小时</v>
          </cell>
          <cell r="P1414">
            <v>26.46</v>
          </cell>
        </row>
        <row r="1415">
          <cell r="A1415" t="str">
            <v>Ethiopia - Local employees - L4</v>
          </cell>
          <cell r="B1415" t="str">
            <v>Current version</v>
          </cell>
          <cell r="C1415" t="str">
            <v>V2009R2</v>
          </cell>
          <cell r="D1415" t="str">
            <v>Labor Rate</v>
          </cell>
          <cell r="E1415" t="str">
            <v>SA</v>
          </cell>
          <cell r="F1415" t="str">
            <v>Eastern Africa Sub-Regional Division</v>
          </cell>
          <cell r="G1415" t="str">
            <v>Uganda Rep.O.</v>
          </cell>
          <cell r="H1415" t="str">
            <v>4012</v>
          </cell>
          <cell r="I1415" t="str">
            <v>埃塞俄比亚</v>
          </cell>
          <cell r="J1415" t="str">
            <v>Ethiopia</v>
          </cell>
          <cell r="K1415" t="str">
            <v>Local employees</v>
          </cell>
          <cell r="L1415" t="str">
            <v>L4</v>
          </cell>
          <cell r="M1415" t="str">
            <v>ALL</v>
          </cell>
          <cell r="N1415" t="str">
            <v>FLPC(含奖金)</v>
          </cell>
          <cell r="O1415" t="str">
            <v>USD/小时</v>
          </cell>
          <cell r="P1415">
            <v>39.57</v>
          </cell>
        </row>
        <row r="1416">
          <cell r="A1416" t="str">
            <v>Uganda - Local employees - L0</v>
          </cell>
          <cell r="B1416" t="str">
            <v>Current version</v>
          </cell>
          <cell r="C1416" t="str">
            <v>V2009R2</v>
          </cell>
          <cell r="D1416" t="str">
            <v>Labor Rate</v>
          </cell>
          <cell r="E1416" t="str">
            <v>SA</v>
          </cell>
          <cell r="F1416" t="str">
            <v>Eastern Africa Sub-Regional Division</v>
          </cell>
          <cell r="G1416" t="str">
            <v>Uganda Rep.O.</v>
          </cell>
          <cell r="H1416" t="str">
            <v>4003</v>
          </cell>
          <cell r="I1416" t="str">
            <v>乌干达</v>
          </cell>
          <cell r="J1416" t="str">
            <v>Uganda</v>
          </cell>
          <cell r="K1416" t="str">
            <v>Local employees</v>
          </cell>
          <cell r="L1416" t="str">
            <v>L0</v>
          </cell>
          <cell r="M1416" t="str">
            <v>ALL</v>
          </cell>
          <cell r="N1416" t="str">
            <v>FLPC(含奖金)</v>
          </cell>
          <cell r="O1416" t="str">
            <v>USD/小时</v>
          </cell>
          <cell r="P1416">
            <v>17.93</v>
          </cell>
        </row>
        <row r="1417">
          <cell r="A1417" t="str">
            <v>Uganda - Local employees - L1</v>
          </cell>
          <cell r="B1417" t="str">
            <v>Current version</v>
          </cell>
          <cell r="C1417" t="str">
            <v>V2009R2</v>
          </cell>
          <cell r="D1417" t="str">
            <v>Labor Rate</v>
          </cell>
          <cell r="E1417" t="str">
            <v>SA</v>
          </cell>
          <cell r="F1417" t="str">
            <v>Eastern Africa Sub-Regional Division</v>
          </cell>
          <cell r="G1417" t="str">
            <v>Uganda Rep.O.</v>
          </cell>
          <cell r="H1417" t="str">
            <v>4003</v>
          </cell>
          <cell r="I1417" t="str">
            <v>乌干达</v>
          </cell>
          <cell r="J1417" t="str">
            <v>Uganda</v>
          </cell>
          <cell r="K1417" t="str">
            <v>Local employees</v>
          </cell>
          <cell r="L1417" t="str">
            <v>L1</v>
          </cell>
          <cell r="M1417" t="str">
            <v>ALL</v>
          </cell>
          <cell r="N1417" t="str">
            <v>FLPC(含奖金)</v>
          </cell>
          <cell r="O1417" t="str">
            <v>USD/小时</v>
          </cell>
          <cell r="P1417">
            <v>21.82</v>
          </cell>
        </row>
        <row r="1418">
          <cell r="A1418" t="str">
            <v>Uganda - Local employees - L2</v>
          </cell>
          <cell r="B1418" t="str">
            <v>Current version</v>
          </cell>
          <cell r="C1418" t="str">
            <v>V2009R2</v>
          </cell>
          <cell r="D1418" t="str">
            <v>Labor Rate</v>
          </cell>
          <cell r="E1418" t="str">
            <v>SA</v>
          </cell>
          <cell r="F1418" t="str">
            <v>Eastern Africa Sub-Regional Division</v>
          </cell>
          <cell r="G1418" t="str">
            <v>Uganda Rep.O.</v>
          </cell>
          <cell r="H1418" t="str">
            <v>4003</v>
          </cell>
          <cell r="I1418" t="str">
            <v>乌干达</v>
          </cell>
          <cell r="J1418" t="str">
            <v>Uganda</v>
          </cell>
          <cell r="K1418" t="str">
            <v>Local employees</v>
          </cell>
          <cell r="L1418" t="str">
            <v>L2</v>
          </cell>
          <cell r="M1418" t="str">
            <v>ALL</v>
          </cell>
          <cell r="N1418" t="str">
            <v>FLPC(含奖金)</v>
          </cell>
          <cell r="O1418" t="str">
            <v>USD/小时</v>
          </cell>
          <cell r="P1418">
            <v>31.29</v>
          </cell>
        </row>
        <row r="1419">
          <cell r="A1419" t="str">
            <v>Uganda - Local employees - L3</v>
          </cell>
          <cell r="B1419" t="str">
            <v>Current version</v>
          </cell>
          <cell r="C1419" t="str">
            <v>V2009R2</v>
          </cell>
          <cell r="D1419" t="str">
            <v>Labor Rate</v>
          </cell>
          <cell r="E1419" t="str">
            <v>SA</v>
          </cell>
          <cell r="F1419" t="str">
            <v>Eastern Africa Sub-Regional Division</v>
          </cell>
          <cell r="G1419" t="str">
            <v>Uganda Rep.O.</v>
          </cell>
          <cell r="H1419" t="str">
            <v>4003</v>
          </cell>
          <cell r="I1419" t="str">
            <v>乌干达</v>
          </cell>
          <cell r="J1419" t="str">
            <v>Uganda</v>
          </cell>
          <cell r="K1419" t="str">
            <v>Local employees</v>
          </cell>
          <cell r="L1419" t="str">
            <v>L3</v>
          </cell>
          <cell r="M1419" t="str">
            <v>ALL</v>
          </cell>
          <cell r="N1419" t="str">
            <v>FLPC(含奖金)</v>
          </cell>
          <cell r="O1419" t="str">
            <v>USD/小时</v>
          </cell>
          <cell r="P1419">
            <v>53.6</v>
          </cell>
        </row>
        <row r="1420">
          <cell r="A1420" t="str">
            <v>Uganda - Local employees - L4</v>
          </cell>
          <cell r="B1420" t="str">
            <v>Current version</v>
          </cell>
          <cell r="C1420" t="str">
            <v>V2009R2</v>
          </cell>
          <cell r="D1420" t="str">
            <v>Labor Rate</v>
          </cell>
          <cell r="E1420" t="str">
            <v>SA</v>
          </cell>
          <cell r="F1420" t="str">
            <v>Eastern Africa Sub-Regional Division</v>
          </cell>
          <cell r="G1420" t="str">
            <v>Uganda Rep.O.</v>
          </cell>
          <cell r="H1420" t="str">
            <v>4003</v>
          </cell>
          <cell r="I1420" t="str">
            <v>乌干达</v>
          </cell>
          <cell r="J1420" t="str">
            <v>Uganda</v>
          </cell>
          <cell r="K1420" t="str">
            <v>Local employees</v>
          </cell>
          <cell r="L1420" t="str">
            <v>L4</v>
          </cell>
          <cell r="M1420" t="str">
            <v>ALL</v>
          </cell>
          <cell r="N1420" t="str">
            <v>FLPC(含奖金)</v>
          </cell>
          <cell r="O1420" t="str">
            <v>USD/小时</v>
          </cell>
          <cell r="P1420">
            <v>65.61</v>
          </cell>
        </row>
        <row r="1421">
          <cell r="A1421" t="str">
            <v>Rwanda - Local employees - L0</v>
          </cell>
          <cell r="B1421" t="str">
            <v>Current version</v>
          </cell>
          <cell r="C1421" t="str">
            <v>V2009R2</v>
          </cell>
          <cell r="D1421" t="str">
            <v>Labor Rate</v>
          </cell>
          <cell r="E1421" t="str">
            <v>SA</v>
          </cell>
          <cell r="F1421" t="str">
            <v>Eastern Africa Sub-Regional Division</v>
          </cell>
          <cell r="G1421" t="str">
            <v>Uganda Rep.O.</v>
          </cell>
          <cell r="H1421" t="str">
            <v>4022</v>
          </cell>
          <cell r="I1421" t="str">
            <v>卢旺达</v>
          </cell>
          <cell r="J1421" t="str">
            <v>Rwanda</v>
          </cell>
          <cell r="K1421" t="str">
            <v>Local employees</v>
          </cell>
          <cell r="L1421" t="str">
            <v>L0</v>
          </cell>
          <cell r="M1421" t="str">
            <v>ALL</v>
          </cell>
          <cell r="N1421" t="str">
            <v>FLPC(含奖金)</v>
          </cell>
          <cell r="O1421" t="str">
            <v>USD/小时</v>
          </cell>
          <cell r="P1421">
            <v>18.66</v>
          </cell>
        </row>
        <row r="1422">
          <cell r="A1422" t="str">
            <v>Rwanda - Local employees - L1</v>
          </cell>
          <cell r="B1422" t="str">
            <v>Current version</v>
          </cell>
          <cell r="C1422" t="str">
            <v>V2009R2</v>
          </cell>
          <cell r="D1422" t="str">
            <v>Labor Rate</v>
          </cell>
          <cell r="E1422" t="str">
            <v>SA</v>
          </cell>
          <cell r="F1422" t="str">
            <v>Eastern Africa Sub-Regional Division</v>
          </cell>
          <cell r="G1422" t="str">
            <v>Uganda Rep.O.</v>
          </cell>
          <cell r="H1422" t="str">
            <v>4022</v>
          </cell>
          <cell r="I1422" t="str">
            <v>卢旺达</v>
          </cell>
          <cell r="J1422" t="str">
            <v>Rwanda</v>
          </cell>
          <cell r="K1422" t="str">
            <v>Local employees</v>
          </cell>
          <cell r="L1422" t="str">
            <v>L1</v>
          </cell>
          <cell r="M1422" t="str">
            <v>ALL</v>
          </cell>
          <cell r="N1422" t="str">
            <v>FLPC(含奖金)</v>
          </cell>
          <cell r="O1422" t="str">
            <v>USD/小时</v>
          </cell>
          <cell r="P1422">
            <v>20.62</v>
          </cell>
        </row>
        <row r="1423">
          <cell r="A1423" t="str">
            <v>Rwanda - Local employees - L2</v>
          </cell>
          <cell r="B1423" t="str">
            <v>Current version</v>
          </cell>
          <cell r="C1423" t="str">
            <v>V2009R2</v>
          </cell>
          <cell r="D1423" t="str">
            <v>Labor Rate</v>
          </cell>
          <cell r="E1423" t="str">
            <v>SA</v>
          </cell>
          <cell r="F1423" t="str">
            <v>Eastern Africa Sub-Regional Division</v>
          </cell>
          <cell r="G1423" t="str">
            <v>Uganda Rep.O.</v>
          </cell>
          <cell r="H1423" t="str">
            <v>4022</v>
          </cell>
          <cell r="I1423" t="str">
            <v>卢旺达</v>
          </cell>
          <cell r="J1423" t="str">
            <v>Rwanda</v>
          </cell>
          <cell r="K1423" t="str">
            <v>Local employees</v>
          </cell>
          <cell r="L1423" t="str">
            <v>L2</v>
          </cell>
          <cell r="M1423" t="str">
            <v>ALL</v>
          </cell>
          <cell r="N1423" t="str">
            <v>FLPC(含奖金)</v>
          </cell>
          <cell r="O1423" t="str">
            <v>USD/小时</v>
          </cell>
          <cell r="P1423">
            <v>26.16</v>
          </cell>
        </row>
        <row r="1424">
          <cell r="A1424" t="str">
            <v>Rwanda - Local employees - L3</v>
          </cell>
          <cell r="B1424" t="str">
            <v>Current version</v>
          </cell>
          <cell r="C1424" t="str">
            <v>V2009R2</v>
          </cell>
          <cell r="D1424" t="str">
            <v>Labor Rate</v>
          </cell>
          <cell r="E1424" t="str">
            <v>SA</v>
          </cell>
          <cell r="F1424" t="str">
            <v>Eastern Africa Sub-Regional Division</v>
          </cell>
          <cell r="G1424" t="str">
            <v>Uganda Rep.O.</v>
          </cell>
          <cell r="H1424" t="str">
            <v>4022</v>
          </cell>
          <cell r="I1424" t="str">
            <v>卢旺达</v>
          </cell>
          <cell r="J1424" t="str">
            <v>Rwanda</v>
          </cell>
          <cell r="K1424" t="str">
            <v>Local employees</v>
          </cell>
          <cell r="L1424" t="str">
            <v>L3</v>
          </cell>
          <cell r="M1424" t="str">
            <v>ALL</v>
          </cell>
          <cell r="N1424" t="str">
            <v>FLPC(含奖金)</v>
          </cell>
          <cell r="O1424" t="str">
            <v>USD/小时</v>
          </cell>
          <cell r="P1424">
            <v>34.94</v>
          </cell>
        </row>
        <row r="1425">
          <cell r="A1425" t="str">
            <v>Rwanda - Local employees - L4</v>
          </cell>
          <cell r="B1425" t="str">
            <v>Current version</v>
          </cell>
          <cell r="C1425" t="str">
            <v>V2009R2</v>
          </cell>
          <cell r="D1425" t="str">
            <v>Labor Rate</v>
          </cell>
          <cell r="E1425" t="str">
            <v>SA</v>
          </cell>
          <cell r="F1425" t="str">
            <v>Eastern Africa Sub-Regional Division</v>
          </cell>
          <cell r="G1425" t="str">
            <v>Uganda Rep.O.</v>
          </cell>
          <cell r="H1425" t="str">
            <v>4022</v>
          </cell>
          <cell r="I1425" t="str">
            <v>卢旺达</v>
          </cell>
          <cell r="J1425" t="str">
            <v>Rwanda</v>
          </cell>
          <cell r="K1425" t="str">
            <v>Local employees</v>
          </cell>
          <cell r="L1425" t="str">
            <v>L4</v>
          </cell>
          <cell r="M1425" t="str">
            <v>ALL</v>
          </cell>
          <cell r="N1425" t="str">
            <v>FLPC(含奖金)</v>
          </cell>
          <cell r="O1425" t="str">
            <v>USD/小时</v>
          </cell>
          <cell r="P1425">
            <v>51.45</v>
          </cell>
        </row>
        <row r="1426">
          <cell r="A1426" t="str">
            <v>Burundi - Local employees - L0</v>
          </cell>
          <cell r="B1426" t="str">
            <v>Current version</v>
          </cell>
          <cell r="C1426" t="str">
            <v>V2009R2</v>
          </cell>
          <cell r="D1426" t="str">
            <v>Labor Rate</v>
          </cell>
          <cell r="E1426" t="str">
            <v>SA</v>
          </cell>
          <cell r="F1426" t="str">
            <v>Eastern Africa Sub-Regional Division</v>
          </cell>
          <cell r="G1426" t="str">
            <v>Uganda Rep.O.</v>
          </cell>
          <cell r="H1426" t="str">
            <v>4030</v>
          </cell>
          <cell r="I1426" t="str">
            <v>布隆迪</v>
          </cell>
          <cell r="J1426" t="str">
            <v>Burundi</v>
          </cell>
          <cell r="K1426" t="str">
            <v>Local employees</v>
          </cell>
          <cell r="L1426" t="str">
            <v>L0</v>
          </cell>
          <cell r="M1426" t="str">
            <v>ALL</v>
          </cell>
          <cell r="N1426" t="str">
            <v>FLPC(含奖金)</v>
          </cell>
          <cell r="O1426" t="str">
            <v>USD/小时</v>
          </cell>
          <cell r="P1426">
            <v>17.079999999999998</v>
          </cell>
        </row>
        <row r="1427">
          <cell r="A1427" t="str">
            <v>Burundi - Local employees - L1</v>
          </cell>
          <cell r="B1427" t="str">
            <v>Current version</v>
          </cell>
          <cell r="C1427" t="str">
            <v>V2009R2</v>
          </cell>
          <cell r="D1427" t="str">
            <v>Labor Rate</v>
          </cell>
          <cell r="E1427" t="str">
            <v>SA</v>
          </cell>
          <cell r="F1427" t="str">
            <v>Eastern Africa Sub-Regional Division</v>
          </cell>
          <cell r="G1427" t="str">
            <v>Uganda Rep.O.</v>
          </cell>
          <cell r="H1427" t="str">
            <v>4030</v>
          </cell>
          <cell r="I1427" t="str">
            <v>布隆迪</v>
          </cell>
          <cell r="J1427" t="str">
            <v>Burundi</v>
          </cell>
          <cell r="K1427" t="str">
            <v>Local employees</v>
          </cell>
          <cell r="L1427" t="str">
            <v>L1</v>
          </cell>
          <cell r="M1427" t="str">
            <v>ALL</v>
          </cell>
          <cell r="N1427" t="str">
            <v>FLPC(含奖金)</v>
          </cell>
          <cell r="O1427" t="str">
            <v>USD/小时</v>
          </cell>
          <cell r="P1427">
            <v>19.37</v>
          </cell>
        </row>
        <row r="1428">
          <cell r="A1428" t="str">
            <v>Burundi - Local employees - L2</v>
          </cell>
          <cell r="B1428" t="str">
            <v>Current version</v>
          </cell>
          <cell r="C1428" t="str">
            <v>V2009R2</v>
          </cell>
          <cell r="D1428" t="str">
            <v>Labor Rate</v>
          </cell>
          <cell r="E1428" t="str">
            <v>SA</v>
          </cell>
          <cell r="F1428" t="str">
            <v>Eastern Africa Sub-Regional Division</v>
          </cell>
          <cell r="G1428" t="str">
            <v>Uganda Rep.O.</v>
          </cell>
          <cell r="H1428" t="str">
            <v>4030</v>
          </cell>
          <cell r="I1428" t="str">
            <v>布隆迪</v>
          </cell>
          <cell r="J1428" t="str">
            <v>Burundi</v>
          </cell>
          <cell r="K1428" t="str">
            <v>Local employees</v>
          </cell>
          <cell r="L1428" t="str">
            <v>L2</v>
          </cell>
          <cell r="M1428" t="str">
            <v>ALL</v>
          </cell>
          <cell r="N1428" t="str">
            <v>FLPC(含奖金)</v>
          </cell>
          <cell r="O1428" t="str">
            <v>USD/小时</v>
          </cell>
          <cell r="P1428">
            <v>24.38</v>
          </cell>
        </row>
        <row r="1429">
          <cell r="A1429" t="str">
            <v>Burundi - Local employees - L3</v>
          </cell>
          <cell r="B1429" t="str">
            <v>Current version</v>
          </cell>
          <cell r="C1429" t="str">
            <v>V2009R2</v>
          </cell>
          <cell r="D1429" t="str">
            <v>Labor Rate</v>
          </cell>
          <cell r="E1429" t="str">
            <v>SA</v>
          </cell>
          <cell r="F1429" t="str">
            <v>Eastern Africa Sub-Regional Division</v>
          </cell>
          <cell r="G1429" t="str">
            <v>Uganda Rep.O.</v>
          </cell>
          <cell r="H1429" t="str">
            <v>4030</v>
          </cell>
          <cell r="I1429" t="str">
            <v>布隆迪</v>
          </cell>
          <cell r="J1429" t="str">
            <v>Burundi</v>
          </cell>
          <cell r="K1429" t="str">
            <v>Local employees</v>
          </cell>
          <cell r="L1429" t="str">
            <v>L3</v>
          </cell>
          <cell r="M1429" t="str">
            <v>ALL</v>
          </cell>
          <cell r="N1429" t="str">
            <v>FLPC(含奖金)</v>
          </cell>
          <cell r="O1429" t="str">
            <v>USD/小时</v>
          </cell>
          <cell r="P1429">
            <v>23.89</v>
          </cell>
        </row>
        <row r="1430">
          <cell r="A1430" t="str">
            <v>Burundi - Local employees - L4</v>
          </cell>
          <cell r="B1430" t="str">
            <v>Current version</v>
          </cell>
          <cell r="C1430" t="str">
            <v>V2009R2</v>
          </cell>
          <cell r="D1430" t="str">
            <v>Labor Rate</v>
          </cell>
          <cell r="E1430" t="str">
            <v>SA</v>
          </cell>
          <cell r="F1430" t="str">
            <v>Eastern Africa Sub-Regional Division</v>
          </cell>
          <cell r="G1430" t="str">
            <v>Uganda Rep.O.</v>
          </cell>
          <cell r="H1430" t="str">
            <v>4030</v>
          </cell>
          <cell r="I1430" t="str">
            <v>布隆迪</v>
          </cell>
          <cell r="J1430" t="str">
            <v>Burundi</v>
          </cell>
          <cell r="K1430" t="str">
            <v>Local employees</v>
          </cell>
          <cell r="L1430" t="str">
            <v>L4</v>
          </cell>
          <cell r="M1430" t="str">
            <v>ALL</v>
          </cell>
          <cell r="N1430" t="str">
            <v>FLPC(含奖金)</v>
          </cell>
          <cell r="O1430" t="str">
            <v>USD/小时</v>
          </cell>
          <cell r="P1430">
            <v>25.13</v>
          </cell>
        </row>
        <row r="1431">
          <cell r="A1431" t="str">
            <v>Tanzania - Local employees - L0</v>
          </cell>
          <cell r="B1431" t="str">
            <v>Current version</v>
          </cell>
          <cell r="C1431" t="str">
            <v>V2009R2</v>
          </cell>
          <cell r="D1431" t="str">
            <v>Labor Rate</v>
          </cell>
          <cell r="E1431" t="str">
            <v>SA</v>
          </cell>
          <cell r="F1431" t="str">
            <v>Eastern Africa Sub-Regional Division</v>
          </cell>
          <cell r="G1431" t="str">
            <v>Tanzania</v>
          </cell>
          <cell r="H1431" t="str">
            <v>4013</v>
          </cell>
          <cell r="I1431" t="str">
            <v>坦桑尼亚</v>
          </cell>
          <cell r="J1431" t="str">
            <v>Tanzania</v>
          </cell>
          <cell r="K1431" t="str">
            <v>Local employees</v>
          </cell>
          <cell r="L1431" t="str">
            <v>L0</v>
          </cell>
          <cell r="M1431" t="str">
            <v>ALL</v>
          </cell>
          <cell r="N1431" t="str">
            <v>FLPC(含奖金)</v>
          </cell>
          <cell r="O1431" t="str">
            <v>USD/小时</v>
          </cell>
          <cell r="P1431">
            <v>16.329999999999998</v>
          </cell>
        </row>
        <row r="1432">
          <cell r="A1432" t="str">
            <v>Tanzania - Local employees - L1</v>
          </cell>
          <cell r="B1432" t="str">
            <v>Current version</v>
          </cell>
          <cell r="C1432" t="str">
            <v>V2009R2</v>
          </cell>
          <cell r="D1432" t="str">
            <v>Labor Rate</v>
          </cell>
          <cell r="E1432" t="str">
            <v>SA</v>
          </cell>
          <cell r="F1432" t="str">
            <v>Eastern Africa Sub-Regional Division</v>
          </cell>
          <cell r="G1432" t="str">
            <v>Tanzania</v>
          </cell>
          <cell r="H1432" t="str">
            <v>4013</v>
          </cell>
          <cell r="I1432" t="str">
            <v>坦桑尼亚</v>
          </cell>
          <cell r="J1432" t="str">
            <v>Tanzania</v>
          </cell>
          <cell r="K1432" t="str">
            <v>Local employees</v>
          </cell>
          <cell r="L1432" t="str">
            <v>L1</v>
          </cell>
          <cell r="M1432" t="str">
            <v>ALL</v>
          </cell>
          <cell r="N1432" t="str">
            <v>FLPC(含奖金)</v>
          </cell>
          <cell r="O1432" t="str">
            <v>USD/小时</v>
          </cell>
          <cell r="P1432">
            <v>20.14</v>
          </cell>
        </row>
        <row r="1433">
          <cell r="A1433" t="str">
            <v>Tanzania - Local employees - L2</v>
          </cell>
          <cell r="B1433" t="str">
            <v>Current version</v>
          </cell>
          <cell r="C1433" t="str">
            <v>V2009R2</v>
          </cell>
          <cell r="D1433" t="str">
            <v>Labor Rate</v>
          </cell>
          <cell r="E1433" t="str">
            <v>SA</v>
          </cell>
          <cell r="F1433" t="str">
            <v>Eastern Africa Sub-Regional Division</v>
          </cell>
          <cell r="G1433" t="str">
            <v>Tanzania</v>
          </cell>
          <cell r="H1433" t="str">
            <v>4013</v>
          </cell>
          <cell r="I1433" t="str">
            <v>坦桑尼亚</v>
          </cell>
          <cell r="J1433" t="str">
            <v>Tanzania</v>
          </cell>
          <cell r="K1433" t="str">
            <v>Local employees</v>
          </cell>
          <cell r="L1433" t="str">
            <v>L2</v>
          </cell>
          <cell r="M1433" t="str">
            <v>ALL</v>
          </cell>
          <cell r="N1433" t="str">
            <v>FLPC(含奖金)</v>
          </cell>
          <cell r="O1433" t="str">
            <v>USD/小时</v>
          </cell>
          <cell r="P1433">
            <v>28.18</v>
          </cell>
        </row>
        <row r="1434">
          <cell r="A1434" t="str">
            <v>Tanzania - Local employees - L3</v>
          </cell>
          <cell r="B1434" t="str">
            <v>Current version</v>
          </cell>
          <cell r="C1434" t="str">
            <v>V2009R2</v>
          </cell>
          <cell r="D1434" t="str">
            <v>Labor Rate</v>
          </cell>
          <cell r="E1434" t="str">
            <v>SA</v>
          </cell>
          <cell r="F1434" t="str">
            <v>Eastern Africa Sub-Regional Division</v>
          </cell>
          <cell r="G1434" t="str">
            <v>Tanzania</v>
          </cell>
          <cell r="H1434" t="str">
            <v>4013</v>
          </cell>
          <cell r="I1434" t="str">
            <v>坦桑尼亚</v>
          </cell>
          <cell r="J1434" t="str">
            <v>Tanzania</v>
          </cell>
          <cell r="K1434" t="str">
            <v>Local employees</v>
          </cell>
          <cell r="L1434" t="str">
            <v>L3</v>
          </cell>
          <cell r="M1434" t="str">
            <v>ALL</v>
          </cell>
          <cell r="N1434" t="str">
            <v>FLPC(含奖金)</v>
          </cell>
          <cell r="O1434" t="str">
            <v>USD/小时</v>
          </cell>
          <cell r="P1434">
            <v>43.62</v>
          </cell>
        </row>
        <row r="1435">
          <cell r="A1435" t="str">
            <v>Tanzania - Local employees - L4</v>
          </cell>
          <cell r="B1435" t="str">
            <v>Current version</v>
          </cell>
          <cell r="C1435" t="str">
            <v>V2009R2</v>
          </cell>
          <cell r="D1435" t="str">
            <v>Labor Rate</v>
          </cell>
          <cell r="E1435" t="str">
            <v>SA</v>
          </cell>
          <cell r="F1435" t="str">
            <v>Eastern Africa Sub-Regional Division</v>
          </cell>
          <cell r="G1435" t="str">
            <v>Tanzania</v>
          </cell>
          <cell r="H1435" t="str">
            <v>4013</v>
          </cell>
          <cell r="I1435" t="str">
            <v>坦桑尼亚</v>
          </cell>
          <cell r="J1435" t="str">
            <v>Tanzania</v>
          </cell>
          <cell r="K1435" t="str">
            <v>Local employees</v>
          </cell>
          <cell r="L1435" t="str">
            <v>L4</v>
          </cell>
          <cell r="M1435" t="str">
            <v>ALL</v>
          </cell>
          <cell r="N1435" t="str">
            <v>FLPC(含奖金)</v>
          </cell>
          <cell r="O1435" t="str">
            <v>USD/小时</v>
          </cell>
          <cell r="P1435">
            <v>58.57</v>
          </cell>
        </row>
        <row r="1436">
          <cell r="A1436" t="str">
            <v>Djibouti - Local employees - L0</v>
          </cell>
          <cell r="B1436" t="str">
            <v>Current version</v>
          </cell>
          <cell r="C1436" t="str">
            <v>V2009R2</v>
          </cell>
          <cell r="D1436" t="str">
            <v>Labor Rate</v>
          </cell>
          <cell r="E1436" t="str">
            <v>SA</v>
          </cell>
          <cell r="F1436" t="str">
            <v>Eastern Africa Sub-Regional Division</v>
          </cell>
          <cell r="G1436" t="str">
            <v>Kenya Rep.O.</v>
          </cell>
          <cell r="H1436" t="str">
            <v>4018</v>
          </cell>
          <cell r="I1436" t="str">
            <v>吉布提</v>
          </cell>
          <cell r="J1436" t="str">
            <v>Djibouti</v>
          </cell>
          <cell r="K1436" t="str">
            <v>Local employees</v>
          </cell>
          <cell r="L1436" t="str">
            <v>L0</v>
          </cell>
          <cell r="M1436" t="str">
            <v>ALL</v>
          </cell>
          <cell r="N1436" t="str">
            <v>FLPC(含奖金)</v>
          </cell>
          <cell r="O1436" t="str">
            <v>USD/小时</v>
          </cell>
          <cell r="P1436">
            <v>13.98</v>
          </cell>
        </row>
        <row r="1437">
          <cell r="A1437" t="str">
            <v>Djibouti - Local employees - L1</v>
          </cell>
          <cell r="B1437" t="str">
            <v>Current version</v>
          </cell>
          <cell r="C1437" t="str">
            <v>V2009R2</v>
          </cell>
          <cell r="D1437" t="str">
            <v>Labor Rate</v>
          </cell>
          <cell r="E1437" t="str">
            <v>SA</v>
          </cell>
          <cell r="F1437" t="str">
            <v>Eastern Africa Sub-Regional Division</v>
          </cell>
          <cell r="G1437" t="str">
            <v>Kenya Rep.O.</v>
          </cell>
          <cell r="H1437" t="str">
            <v>4018</v>
          </cell>
          <cell r="I1437" t="str">
            <v>吉布提</v>
          </cell>
          <cell r="J1437" t="str">
            <v>Djibouti</v>
          </cell>
          <cell r="K1437" t="str">
            <v>Local employees</v>
          </cell>
          <cell r="L1437" t="str">
            <v>L1</v>
          </cell>
          <cell r="M1437" t="str">
            <v>ALL</v>
          </cell>
          <cell r="N1437" t="str">
            <v>FLPC(含奖金)</v>
          </cell>
          <cell r="O1437" t="str">
            <v>USD/小时</v>
          </cell>
          <cell r="P1437">
            <v>17.47</v>
          </cell>
        </row>
        <row r="1438">
          <cell r="A1438" t="str">
            <v>Djibouti - Local employees - L2</v>
          </cell>
          <cell r="B1438" t="str">
            <v>Current version</v>
          </cell>
          <cell r="C1438" t="str">
            <v>V2009R2</v>
          </cell>
          <cell r="D1438" t="str">
            <v>Labor Rate</v>
          </cell>
          <cell r="E1438" t="str">
            <v>SA</v>
          </cell>
          <cell r="F1438" t="str">
            <v>Eastern Africa Sub-Regional Division</v>
          </cell>
          <cell r="G1438" t="str">
            <v>Kenya Rep.O.</v>
          </cell>
          <cell r="H1438" t="str">
            <v>4018</v>
          </cell>
          <cell r="I1438" t="str">
            <v>吉布提</v>
          </cell>
          <cell r="J1438" t="str">
            <v>Djibouti</v>
          </cell>
          <cell r="K1438" t="str">
            <v>Local employees</v>
          </cell>
          <cell r="L1438" t="str">
            <v>L2</v>
          </cell>
          <cell r="M1438" t="str">
            <v>ALL</v>
          </cell>
          <cell r="N1438" t="str">
            <v>FLPC(含奖金)</v>
          </cell>
          <cell r="O1438" t="str">
            <v>USD/小时</v>
          </cell>
          <cell r="P1438">
            <v>25.6</v>
          </cell>
        </row>
        <row r="1439">
          <cell r="A1439" t="str">
            <v>Djibouti - Local employees - L3</v>
          </cell>
          <cell r="B1439" t="str">
            <v>Current version</v>
          </cell>
          <cell r="C1439" t="str">
            <v>V2009R2</v>
          </cell>
          <cell r="D1439" t="str">
            <v>Labor Rate</v>
          </cell>
          <cell r="E1439" t="str">
            <v>SA</v>
          </cell>
          <cell r="F1439" t="str">
            <v>Eastern Africa Sub-Regional Division</v>
          </cell>
          <cell r="G1439" t="str">
            <v>Kenya Rep.O.</v>
          </cell>
          <cell r="H1439" t="str">
            <v>4018</v>
          </cell>
          <cell r="I1439" t="str">
            <v>吉布提</v>
          </cell>
          <cell r="J1439" t="str">
            <v>Djibouti</v>
          </cell>
          <cell r="K1439" t="str">
            <v>Local employees</v>
          </cell>
          <cell r="L1439" t="str">
            <v>L3</v>
          </cell>
          <cell r="M1439" t="str">
            <v>ALL</v>
          </cell>
          <cell r="N1439" t="str">
            <v>FLPC(含奖金)</v>
          </cell>
          <cell r="O1439" t="str">
            <v>USD/小时</v>
          </cell>
          <cell r="P1439">
            <v>42.81</v>
          </cell>
        </row>
        <row r="1440">
          <cell r="A1440" t="str">
            <v>Djibouti - Local employees - L4</v>
          </cell>
          <cell r="B1440" t="str">
            <v>Current version</v>
          </cell>
          <cell r="C1440" t="str">
            <v>V2009R2</v>
          </cell>
          <cell r="D1440" t="str">
            <v>Labor Rate</v>
          </cell>
          <cell r="E1440" t="str">
            <v>SA</v>
          </cell>
          <cell r="F1440" t="str">
            <v>Eastern Africa Sub-Regional Division</v>
          </cell>
          <cell r="G1440" t="str">
            <v>Kenya Rep.O.</v>
          </cell>
          <cell r="H1440" t="str">
            <v>4018</v>
          </cell>
          <cell r="I1440" t="str">
            <v>吉布提</v>
          </cell>
          <cell r="J1440" t="str">
            <v>Djibouti</v>
          </cell>
          <cell r="K1440" t="str">
            <v>Local employees</v>
          </cell>
          <cell r="L1440" t="str">
            <v>L4</v>
          </cell>
          <cell r="M1440" t="str">
            <v>ALL</v>
          </cell>
          <cell r="N1440" t="str">
            <v>FLPC(含奖金)</v>
          </cell>
          <cell r="O1440" t="str">
            <v>USD/小时</v>
          </cell>
          <cell r="P1440">
            <v>71.239999999999995</v>
          </cell>
        </row>
        <row r="1441">
          <cell r="A1441" t="str">
            <v>Somalia - Local employees - L0</v>
          </cell>
          <cell r="B1441" t="str">
            <v>Current version</v>
          </cell>
          <cell r="C1441" t="str">
            <v>V2009R2</v>
          </cell>
          <cell r="D1441" t="str">
            <v>Labor Rate</v>
          </cell>
          <cell r="E1441" t="str">
            <v>SA</v>
          </cell>
          <cell r="F1441" t="str">
            <v>Eastern Africa Sub-Regional Division</v>
          </cell>
          <cell r="G1441" t="str">
            <v>Kenya Rep.O.</v>
          </cell>
          <cell r="H1441" t="str">
            <v>4037</v>
          </cell>
          <cell r="I1441" t="str">
            <v>索马里</v>
          </cell>
          <cell r="J1441" t="str">
            <v>Somalia</v>
          </cell>
          <cell r="K1441" t="str">
            <v>Local employees</v>
          </cell>
          <cell r="L1441" t="str">
            <v>L0</v>
          </cell>
          <cell r="M1441" t="str">
            <v>ALL</v>
          </cell>
          <cell r="N1441" t="str">
            <v>FLPC(含奖金)</v>
          </cell>
          <cell r="O1441" t="str">
            <v>USD/小时</v>
          </cell>
          <cell r="P1441">
            <v>14.01</v>
          </cell>
        </row>
        <row r="1442">
          <cell r="A1442" t="str">
            <v>Somalia - Local employees - L1</v>
          </cell>
          <cell r="B1442" t="str">
            <v>Current version</v>
          </cell>
          <cell r="C1442" t="str">
            <v>V2009R2</v>
          </cell>
          <cell r="D1442" t="str">
            <v>Labor Rate</v>
          </cell>
          <cell r="E1442" t="str">
            <v>SA</v>
          </cell>
          <cell r="F1442" t="str">
            <v>Eastern Africa Sub-Regional Division</v>
          </cell>
          <cell r="G1442" t="str">
            <v>Kenya Rep.O.</v>
          </cell>
          <cell r="H1442" t="str">
            <v>4037</v>
          </cell>
          <cell r="I1442" t="str">
            <v>索马里</v>
          </cell>
          <cell r="J1442" t="str">
            <v>Somalia</v>
          </cell>
          <cell r="K1442" t="str">
            <v>Local employees</v>
          </cell>
          <cell r="L1442" t="str">
            <v>L1</v>
          </cell>
          <cell r="M1442" t="str">
            <v>ALL</v>
          </cell>
          <cell r="N1442" t="str">
            <v>FLPC(含奖金)</v>
          </cell>
          <cell r="O1442" t="str">
            <v>USD/小时</v>
          </cell>
          <cell r="P1442">
            <v>17.55</v>
          </cell>
        </row>
        <row r="1443">
          <cell r="A1443" t="str">
            <v>Somalia - Local employees - L2</v>
          </cell>
          <cell r="B1443" t="str">
            <v>Current version</v>
          </cell>
          <cell r="C1443" t="str">
            <v>V2009R2</v>
          </cell>
          <cell r="D1443" t="str">
            <v>Labor Rate</v>
          </cell>
          <cell r="E1443" t="str">
            <v>SA</v>
          </cell>
          <cell r="F1443" t="str">
            <v>Eastern Africa Sub-Regional Division</v>
          </cell>
          <cell r="G1443" t="str">
            <v>Kenya Rep.O.</v>
          </cell>
          <cell r="H1443" t="str">
            <v>4037</v>
          </cell>
          <cell r="I1443" t="str">
            <v>索马里</v>
          </cell>
          <cell r="J1443" t="str">
            <v>Somalia</v>
          </cell>
          <cell r="K1443" t="str">
            <v>Local employees</v>
          </cell>
          <cell r="L1443" t="str">
            <v>L2</v>
          </cell>
          <cell r="M1443" t="str">
            <v>ALL</v>
          </cell>
          <cell r="N1443" t="str">
            <v>FLPC(含奖金)</v>
          </cell>
          <cell r="O1443" t="str">
            <v>USD/小时</v>
          </cell>
          <cell r="P1443">
            <v>25.75</v>
          </cell>
        </row>
        <row r="1444">
          <cell r="A1444" t="str">
            <v>Somalia - Local employees - L3</v>
          </cell>
          <cell r="B1444" t="str">
            <v>Current version</v>
          </cell>
          <cell r="C1444" t="str">
            <v>V2009R2</v>
          </cell>
          <cell r="D1444" t="str">
            <v>Labor Rate</v>
          </cell>
          <cell r="E1444" t="str">
            <v>SA</v>
          </cell>
          <cell r="F1444" t="str">
            <v>Eastern Africa Sub-Regional Division</v>
          </cell>
          <cell r="G1444" t="str">
            <v>Kenya Rep.O.</v>
          </cell>
          <cell r="H1444" t="str">
            <v>4037</v>
          </cell>
          <cell r="I1444" t="str">
            <v>索马里</v>
          </cell>
          <cell r="J1444" t="str">
            <v>Somalia</v>
          </cell>
          <cell r="K1444" t="str">
            <v>Local employees</v>
          </cell>
          <cell r="L1444" t="str">
            <v>L3</v>
          </cell>
          <cell r="M1444" t="str">
            <v>ALL</v>
          </cell>
          <cell r="N1444" t="str">
            <v>FLPC(含奖金)</v>
          </cell>
          <cell r="O1444" t="str">
            <v>USD/小时</v>
          </cell>
          <cell r="P1444">
            <v>43.14</v>
          </cell>
        </row>
        <row r="1445">
          <cell r="A1445" t="str">
            <v>Somalia - Local employees - L4</v>
          </cell>
          <cell r="B1445" t="str">
            <v>Current version</v>
          </cell>
          <cell r="C1445" t="str">
            <v>V2009R2</v>
          </cell>
          <cell r="D1445" t="str">
            <v>Labor Rate</v>
          </cell>
          <cell r="E1445" t="str">
            <v>SA</v>
          </cell>
          <cell r="F1445" t="str">
            <v>Eastern Africa Sub-Regional Division</v>
          </cell>
          <cell r="G1445" t="str">
            <v>Kenya Rep.O.</v>
          </cell>
          <cell r="H1445" t="str">
            <v>4037</v>
          </cell>
          <cell r="I1445" t="str">
            <v>索马里</v>
          </cell>
          <cell r="J1445" t="str">
            <v>Somalia</v>
          </cell>
          <cell r="K1445" t="str">
            <v>Local employees</v>
          </cell>
          <cell r="L1445" t="str">
            <v>L4</v>
          </cell>
          <cell r="M1445" t="str">
            <v>ALL</v>
          </cell>
          <cell r="N1445" t="str">
            <v>FLPC(含奖金)</v>
          </cell>
          <cell r="O1445" t="str">
            <v>USD/小时</v>
          </cell>
          <cell r="P1445">
            <v>71.87</v>
          </cell>
        </row>
        <row r="1446">
          <cell r="A1446" t="str">
            <v>Kenya - Local employees - L0</v>
          </cell>
          <cell r="B1446" t="str">
            <v>Current version</v>
          </cell>
          <cell r="C1446" t="str">
            <v>V2009R2</v>
          </cell>
          <cell r="D1446" t="str">
            <v>Labor Rate</v>
          </cell>
          <cell r="E1446" t="str">
            <v>SA</v>
          </cell>
          <cell r="F1446" t="str">
            <v>Eastern Africa Sub-Regional Division</v>
          </cell>
          <cell r="G1446" t="str">
            <v>Kenya Rep.O.</v>
          </cell>
          <cell r="H1446" t="str">
            <v>4002</v>
          </cell>
          <cell r="I1446" t="str">
            <v>肯尼亚</v>
          </cell>
          <cell r="J1446" t="str">
            <v>Kenya</v>
          </cell>
          <cell r="K1446" t="str">
            <v>Local employees</v>
          </cell>
          <cell r="L1446" t="str">
            <v>L0</v>
          </cell>
          <cell r="M1446" t="str">
            <v>ALL</v>
          </cell>
          <cell r="N1446" t="str">
            <v>FLPC(含奖金)</v>
          </cell>
          <cell r="O1446" t="str">
            <v>USD/小时</v>
          </cell>
          <cell r="P1446">
            <v>17.45</v>
          </cell>
        </row>
        <row r="1447">
          <cell r="A1447" t="str">
            <v>Kenya - Local employees - L1</v>
          </cell>
          <cell r="B1447" t="str">
            <v>Current version</v>
          </cell>
          <cell r="C1447" t="str">
            <v>V2009R2</v>
          </cell>
          <cell r="D1447" t="str">
            <v>Labor Rate</v>
          </cell>
          <cell r="E1447" t="str">
            <v>SA</v>
          </cell>
          <cell r="F1447" t="str">
            <v>Eastern Africa Sub-Regional Division</v>
          </cell>
          <cell r="G1447" t="str">
            <v>Kenya Rep.O.</v>
          </cell>
          <cell r="H1447" t="str">
            <v>4002</v>
          </cell>
          <cell r="I1447" t="str">
            <v>肯尼亚</v>
          </cell>
          <cell r="J1447" t="str">
            <v>Kenya</v>
          </cell>
          <cell r="K1447" t="str">
            <v>Local employees</v>
          </cell>
          <cell r="L1447" t="str">
            <v>L1</v>
          </cell>
          <cell r="M1447" t="str">
            <v>ALL</v>
          </cell>
          <cell r="N1447" t="str">
            <v>FLPC(含奖金)</v>
          </cell>
          <cell r="O1447" t="str">
            <v>USD/小时</v>
          </cell>
          <cell r="P1447">
            <v>24.72</v>
          </cell>
        </row>
        <row r="1448">
          <cell r="A1448" t="str">
            <v>Kenya - Local employees - L2</v>
          </cell>
          <cell r="B1448" t="str">
            <v>Current version</v>
          </cell>
          <cell r="C1448" t="str">
            <v>V2009R2</v>
          </cell>
          <cell r="D1448" t="str">
            <v>Labor Rate</v>
          </cell>
          <cell r="E1448" t="str">
            <v>SA</v>
          </cell>
          <cell r="F1448" t="str">
            <v>Eastern Africa Sub-Regional Division</v>
          </cell>
          <cell r="G1448" t="str">
            <v>Kenya Rep.O.</v>
          </cell>
          <cell r="H1448" t="str">
            <v>4002</v>
          </cell>
          <cell r="I1448" t="str">
            <v>肯尼亚</v>
          </cell>
          <cell r="J1448" t="str">
            <v>Kenya</v>
          </cell>
          <cell r="K1448" t="str">
            <v>Local employees</v>
          </cell>
          <cell r="L1448" t="str">
            <v>L2</v>
          </cell>
          <cell r="M1448" t="str">
            <v>ALL</v>
          </cell>
          <cell r="N1448" t="str">
            <v>FLPC(含奖金)</v>
          </cell>
          <cell r="O1448" t="str">
            <v>USD/小时</v>
          </cell>
          <cell r="P1448">
            <v>38.96</v>
          </cell>
        </row>
        <row r="1449">
          <cell r="A1449" t="str">
            <v>Kenya - Local employees - L3</v>
          </cell>
          <cell r="B1449" t="str">
            <v>Current version</v>
          </cell>
          <cell r="C1449" t="str">
            <v>V2009R2</v>
          </cell>
          <cell r="D1449" t="str">
            <v>Labor Rate</v>
          </cell>
          <cell r="E1449" t="str">
            <v>SA</v>
          </cell>
          <cell r="F1449" t="str">
            <v>Eastern Africa Sub-Regional Division</v>
          </cell>
          <cell r="G1449" t="str">
            <v>Kenya Rep.O.</v>
          </cell>
          <cell r="H1449" t="str">
            <v>4002</v>
          </cell>
          <cell r="I1449" t="str">
            <v>肯尼亚</v>
          </cell>
          <cell r="J1449" t="str">
            <v>Kenya</v>
          </cell>
          <cell r="K1449" t="str">
            <v>Local employees</v>
          </cell>
          <cell r="L1449" t="str">
            <v>L3</v>
          </cell>
          <cell r="M1449" t="str">
            <v>ALL</v>
          </cell>
          <cell r="N1449" t="str">
            <v>FLPC(含奖金)</v>
          </cell>
          <cell r="O1449" t="str">
            <v>USD/小时</v>
          </cell>
          <cell r="P1449">
            <v>67.45</v>
          </cell>
        </row>
        <row r="1450">
          <cell r="A1450" t="str">
            <v>Kenya - Local employees - L4</v>
          </cell>
          <cell r="B1450" t="str">
            <v>Current version</v>
          </cell>
          <cell r="C1450" t="str">
            <v>V2009R2</v>
          </cell>
          <cell r="D1450" t="str">
            <v>Labor Rate</v>
          </cell>
          <cell r="E1450" t="str">
            <v>SA</v>
          </cell>
          <cell r="F1450" t="str">
            <v>Eastern Africa Sub-Regional Division</v>
          </cell>
          <cell r="G1450" t="str">
            <v>Kenya Rep.O.</v>
          </cell>
          <cell r="H1450" t="str">
            <v>4002</v>
          </cell>
          <cell r="I1450" t="str">
            <v>肯尼亚</v>
          </cell>
          <cell r="J1450" t="str">
            <v>Kenya</v>
          </cell>
          <cell r="K1450" t="str">
            <v>Local employees</v>
          </cell>
          <cell r="L1450" t="str">
            <v>L4</v>
          </cell>
          <cell r="M1450" t="str">
            <v>ALL</v>
          </cell>
          <cell r="N1450" t="str">
            <v>FLPC(含奖金)</v>
          </cell>
          <cell r="O1450" t="str">
            <v>USD/小时</v>
          </cell>
          <cell r="P1450">
            <v>104.59</v>
          </cell>
        </row>
        <row r="1451">
          <cell r="A1451" t="str">
            <v>Congo (Kinshasa) - Local employees - L0</v>
          </cell>
          <cell r="B1451" t="str">
            <v>Current version</v>
          </cell>
          <cell r="C1451" t="str">
            <v>V2009R2</v>
          </cell>
          <cell r="D1451" t="str">
            <v>Labor Rate</v>
          </cell>
          <cell r="E1451" t="str">
            <v>SA</v>
          </cell>
          <cell r="F1451" t="str">
            <v>Eastern Africa Sub-Regional Division</v>
          </cell>
          <cell r="G1451" t="str">
            <v>Congo Rep.O.</v>
          </cell>
          <cell r="H1451" t="str">
            <v>4014</v>
          </cell>
          <cell r="I1451" t="str">
            <v>刚果（金）</v>
          </cell>
          <cell r="J1451" t="str">
            <v>Congo (Kinshasa)</v>
          </cell>
          <cell r="K1451" t="str">
            <v>Local employees</v>
          </cell>
          <cell r="L1451" t="str">
            <v>L0</v>
          </cell>
          <cell r="M1451" t="str">
            <v>ALL</v>
          </cell>
          <cell r="N1451" t="str">
            <v>FLPC(含奖金)</v>
          </cell>
          <cell r="O1451" t="str">
            <v>USD/小时</v>
          </cell>
          <cell r="P1451">
            <v>34.86</v>
          </cell>
        </row>
        <row r="1452">
          <cell r="A1452" t="str">
            <v>Congo (Kinshasa) - Local employees - L1</v>
          </cell>
          <cell r="B1452" t="str">
            <v>Current version</v>
          </cell>
          <cell r="C1452" t="str">
            <v>V2009R2</v>
          </cell>
          <cell r="D1452" t="str">
            <v>Labor Rate</v>
          </cell>
          <cell r="E1452" t="str">
            <v>SA</v>
          </cell>
          <cell r="F1452" t="str">
            <v>Eastern Africa Sub-Regional Division</v>
          </cell>
          <cell r="G1452" t="str">
            <v>Congo Rep.O.</v>
          </cell>
          <cell r="H1452" t="str">
            <v>4014</v>
          </cell>
          <cell r="I1452" t="str">
            <v>刚果（金）</v>
          </cell>
          <cell r="J1452" t="str">
            <v>Congo (Kinshasa)</v>
          </cell>
          <cell r="K1452" t="str">
            <v>Local employees</v>
          </cell>
          <cell r="L1452" t="str">
            <v>L1</v>
          </cell>
          <cell r="M1452" t="str">
            <v>ALL</v>
          </cell>
          <cell r="N1452" t="str">
            <v>FLPC(含奖金)</v>
          </cell>
          <cell r="O1452" t="str">
            <v>USD/小时</v>
          </cell>
          <cell r="P1452">
            <v>37.17</v>
          </cell>
        </row>
        <row r="1453">
          <cell r="A1453" t="str">
            <v>Congo (Kinshasa) - Local employees - L2</v>
          </cell>
          <cell r="B1453" t="str">
            <v>Current version</v>
          </cell>
          <cell r="C1453" t="str">
            <v>V2009R2</v>
          </cell>
          <cell r="D1453" t="str">
            <v>Labor Rate</v>
          </cell>
          <cell r="E1453" t="str">
            <v>SA</v>
          </cell>
          <cell r="F1453" t="str">
            <v>Eastern Africa Sub-Regional Division</v>
          </cell>
          <cell r="G1453" t="str">
            <v>Congo Rep.O.</v>
          </cell>
          <cell r="H1453" t="str">
            <v>4014</v>
          </cell>
          <cell r="I1453" t="str">
            <v>刚果（金）</v>
          </cell>
          <cell r="J1453" t="str">
            <v>Congo (Kinshasa)</v>
          </cell>
          <cell r="K1453" t="str">
            <v>Local employees</v>
          </cell>
          <cell r="L1453" t="str">
            <v>L2</v>
          </cell>
          <cell r="M1453" t="str">
            <v>ALL</v>
          </cell>
          <cell r="N1453" t="str">
            <v>FLPC(含奖金)</v>
          </cell>
          <cell r="O1453" t="str">
            <v>USD/小时</v>
          </cell>
          <cell r="P1453">
            <v>41.96</v>
          </cell>
        </row>
        <row r="1454">
          <cell r="A1454" t="str">
            <v>Congo (Kinshasa) - Local employees - L3</v>
          </cell>
          <cell r="B1454" t="str">
            <v>Current version</v>
          </cell>
          <cell r="C1454" t="str">
            <v>V2009R2</v>
          </cell>
          <cell r="D1454" t="str">
            <v>Labor Rate</v>
          </cell>
          <cell r="E1454" t="str">
            <v>SA</v>
          </cell>
          <cell r="F1454" t="str">
            <v>Eastern Africa Sub-Regional Division</v>
          </cell>
          <cell r="G1454" t="str">
            <v>Congo Rep.O.</v>
          </cell>
          <cell r="H1454" t="str">
            <v>4014</v>
          </cell>
          <cell r="I1454" t="str">
            <v>刚果（金）</v>
          </cell>
          <cell r="J1454" t="str">
            <v>Congo (Kinshasa)</v>
          </cell>
          <cell r="K1454" t="str">
            <v>Local employees</v>
          </cell>
          <cell r="L1454" t="str">
            <v>L3</v>
          </cell>
          <cell r="M1454" t="str">
            <v>ALL</v>
          </cell>
          <cell r="N1454" t="str">
            <v>FLPC(含奖金)</v>
          </cell>
          <cell r="O1454" t="str">
            <v>USD/小时</v>
          </cell>
          <cell r="P1454">
            <v>40.020000000000003</v>
          </cell>
        </row>
        <row r="1455">
          <cell r="A1455" t="str">
            <v>Congo (Kinshasa) - Local employees - L4</v>
          </cell>
          <cell r="B1455" t="str">
            <v>Current version</v>
          </cell>
          <cell r="C1455" t="str">
            <v>V2009R2</v>
          </cell>
          <cell r="D1455" t="str">
            <v>Labor Rate</v>
          </cell>
          <cell r="E1455" t="str">
            <v>SA</v>
          </cell>
          <cell r="F1455" t="str">
            <v>Eastern Africa Sub-Regional Division</v>
          </cell>
          <cell r="G1455" t="str">
            <v>Congo Rep.O.</v>
          </cell>
          <cell r="H1455" t="str">
            <v>4014</v>
          </cell>
          <cell r="I1455" t="str">
            <v>刚果（金）</v>
          </cell>
          <cell r="J1455" t="str">
            <v>Congo (Kinshasa)</v>
          </cell>
          <cell r="K1455" t="str">
            <v>Local employees</v>
          </cell>
          <cell r="L1455" t="str">
            <v>L4</v>
          </cell>
          <cell r="M1455" t="str">
            <v>ALL</v>
          </cell>
          <cell r="N1455" t="str">
            <v>FLPC(含奖金)</v>
          </cell>
          <cell r="O1455" t="str">
            <v>USD/小时</v>
          </cell>
          <cell r="P1455">
            <v>49.08</v>
          </cell>
        </row>
        <row r="1456">
          <cell r="A1456" t="str">
            <v>Congo (Brazzaville) - Local employees - L0</v>
          </cell>
          <cell r="B1456" t="str">
            <v>Current version</v>
          </cell>
          <cell r="C1456" t="str">
            <v>V2009R2</v>
          </cell>
          <cell r="D1456" t="str">
            <v>Labor Rate</v>
          </cell>
          <cell r="E1456" t="str">
            <v>SA</v>
          </cell>
          <cell r="F1456" t="str">
            <v>Eastern Africa Sub-Regional Division</v>
          </cell>
          <cell r="G1456" t="str">
            <v>Congo Rep.O.</v>
          </cell>
          <cell r="H1456" t="str">
            <v>4036</v>
          </cell>
          <cell r="I1456" t="str">
            <v>刚果（布）</v>
          </cell>
          <cell r="J1456" t="str">
            <v>Congo (Brazzaville)</v>
          </cell>
          <cell r="K1456" t="str">
            <v>Local employees</v>
          </cell>
          <cell r="L1456" t="str">
            <v>L0</v>
          </cell>
          <cell r="M1456" t="str">
            <v>ALL</v>
          </cell>
          <cell r="N1456" t="str">
            <v>FLPC(含奖金)</v>
          </cell>
          <cell r="O1456" t="str">
            <v>USD/小时</v>
          </cell>
          <cell r="P1456">
            <v>34.08</v>
          </cell>
        </row>
        <row r="1457">
          <cell r="A1457" t="str">
            <v>Congo (Brazzaville) - Local employees - L1</v>
          </cell>
          <cell r="B1457" t="str">
            <v>Current version</v>
          </cell>
          <cell r="C1457" t="str">
            <v>V2009R2</v>
          </cell>
          <cell r="D1457" t="str">
            <v>Labor Rate</v>
          </cell>
          <cell r="E1457" t="str">
            <v>SA</v>
          </cell>
          <cell r="F1457" t="str">
            <v>Eastern Africa Sub-Regional Division</v>
          </cell>
          <cell r="G1457" t="str">
            <v>Congo Rep.O.</v>
          </cell>
          <cell r="H1457" t="str">
            <v>4036</v>
          </cell>
          <cell r="I1457" t="str">
            <v>刚果（布）</v>
          </cell>
          <cell r="J1457" t="str">
            <v>Congo (Brazzaville)</v>
          </cell>
          <cell r="K1457" t="str">
            <v>Local employees</v>
          </cell>
          <cell r="L1457" t="str">
            <v>L1</v>
          </cell>
          <cell r="M1457" t="str">
            <v>ALL</v>
          </cell>
          <cell r="N1457" t="str">
            <v>FLPC(含奖金)</v>
          </cell>
          <cell r="O1457" t="str">
            <v>USD/小时</v>
          </cell>
          <cell r="P1457">
            <v>35.93</v>
          </cell>
        </row>
        <row r="1458">
          <cell r="A1458" t="str">
            <v>Congo (Brazzaville) - Local employees - L2</v>
          </cell>
          <cell r="B1458" t="str">
            <v>Current version</v>
          </cell>
          <cell r="C1458" t="str">
            <v>V2009R2</v>
          </cell>
          <cell r="D1458" t="str">
            <v>Labor Rate</v>
          </cell>
          <cell r="E1458" t="str">
            <v>SA</v>
          </cell>
          <cell r="F1458" t="str">
            <v>Eastern Africa Sub-Regional Division</v>
          </cell>
          <cell r="G1458" t="str">
            <v>Congo Rep.O.</v>
          </cell>
          <cell r="H1458" t="str">
            <v>4036</v>
          </cell>
          <cell r="I1458" t="str">
            <v>刚果（布）</v>
          </cell>
          <cell r="J1458" t="str">
            <v>Congo (Brazzaville)</v>
          </cell>
          <cell r="K1458" t="str">
            <v>Local employees</v>
          </cell>
          <cell r="L1458" t="str">
            <v>L2</v>
          </cell>
          <cell r="M1458" t="str">
            <v>ALL</v>
          </cell>
          <cell r="N1458" t="str">
            <v>FLPC(含奖金)</v>
          </cell>
          <cell r="O1458" t="str">
            <v>USD/小时</v>
          </cell>
          <cell r="P1458">
            <v>38.07</v>
          </cell>
        </row>
        <row r="1459">
          <cell r="A1459" t="str">
            <v>Congo (Brazzaville) - Local employees - L3</v>
          </cell>
          <cell r="B1459" t="str">
            <v>Current version</v>
          </cell>
          <cell r="C1459" t="str">
            <v>V2009R2</v>
          </cell>
          <cell r="D1459" t="str">
            <v>Labor Rate</v>
          </cell>
          <cell r="E1459" t="str">
            <v>SA</v>
          </cell>
          <cell r="F1459" t="str">
            <v>Eastern Africa Sub-Regional Division</v>
          </cell>
          <cell r="G1459" t="str">
            <v>Congo Rep.O.</v>
          </cell>
          <cell r="H1459" t="str">
            <v>4036</v>
          </cell>
          <cell r="I1459" t="str">
            <v>刚果（布）</v>
          </cell>
          <cell r="J1459" t="str">
            <v>Congo (Brazzaville)</v>
          </cell>
          <cell r="K1459" t="str">
            <v>Local employees</v>
          </cell>
          <cell r="L1459" t="str">
            <v>L3</v>
          </cell>
          <cell r="M1459" t="str">
            <v>ALL</v>
          </cell>
          <cell r="N1459" t="str">
            <v>FLPC(含奖金)</v>
          </cell>
          <cell r="O1459" t="str">
            <v>USD/小时</v>
          </cell>
          <cell r="P1459">
            <v>41.43</v>
          </cell>
        </row>
        <row r="1460">
          <cell r="A1460" t="str">
            <v>Congo (Brazzaville) - Local employees - L4</v>
          </cell>
          <cell r="B1460" t="str">
            <v>Current version</v>
          </cell>
          <cell r="C1460" t="str">
            <v>V2009R2</v>
          </cell>
          <cell r="D1460" t="str">
            <v>Labor Rate</v>
          </cell>
          <cell r="E1460" t="str">
            <v>SA</v>
          </cell>
          <cell r="F1460" t="str">
            <v>Eastern Africa Sub-Regional Division</v>
          </cell>
          <cell r="G1460" t="str">
            <v>Congo Rep.O.</v>
          </cell>
          <cell r="H1460" t="str">
            <v>4036</v>
          </cell>
          <cell r="I1460" t="str">
            <v>刚果（布）</v>
          </cell>
          <cell r="J1460" t="str">
            <v>Congo (Brazzaville)</v>
          </cell>
          <cell r="K1460" t="str">
            <v>Local employees</v>
          </cell>
          <cell r="L1460" t="str">
            <v>L4</v>
          </cell>
          <cell r="M1460" t="str">
            <v>ALL</v>
          </cell>
          <cell r="N1460" t="str">
            <v>FLPC(含奖金)</v>
          </cell>
          <cell r="O1460" t="str">
            <v>USD/小时</v>
          </cell>
          <cell r="P1460">
            <v>51.45</v>
          </cell>
        </row>
        <row r="1461">
          <cell r="A1461" t="str">
            <v>Espirito Santo,Brazil - Local employees - L0</v>
          </cell>
          <cell r="B1461" t="str">
            <v>Current version</v>
          </cell>
          <cell r="C1461" t="str">
            <v>V2009R2</v>
          </cell>
          <cell r="D1461" t="str">
            <v>Labor Rate</v>
          </cell>
          <cell r="E1461" t="str">
            <v>LA</v>
          </cell>
          <cell r="F1461" t="str">
            <v>Southern South America Sub-Regional Division</v>
          </cell>
          <cell r="G1461" t="str">
            <v>Espirito Santo Rep.O.</v>
          </cell>
          <cell r="H1461" t="str">
            <v>6023</v>
          </cell>
          <cell r="I1461" t="str">
            <v>巴西里亚桑多</v>
          </cell>
          <cell r="J1461" t="str">
            <v>Espirito Santo,Brazil</v>
          </cell>
          <cell r="K1461" t="str">
            <v>Local employees</v>
          </cell>
          <cell r="L1461" t="str">
            <v>L0</v>
          </cell>
          <cell r="M1461" t="str">
            <v>ALL</v>
          </cell>
          <cell r="N1461" t="str">
            <v>FLPC(含奖金)</v>
          </cell>
          <cell r="O1461" t="str">
            <v>USD/小时</v>
          </cell>
          <cell r="P1461">
            <v>45.5</v>
          </cell>
        </row>
        <row r="1462">
          <cell r="A1462" t="str">
            <v>Espirito Santo,Brazil - Local employees - L1</v>
          </cell>
          <cell r="B1462" t="str">
            <v>Current version</v>
          </cell>
          <cell r="C1462" t="str">
            <v>V2009R2</v>
          </cell>
          <cell r="D1462" t="str">
            <v>Labor Rate</v>
          </cell>
          <cell r="E1462" t="str">
            <v>LA</v>
          </cell>
          <cell r="F1462" t="str">
            <v>Southern South America Sub-Regional Division</v>
          </cell>
          <cell r="G1462" t="str">
            <v>Espirito Santo Rep.O.</v>
          </cell>
          <cell r="H1462" t="str">
            <v>6023</v>
          </cell>
          <cell r="I1462" t="str">
            <v>巴西里亚桑多</v>
          </cell>
          <cell r="J1462" t="str">
            <v>Espirito Santo,Brazil</v>
          </cell>
          <cell r="K1462" t="str">
            <v>Local employees</v>
          </cell>
          <cell r="L1462" t="str">
            <v>L1</v>
          </cell>
          <cell r="M1462" t="str">
            <v>ALL</v>
          </cell>
          <cell r="N1462" t="str">
            <v>FLPC(含奖金)</v>
          </cell>
          <cell r="O1462" t="str">
            <v>USD/小时</v>
          </cell>
          <cell r="P1462">
            <v>59.5</v>
          </cell>
        </row>
        <row r="1463">
          <cell r="A1463" t="str">
            <v>Espirito Santo,Brazil - Local employees - L2</v>
          </cell>
          <cell r="B1463" t="str">
            <v>Current version</v>
          </cell>
          <cell r="C1463" t="str">
            <v>V2009R2</v>
          </cell>
          <cell r="D1463" t="str">
            <v>Labor Rate</v>
          </cell>
          <cell r="E1463" t="str">
            <v>LA</v>
          </cell>
          <cell r="F1463" t="str">
            <v>Southern South America Sub-Regional Division</v>
          </cell>
          <cell r="G1463" t="str">
            <v>Espirito Santo Rep.O.</v>
          </cell>
          <cell r="H1463" t="str">
            <v>6023</v>
          </cell>
          <cell r="I1463" t="str">
            <v>巴西里亚桑多</v>
          </cell>
          <cell r="J1463" t="str">
            <v>Espirito Santo,Brazil</v>
          </cell>
          <cell r="K1463" t="str">
            <v>Local employees</v>
          </cell>
          <cell r="L1463" t="str">
            <v>L2</v>
          </cell>
          <cell r="M1463" t="str">
            <v>ALL</v>
          </cell>
          <cell r="N1463" t="str">
            <v>FLPC(含奖金)</v>
          </cell>
          <cell r="O1463" t="str">
            <v>USD/小时</v>
          </cell>
          <cell r="P1463">
            <v>79.63</v>
          </cell>
        </row>
        <row r="1464">
          <cell r="A1464" t="str">
            <v>Espirito Santo,Brazil - Local employees - L3</v>
          </cell>
          <cell r="B1464" t="str">
            <v>Current version</v>
          </cell>
          <cell r="C1464" t="str">
            <v>V2009R2</v>
          </cell>
          <cell r="D1464" t="str">
            <v>Labor Rate</v>
          </cell>
          <cell r="E1464" t="str">
            <v>LA</v>
          </cell>
          <cell r="F1464" t="str">
            <v>Southern South America Sub-Regional Division</v>
          </cell>
          <cell r="G1464" t="str">
            <v>Espirito Santo Rep.O.</v>
          </cell>
          <cell r="H1464" t="str">
            <v>6023</v>
          </cell>
          <cell r="I1464" t="str">
            <v>巴西里亚桑多</v>
          </cell>
          <cell r="J1464" t="str">
            <v>Espirito Santo,Brazil</v>
          </cell>
          <cell r="K1464" t="str">
            <v>Local employees</v>
          </cell>
          <cell r="L1464" t="str">
            <v>L3</v>
          </cell>
          <cell r="M1464" t="str">
            <v>ALL</v>
          </cell>
          <cell r="N1464" t="str">
            <v>FLPC(含奖金)</v>
          </cell>
          <cell r="O1464" t="str">
            <v>USD/小时</v>
          </cell>
          <cell r="P1464">
            <v>119.01</v>
          </cell>
        </row>
        <row r="1465">
          <cell r="A1465" t="str">
            <v>Espirito Santo,Brazil - Local employees - L4</v>
          </cell>
          <cell r="B1465" t="str">
            <v>Current version</v>
          </cell>
          <cell r="C1465" t="str">
            <v>V2009R2</v>
          </cell>
          <cell r="D1465" t="str">
            <v>Labor Rate</v>
          </cell>
          <cell r="E1465" t="str">
            <v>LA</v>
          </cell>
          <cell r="F1465" t="str">
            <v>Southern South America Sub-Regional Division</v>
          </cell>
          <cell r="G1465" t="str">
            <v>Espirito Santo Rep.O.</v>
          </cell>
          <cell r="H1465" t="str">
            <v>6023</v>
          </cell>
          <cell r="I1465" t="str">
            <v>巴西里亚桑多</v>
          </cell>
          <cell r="J1465" t="str">
            <v>Espirito Santo,Brazil</v>
          </cell>
          <cell r="K1465" t="str">
            <v>Local employees</v>
          </cell>
          <cell r="L1465" t="str">
            <v>L4</v>
          </cell>
          <cell r="M1465" t="str">
            <v>ALL</v>
          </cell>
          <cell r="N1465" t="str">
            <v>FLPC(含奖金)</v>
          </cell>
          <cell r="O1465" t="str">
            <v>USD/小时</v>
          </cell>
          <cell r="P1465">
            <v>178.63</v>
          </cell>
        </row>
        <row r="1466">
          <cell r="A1466" t="str">
            <v>Chile - Local employees - L0</v>
          </cell>
          <cell r="B1466" t="str">
            <v>Current version</v>
          </cell>
          <cell r="C1466" t="str">
            <v>V2009R2</v>
          </cell>
          <cell r="D1466" t="str">
            <v>Labor Rate</v>
          </cell>
          <cell r="E1466" t="str">
            <v>LA</v>
          </cell>
          <cell r="F1466" t="str">
            <v>Southern South America Sub-Regional Division</v>
          </cell>
          <cell r="G1466" t="str">
            <v>Chile</v>
          </cell>
          <cell r="H1466" t="str">
            <v>6003</v>
          </cell>
          <cell r="I1466" t="str">
            <v>智利</v>
          </cell>
          <cell r="J1466" t="str">
            <v>Chile</v>
          </cell>
          <cell r="K1466" t="str">
            <v>Local employees</v>
          </cell>
          <cell r="L1466" t="str">
            <v>L0</v>
          </cell>
          <cell r="M1466" t="str">
            <v>ALL</v>
          </cell>
          <cell r="N1466" t="str">
            <v>FLPC(含奖金)</v>
          </cell>
          <cell r="O1466" t="str">
            <v>USD/小时</v>
          </cell>
          <cell r="P1466">
            <v>33.380000000000003</v>
          </cell>
        </row>
        <row r="1467">
          <cell r="A1467" t="str">
            <v>Chile - Local employees - L1</v>
          </cell>
          <cell r="B1467" t="str">
            <v>Current version</v>
          </cell>
          <cell r="C1467" t="str">
            <v>V2009R2</v>
          </cell>
          <cell r="D1467" t="str">
            <v>Labor Rate</v>
          </cell>
          <cell r="E1467" t="str">
            <v>LA</v>
          </cell>
          <cell r="F1467" t="str">
            <v>Southern South America Sub-Regional Division</v>
          </cell>
          <cell r="G1467" t="str">
            <v>Chile</v>
          </cell>
          <cell r="H1467" t="str">
            <v>6003</v>
          </cell>
          <cell r="I1467" t="str">
            <v>智利</v>
          </cell>
          <cell r="J1467" t="str">
            <v>Chile</v>
          </cell>
          <cell r="K1467" t="str">
            <v>Local employees</v>
          </cell>
          <cell r="L1467" t="str">
            <v>L1</v>
          </cell>
          <cell r="M1467" t="str">
            <v>ALL</v>
          </cell>
          <cell r="N1467" t="str">
            <v>FLPC(含奖金)</v>
          </cell>
          <cell r="O1467" t="str">
            <v>USD/小时</v>
          </cell>
          <cell r="P1467">
            <v>40.409999999999997</v>
          </cell>
        </row>
        <row r="1468">
          <cell r="A1468" t="str">
            <v>Chile - Local employees - L2</v>
          </cell>
          <cell r="B1468" t="str">
            <v>Current version</v>
          </cell>
          <cell r="C1468" t="str">
            <v>V2009R2</v>
          </cell>
          <cell r="D1468" t="str">
            <v>Labor Rate</v>
          </cell>
          <cell r="E1468" t="str">
            <v>LA</v>
          </cell>
          <cell r="F1468" t="str">
            <v>Southern South America Sub-Regional Division</v>
          </cell>
          <cell r="G1468" t="str">
            <v>Chile</v>
          </cell>
          <cell r="H1468" t="str">
            <v>6003</v>
          </cell>
          <cell r="I1468" t="str">
            <v>智利</v>
          </cell>
          <cell r="J1468" t="str">
            <v>Chile</v>
          </cell>
          <cell r="K1468" t="str">
            <v>Local employees</v>
          </cell>
          <cell r="L1468" t="str">
            <v>L2</v>
          </cell>
          <cell r="M1468" t="str">
            <v>ALL</v>
          </cell>
          <cell r="N1468" t="str">
            <v>FLPC(含奖金)</v>
          </cell>
          <cell r="O1468" t="str">
            <v>USD/小时</v>
          </cell>
          <cell r="P1468">
            <v>56.89</v>
          </cell>
        </row>
        <row r="1469">
          <cell r="A1469" t="str">
            <v>Chile - Local employees - L3</v>
          </cell>
          <cell r="B1469" t="str">
            <v>Current version</v>
          </cell>
          <cell r="C1469" t="str">
            <v>V2009R2</v>
          </cell>
          <cell r="D1469" t="str">
            <v>Labor Rate</v>
          </cell>
          <cell r="E1469" t="str">
            <v>LA</v>
          </cell>
          <cell r="F1469" t="str">
            <v>Southern South America Sub-Regional Division</v>
          </cell>
          <cell r="G1469" t="str">
            <v>Chile</v>
          </cell>
          <cell r="H1469" t="str">
            <v>6003</v>
          </cell>
          <cell r="I1469" t="str">
            <v>智利</v>
          </cell>
          <cell r="J1469" t="str">
            <v>Chile</v>
          </cell>
          <cell r="K1469" t="str">
            <v>Local employees</v>
          </cell>
          <cell r="L1469" t="str">
            <v>L3</v>
          </cell>
          <cell r="M1469" t="str">
            <v>ALL</v>
          </cell>
          <cell r="N1469" t="str">
            <v>FLPC(含奖金)</v>
          </cell>
          <cell r="O1469" t="str">
            <v>USD/小时</v>
          </cell>
          <cell r="P1469">
            <v>87.43</v>
          </cell>
        </row>
        <row r="1470">
          <cell r="A1470" t="str">
            <v>Chile - Local employees - L4</v>
          </cell>
          <cell r="B1470" t="str">
            <v>Current version</v>
          </cell>
          <cell r="C1470" t="str">
            <v>V2009R2</v>
          </cell>
          <cell r="D1470" t="str">
            <v>Labor Rate</v>
          </cell>
          <cell r="E1470" t="str">
            <v>LA</v>
          </cell>
          <cell r="F1470" t="str">
            <v>Southern South America Sub-Regional Division</v>
          </cell>
          <cell r="G1470" t="str">
            <v>Chile</v>
          </cell>
          <cell r="H1470" t="str">
            <v>6003</v>
          </cell>
          <cell r="I1470" t="str">
            <v>智利</v>
          </cell>
          <cell r="J1470" t="str">
            <v>Chile</v>
          </cell>
          <cell r="K1470" t="str">
            <v>Local employees</v>
          </cell>
          <cell r="L1470" t="str">
            <v>L4</v>
          </cell>
          <cell r="M1470" t="str">
            <v>ALL</v>
          </cell>
          <cell r="N1470" t="str">
            <v>FLPC(含奖金)</v>
          </cell>
          <cell r="O1470" t="str">
            <v>USD/小时</v>
          </cell>
          <cell r="P1470">
            <v>145.08000000000001</v>
          </cell>
        </row>
        <row r="1471">
          <cell r="A1471" t="str">
            <v>Sao Paulo, Brazil - Local employees - L0</v>
          </cell>
          <cell r="B1471" t="str">
            <v>Current version</v>
          </cell>
          <cell r="C1471" t="str">
            <v>V2009R2</v>
          </cell>
          <cell r="D1471" t="str">
            <v>Labor Rate</v>
          </cell>
          <cell r="E1471" t="str">
            <v>LA</v>
          </cell>
          <cell r="F1471" t="str">
            <v>Southern South America Sub-Regional Division</v>
          </cell>
          <cell r="G1471" t="str">
            <v>Brazil-Sao Paulo Rep.O.</v>
          </cell>
          <cell r="H1471" t="str">
            <v>6013</v>
          </cell>
          <cell r="I1471" t="str">
            <v>巴西圣保罗</v>
          </cell>
          <cell r="J1471" t="str">
            <v>Sao Paulo, Brazil</v>
          </cell>
          <cell r="K1471" t="str">
            <v>Local employees</v>
          </cell>
          <cell r="L1471" t="str">
            <v>L0</v>
          </cell>
          <cell r="M1471" t="str">
            <v>ALL</v>
          </cell>
          <cell r="N1471" t="str">
            <v>FLPC(含奖金)</v>
          </cell>
          <cell r="O1471" t="str">
            <v>USD/小时</v>
          </cell>
          <cell r="P1471">
            <v>45.5</v>
          </cell>
        </row>
        <row r="1472">
          <cell r="A1472" t="str">
            <v>Sao Paulo, Brazil - Local employees - L1</v>
          </cell>
          <cell r="B1472" t="str">
            <v>Current version</v>
          </cell>
          <cell r="C1472" t="str">
            <v>V2009R2</v>
          </cell>
          <cell r="D1472" t="str">
            <v>Labor Rate</v>
          </cell>
          <cell r="E1472" t="str">
            <v>LA</v>
          </cell>
          <cell r="F1472" t="str">
            <v>Southern South America Sub-Regional Division</v>
          </cell>
          <cell r="G1472" t="str">
            <v>Brazil-Sao Paulo Rep.O.</v>
          </cell>
          <cell r="H1472" t="str">
            <v>6013</v>
          </cell>
          <cell r="I1472" t="str">
            <v>巴西圣保罗</v>
          </cell>
          <cell r="J1472" t="str">
            <v>Sao Paulo, Brazil</v>
          </cell>
          <cell r="K1472" t="str">
            <v>Local employees</v>
          </cell>
          <cell r="L1472" t="str">
            <v>L1</v>
          </cell>
          <cell r="M1472" t="str">
            <v>ALL</v>
          </cell>
          <cell r="N1472" t="str">
            <v>FLPC(含奖金)</v>
          </cell>
          <cell r="O1472" t="str">
            <v>USD/小时</v>
          </cell>
          <cell r="P1472">
            <v>59.5</v>
          </cell>
        </row>
        <row r="1473">
          <cell r="A1473" t="str">
            <v>Sao Paulo, Brazil - Local employees - L2</v>
          </cell>
          <cell r="B1473" t="str">
            <v>Current version</v>
          </cell>
          <cell r="C1473" t="str">
            <v>V2009R2</v>
          </cell>
          <cell r="D1473" t="str">
            <v>Labor Rate</v>
          </cell>
          <cell r="E1473" t="str">
            <v>LA</v>
          </cell>
          <cell r="F1473" t="str">
            <v>Southern South America Sub-Regional Division</v>
          </cell>
          <cell r="G1473" t="str">
            <v>Brazil-Sao Paulo Rep.O.</v>
          </cell>
          <cell r="H1473" t="str">
            <v>6013</v>
          </cell>
          <cell r="I1473" t="str">
            <v>巴西圣保罗</v>
          </cell>
          <cell r="J1473" t="str">
            <v>Sao Paulo, Brazil</v>
          </cell>
          <cell r="K1473" t="str">
            <v>Local employees</v>
          </cell>
          <cell r="L1473" t="str">
            <v>L2</v>
          </cell>
          <cell r="M1473" t="str">
            <v>ALL</v>
          </cell>
          <cell r="N1473" t="str">
            <v>FLPC(含奖金)</v>
          </cell>
          <cell r="O1473" t="str">
            <v>USD/小时</v>
          </cell>
          <cell r="P1473">
            <v>79.63</v>
          </cell>
        </row>
        <row r="1474">
          <cell r="A1474" t="str">
            <v>Sao Paulo, Brazil - Local employees - L3</v>
          </cell>
          <cell r="B1474" t="str">
            <v>Current version</v>
          </cell>
          <cell r="C1474" t="str">
            <v>V2009R2</v>
          </cell>
          <cell r="D1474" t="str">
            <v>Labor Rate</v>
          </cell>
          <cell r="E1474" t="str">
            <v>LA</v>
          </cell>
          <cell r="F1474" t="str">
            <v>Southern South America Sub-Regional Division</v>
          </cell>
          <cell r="G1474" t="str">
            <v>Brazil-Sao Paulo Rep.O.</v>
          </cell>
          <cell r="H1474" t="str">
            <v>6013</v>
          </cell>
          <cell r="I1474" t="str">
            <v>巴西圣保罗</v>
          </cell>
          <cell r="J1474" t="str">
            <v>Sao Paulo, Brazil</v>
          </cell>
          <cell r="K1474" t="str">
            <v>Local employees</v>
          </cell>
          <cell r="L1474" t="str">
            <v>L3</v>
          </cell>
          <cell r="M1474" t="str">
            <v>ALL</v>
          </cell>
          <cell r="N1474" t="str">
            <v>FLPC(含奖金)</v>
          </cell>
          <cell r="O1474" t="str">
            <v>USD/小时</v>
          </cell>
          <cell r="P1474">
            <v>119.01</v>
          </cell>
        </row>
        <row r="1475">
          <cell r="A1475" t="str">
            <v>Sao Paulo, Brazil - Local employees - L4</v>
          </cell>
          <cell r="B1475" t="str">
            <v>Current version</v>
          </cell>
          <cell r="C1475" t="str">
            <v>V2009R2</v>
          </cell>
          <cell r="D1475" t="str">
            <v>Labor Rate</v>
          </cell>
          <cell r="E1475" t="str">
            <v>LA</v>
          </cell>
          <cell r="F1475" t="str">
            <v>Southern South America Sub-Regional Division</v>
          </cell>
          <cell r="G1475" t="str">
            <v>Brazil-Sao Paulo Rep.O.</v>
          </cell>
          <cell r="H1475" t="str">
            <v>6013</v>
          </cell>
          <cell r="I1475" t="str">
            <v>巴西圣保罗</v>
          </cell>
          <cell r="J1475" t="str">
            <v>Sao Paulo, Brazil</v>
          </cell>
          <cell r="K1475" t="str">
            <v>Local employees</v>
          </cell>
          <cell r="L1475" t="str">
            <v>L4</v>
          </cell>
          <cell r="M1475" t="str">
            <v>ALL</v>
          </cell>
          <cell r="N1475" t="str">
            <v>FLPC(含奖金)</v>
          </cell>
          <cell r="O1475" t="str">
            <v>USD/小时</v>
          </cell>
          <cell r="P1475">
            <v>178.63</v>
          </cell>
        </row>
        <row r="1476">
          <cell r="A1476" t="str">
            <v>Porto Alegre, Brazil - Local employees - L0</v>
          </cell>
          <cell r="B1476" t="str">
            <v>Current version</v>
          </cell>
          <cell r="C1476" t="str">
            <v>V2009R2</v>
          </cell>
          <cell r="D1476" t="str">
            <v>Labor Rate</v>
          </cell>
          <cell r="E1476" t="str">
            <v>LA</v>
          </cell>
          <cell r="F1476" t="str">
            <v>Southern South America Sub-Regional Division</v>
          </cell>
          <cell r="G1476" t="str">
            <v>Brazil-Sao Paulo Rep.O.</v>
          </cell>
          <cell r="H1476" t="str">
            <v>6032</v>
          </cell>
          <cell r="I1476" t="str">
            <v>巴西愉港</v>
          </cell>
          <cell r="J1476" t="str">
            <v>Porto Alegre, Brazil</v>
          </cell>
          <cell r="K1476" t="str">
            <v>Local employees</v>
          </cell>
          <cell r="L1476" t="str">
            <v>L0</v>
          </cell>
          <cell r="M1476" t="str">
            <v>ALL</v>
          </cell>
          <cell r="N1476" t="str">
            <v>FLPC(含奖金)</v>
          </cell>
          <cell r="O1476" t="str">
            <v>USD/小时</v>
          </cell>
          <cell r="P1476">
            <v>45.5</v>
          </cell>
        </row>
        <row r="1477">
          <cell r="A1477" t="str">
            <v>Porto Alegre, Brazil - Local employees - L1</v>
          </cell>
          <cell r="B1477" t="str">
            <v>Current version</v>
          </cell>
          <cell r="C1477" t="str">
            <v>V2009R2</v>
          </cell>
          <cell r="D1477" t="str">
            <v>Labor Rate</v>
          </cell>
          <cell r="E1477" t="str">
            <v>LA</v>
          </cell>
          <cell r="F1477" t="str">
            <v>Southern South America Sub-Regional Division</v>
          </cell>
          <cell r="G1477" t="str">
            <v>Brazil-Sao Paulo Rep.O.</v>
          </cell>
          <cell r="H1477" t="str">
            <v>6032</v>
          </cell>
          <cell r="I1477" t="str">
            <v>巴西愉港</v>
          </cell>
          <cell r="J1477" t="str">
            <v>Porto Alegre, Brazil</v>
          </cell>
          <cell r="K1477" t="str">
            <v>Local employees</v>
          </cell>
          <cell r="L1477" t="str">
            <v>L1</v>
          </cell>
          <cell r="M1477" t="str">
            <v>ALL</v>
          </cell>
          <cell r="N1477" t="str">
            <v>FLPC(含奖金)</v>
          </cell>
          <cell r="O1477" t="str">
            <v>USD/小时</v>
          </cell>
          <cell r="P1477">
            <v>59.5</v>
          </cell>
        </row>
        <row r="1478">
          <cell r="A1478" t="str">
            <v>Porto Alegre, Brazil - Local employees - L2</v>
          </cell>
          <cell r="B1478" t="str">
            <v>Current version</v>
          </cell>
          <cell r="C1478" t="str">
            <v>V2009R2</v>
          </cell>
          <cell r="D1478" t="str">
            <v>Labor Rate</v>
          </cell>
          <cell r="E1478" t="str">
            <v>LA</v>
          </cell>
          <cell r="F1478" t="str">
            <v>Southern South America Sub-Regional Division</v>
          </cell>
          <cell r="G1478" t="str">
            <v>Brazil-Sao Paulo Rep.O.</v>
          </cell>
          <cell r="H1478" t="str">
            <v>6032</v>
          </cell>
          <cell r="I1478" t="str">
            <v>巴西愉港</v>
          </cell>
          <cell r="J1478" t="str">
            <v>Porto Alegre, Brazil</v>
          </cell>
          <cell r="K1478" t="str">
            <v>Local employees</v>
          </cell>
          <cell r="L1478" t="str">
            <v>L2</v>
          </cell>
          <cell r="M1478" t="str">
            <v>ALL</v>
          </cell>
          <cell r="N1478" t="str">
            <v>FLPC(含奖金)</v>
          </cell>
          <cell r="O1478" t="str">
            <v>USD/小时</v>
          </cell>
          <cell r="P1478">
            <v>79.63</v>
          </cell>
        </row>
        <row r="1479">
          <cell r="A1479" t="str">
            <v>Fuzhou - Chinese employees - L1</v>
          </cell>
          <cell r="B1479" t="str">
            <v>Current version</v>
          </cell>
          <cell r="C1479" t="str">
            <v>V2009R2</v>
          </cell>
          <cell r="D1479" t="str">
            <v>Labor Rate</v>
          </cell>
          <cell r="E1479" t="str">
            <v>China</v>
          </cell>
          <cell r="F1479" t="str">
            <v>China</v>
          </cell>
          <cell r="G1479" t="str">
            <v>福州办事处</v>
          </cell>
          <cell r="H1479" t="str">
            <v>0028</v>
          </cell>
          <cell r="I1479" t="str">
            <v>福州</v>
          </cell>
          <cell r="J1479" t="str">
            <v>Fuzhou</v>
          </cell>
          <cell r="K1479" t="str">
            <v>Chinese employees</v>
          </cell>
          <cell r="L1479" t="str">
            <v>L1</v>
          </cell>
          <cell r="M1479" t="str">
            <v>ALL</v>
          </cell>
          <cell r="N1479" t="str">
            <v>FLPC(含奖金)</v>
          </cell>
          <cell r="O1479" t="str">
            <v>USD/小时</v>
          </cell>
          <cell r="P1479">
            <v>16.82</v>
          </cell>
        </row>
        <row r="1480">
          <cell r="A1480" t="str">
            <v>Fuzhou - Chinese employees - L2</v>
          </cell>
          <cell r="B1480" t="str">
            <v>Current version</v>
          </cell>
          <cell r="C1480" t="str">
            <v>V2009R2</v>
          </cell>
          <cell r="D1480" t="str">
            <v>Labor Rate</v>
          </cell>
          <cell r="E1480" t="str">
            <v>China</v>
          </cell>
          <cell r="F1480" t="str">
            <v>China</v>
          </cell>
          <cell r="G1480" t="str">
            <v>福州办事处</v>
          </cell>
          <cell r="H1480" t="str">
            <v>0028</v>
          </cell>
          <cell r="I1480" t="str">
            <v>福州</v>
          </cell>
          <cell r="J1480" t="str">
            <v>Fuzhou</v>
          </cell>
          <cell r="K1480" t="str">
            <v>Chinese employees</v>
          </cell>
          <cell r="L1480" t="str">
            <v>L2</v>
          </cell>
          <cell r="M1480" t="str">
            <v>ALL</v>
          </cell>
          <cell r="N1480" t="str">
            <v>FLPC(含奖金)</v>
          </cell>
          <cell r="O1480" t="str">
            <v>USD/小时</v>
          </cell>
          <cell r="P1480">
            <v>23.63</v>
          </cell>
        </row>
        <row r="1481">
          <cell r="A1481" t="str">
            <v>Fuzhou - Chinese employees - L3</v>
          </cell>
          <cell r="B1481" t="str">
            <v>Current version</v>
          </cell>
          <cell r="C1481" t="str">
            <v>V2009R2</v>
          </cell>
          <cell r="D1481" t="str">
            <v>Labor Rate</v>
          </cell>
          <cell r="E1481" t="str">
            <v>China</v>
          </cell>
          <cell r="F1481" t="str">
            <v>China</v>
          </cell>
          <cell r="G1481" t="str">
            <v>福州办事处</v>
          </cell>
          <cell r="H1481" t="str">
            <v>0028</v>
          </cell>
          <cell r="I1481" t="str">
            <v>福州</v>
          </cell>
          <cell r="J1481" t="str">
            <v>Fuzhou</v>
          </cell>
          <cell r="K1481" t="str">
            <v>Chinese employees</v>
          </cell>
          <cell r="L1481" t="str">
            <v>L3</v>
          </cell>
          <cell r="M1481" t="str">
            <v>ALL</v>
          </cell>
          <cell r="N1481" t="str">
            <v>FLPC(含奖金)</v>
          </cell>
          <cell r="O1481" t="str">
            <v>USD/小时</v>
          </cell>
          <cell r="P1481">
            <v>32.57</v>
          </cell>
        </row>
        <row r="1482">
          <cell r="A1482" t="str">
            <v>Fuzhou - Chinese employees - L4</v>
          </cell>
          <cell r="B1482" t="str">
            <v>Current version</v>
          </cell>
          <cell r="C1482" t="str">
            <v>V2009R2</v>
          </cell>
          <cell r="D1482" t="str">
            <v>Labor Rate</v>
          </cell>
          <cell r="E1482" t="str">
            <v>China</v>
          </cell>
          <cell r="F1482" t="str">
            <v>China</v>
          </cell>
          <cell r="G1482" t="str">
            <v>福州办事处</v>
          </cell>
          <cell r="H1482" t="str">
            <v>0028</v>
          </cell>
          <cell r="I1482" t="str">
            <v>福州</v>
          </cell>
          <cell r="J1482" t="str">
            <v>Fuzhou</v>
          </cell>
          <cell r="K1482" t="str">
            <v>Chinese employees</v>
          </cell>
          <cell r="L1482" t="str">
            <v>L4</v>
          </cell>
          <cell r="M1482" t="str">
            <v>ALL</v>
          </cell>
          <cell r="N1482" t="str">
            <v>FLPC(含奖金)</v>
          </cell>
          <cell r="O1482" t="str">
            <v>USD/小时</v>
          </cell>
          <cell r="P1482">
            <v>56.75</v>
          </cell>
        </row>
        <row r="1483">
          <cell r="A1483" t="str">
            <v>Chengdu - Chinese employees - L0</v>
          </cell>
          <cell r="B1483" t="str">
            <v>Current version</v>
          </cell>
          <cell r="C1483" t="str">
            <v>V2009R2</v>
          </cell>
          <cell r="D1483" t="str">
            <v>Labor Rate</v>
          </cell>
          <cell r="E1483" t="str">
            <v>China</v>
          </cell>
          <cell r="F1483" t="str">
            <v>China</v>
          </cell>
          <cell r="G1483" t="str">
            <v>成都办事处</v>
          </cell>
          <cell r="H1483" t="str">
            <v>0018</v>
          </cell>
          <cell r="I1483" t="str">
            <v>成都</v>
          </cell>
          <cell r="J1483" t="str">
            <v>Chengdu</v>
          </cell>
          <cell r="K1483" t="str">
            <v>Chinese employees</v>
          </cell>
          <cell r="L1483" t="str">
            <v>L0</v>
          </cell>
          <cell r="M1483" t="str">
            <v>ALL</v>
          </cell>
          <cell r="N1483" t="str">
            <v>FLPC(含奖金)</v>
          </cell>
          <cell r="O1483" t="str">
            <v>USD/小时</v>
          </cell>
          <cell r="P1483">
            <v>11.56</v>
          </cell>
        </row>
        <row r="1484">
          <cell r="A1484" t="str">
            <v>Chengdu - Chinese employees - L1</v>
          </cell>
          <cell r="B1484" t="str">
            <v>Current version</v>
          </cell>
          <cell r="C1484" t="str">
            <v>V2009R2</v>
          </cell>
          <cell r="D1484" t="str">
            <v>Labor Rate</v>
          </cell>
          <cell r="E1484" t="str">
            <v>China</v>
          </cell>
          <cell r="F1484" t="str">
            <v>China</v>
          </cell>
          <cell r="G1484" t="str">
            <v>成都办事处</v>
          </cell>
          <cell r="H1484" t="str">
            <v>0018</v>
          </cell>
          <cell r="I1484" t="str">
            <v>成都</v>
          </cell>
          <cell r="J1484" t="str">
            <v>Chengdu</v>
          </cell>
          <cell r="K1484" t="str">
            <v>Chinese employees</v>
          </cell>
          <cell r="L1484" t="str">
            <v>L1</v>
          </cell>
          <cell r="M1484" t="str">
            <v>ALL</v>
          </cell>
          <cell r="N1484" t="str">
            <v>FLPC(含奖金)</v>
          </cell>
          <cell r="O1484" t="str">
            <v>USD/小时</v>
          </cell>
          <cell r="P1484">
            <v>16.82</v>
          </cell>
        </row>
        <row r="1485">
          <cell r="A1485" t="str">
            <v>Chengdu - Chinese employees - L2</v>
          </cell>
          <cell r="B1485" t="str">
            <v>Current version</v>
          </cell>
          <cell r="C1485" t="str">
            <v>V2009R2</v>
          </cell>
          <cell r="D1485" t="str">
            <v>Labor Rate</v>
          </cell>
          <cell r="E1485" t="str">
            <v>China</v>
          </cell>
          <cell r="F1485" t="str">
            <v>China</v>
          </cell>
          <cell r="G1485" t="str">
            <v>成都办事处</v>
          </cell>
          <cell r="H1485" t="str">
            <v>0018</v>
          </cell>
          <cell r="I1485" t="str">
            <v>成都</v>
          </cell>
          <cell r="J1485" t="str">
            <v>Chengdu</v>
          </cell>
          <cell r="K1485" t="str">
            <v>Chinese employees</v>
          </cell>
          <cell r="L1485" t="str">
            <v>L2</v>
          </cell>
          <cell r="M1485" t="str">
            <v>ALL</v>
          </cell>
          <cell r="N1485" t="str">
            <v>FLPC(含奖金)</v>
          </cell>
          <cell r="O1485" t="str">
            <v>USD/小时</v>
          </cell>
          <cell r="P1485">
            <v>23.63</v>
          </cell>
        </row>
        <row r="1486">
          <cell r="A1486" t="str">
            <v>Chengdu - Chinese employees - L3</v>
          </cell>
          <cell r="B1486" t="str">
            <v>Current version</v>
          </cell>
          <cell r="C1486" t="str">
            <v>V2009R2</v>
          </cell>
          <cell r="D1486" t="str">
            <v>Labor Rate</v>
          </cell>
          <cell r="E1486" t="str">
            <v>China</v>
          </cell>
          <cell r="F1486" t="str">
            <v>China</v>
          </cell>
          <cell r="G1486" t="str">
            <v>成都办事处</v>
          </cell>
          <cell r="H1486" t="str">
            <v>0018</v>
          </cell>
          <cell r="I1486" t="str">
            <v>成都</v>
          </cell>
          <cell r="J1486" t="str">
            <v>Chengdu</v>
          </cell>
          <cell r="K1486" t="str">
            <v>Chinese employees</v>
          </cell>
          <cell r="L1486" t="str">
            <v>L3</v>
          </cell>
          <cell r="M1486" t="str">
            <v>ALL</v>
          </cell>
          <cell r="N1486" t="str">
            <v>FLPC(含奖金)</v>
          </cell>
          <cell r="O1486" t="str">
            <v>USD/小时</v>
          </cell>
          <cell r="P1486">
            <v>32.57</v>
          </cell>
        </row>
        <row r="1487">
          <cell r="A1487" t="str">
            <v>Chengdu - Chinese employees - L4</v>
          </cell>
          <cell r="B1487" t="str">
            <v>Current version</v>
          </cell>
          <cell r="C1487" t="str">
            <v>V2009R2</v>
          </cell>
          <cell r="D1487" t="str">
            <v>Labor Rate</v>
          </cell>
          <cell r="E1487" t="str">
            <v>China</v>
          </cell>
          <cell r="F1487" t="str">
            <v>China</v>
          </cell>
          <cell r="G1487" t="str">
            <v>成都办事处</v>
          </cell>
          <cell r="H1487" t="str">
            <v>0018</v>
          </cell>
          <cell r="I1487" t="str">
            <v>成都</v>
          </cell>
          <cell r="J1487" t="str">
            <v>Chengdu</v>
          </cell>
          <cell r="K1487" t="str">
            <v>Chinese employees</v>
          </cell>
          <cell r="L1487" t="str">
            <v>L4</v>
          </cell>
          <cell r="M1487" t="str">
            <v>ALL</v>
          </cell>
          <cell r="N1487" t="str">
            <v>FLPC(含奖金)</v>
          </cell>
          <cell r="O1487" t="str">
            <v>USD/小时</v>
          </cell>
          <cell r="P1487">
            <v>56.75</v>
          </cell>
        </row>
        <row r="1488">
          <cell r="A1488" t="str">
            <v>Lhasa - Chinese employees - L0</v>
          </cell>
          <cell r="B1488" t="str">
            <v>Current version</v>
          </cell>
          <cell r="C1488" t="str">
            <v>V2009R2</v>
          </cell>
          <cell r="D1488" t="str">
            <v>Labor Rate</v>
          </cell>
          <cell r="E1488" t="str">
            <v>China</v>
          </cell>
          <cell r="F1488" t="str">
            <v>China</v>
          </cell>
          <cell r="G1488" t="str">
            <v>成都办事处</v>
          </cell>
          <cell r="H1488" t="str">
            <v>0031</v>
          </cell>
          <cell r="I1488" t="str">
            <v>拉萨</v>
          </cell>
          <cell r="J1488" t="str">
            <v>Lhasa</v>
          </cell>
          <cell r="K1488" t="str">
            <v>Chinese employees</v>
          </cell>
          <cell r="L1488" t="str">
            <v>L0</v>
          </cell>
          <cell r="M1488" t="str">
            <v>ALL</v>
          </cell>
          <cell r="N1488" t="str">
            <v>FLPC(含奖金)</v>
          </cell>
          <cell r="O1488" t="str">
            <v>USD/小时</v>
          </cell>
          <cell r="P1488">
            <v>11.56</v>
          </cell>
        </row>
        <row r="1489">
          <cell r="A1489" t="str">
            <v>Lhasa - Chinese employees - L1</v>
          </cell>
          <cell r="B1489" t="str">
            <v>Current version</v>
          </cell>
          <cell r="C1489" t="str">
            <v>V2009R2</v>
          </cell>
          <cell r="D1489" t="str">
            <v>Labor Rate</v>
          </cell>
          <cell r="E1489" t="str">
            <v>China</v>
          </cell>
          <cell r="F1489" t="str">
            <v>China</v>
          </cell>
          <cell r="G1489" t="str">
            <v>成都办事处</v>
          </cell>
          <cell r="H1489" t="str">
            <v>0031</v>
          </cell>
          <cell r="I1489" t="str">
            <v>拉萨</v>
          </cell>
          <cell r="J1489" t="str">
            <v>Lhasa</v>
          </cell>
          <cell r="K1489" t="str">
            <v>Chinese employees</v>
          </cell>
          <cell r="L1489" t="str">
            <v>L1</v>
          </cell>
          <cell r="M1489" t="str">
            <v>ALL</v>
          </cell>
          <cell r="N1489" t="str">
            <v>FLPC(含奖金)</v>
          </cell>
          <cell r="O1489" t="str">
            <v>USD/小时</v>
          </cell>
          <cell r="P1489">
            <v>16.82</v>
          </cell>
        </row>
        <row r="1490">
          <cell r="A1490" t="str">
            <v>Lhasa - Chinese employees - L2</v>
          </cell>
          <cell r="B1490" t="str">
            <v>Current version</v>
          </cell>
          <cell r="C1490" t="str">
            <v>V2009R2</v>
          </cell>
          <cell r="D1490" t="str">
            <v>Labor Rate</v>
          </cell>
          <cell r="E1490" t="str">
            <v>China</v>
          </cell>
          <cell r="F1490" t="str">
            <v>China</v>
          </cell>
          <cell r="G1490" t="str">
            <v>成都办事处</v>
          </cell>
          <cell r="H1490" t="str">
            <v>0031</v>
          </cell>
          <cell r="I1490" t="str">
            <v>拉萨</v>
          </cell>
          <cell r="J1490" t="str">
            <v>Lhasa</v>
          </cell>
          <cell r="K1490" t="str">
            <v>Chinese employees</v>
          </cell>
          <cell r="L1490" t="str">
            <v>L2</v>
          </cell>
          <cell r="M1490" t="str">
            <v>ALL</v>
          </cell>
          <cell r="N1490" t="str">
            <v>FLPC(含奖金)</v>
          </cell>
          <cell r="O1490" t="str">
            <v>USD/小时</v>
          </cell>
          <cell r="P1490">
            <v>23.63</v>
          </cell>
        </row>
        <row r="1491">
          <cell r="A1491" t="str">
            <v>Lhasa - Chinese employees - L3</v>
          </cell>
          <cell r="B1491" t="str">
            <v>Current version</v>
          </cell>
          <cell r="C1491" t="str">
            <v>V2009R2</v>
          </cell>
          <cell r="D1491" t="str">
            <v>Labor Rate</v>
          </cell>
          <cell r="E1491" t="str">
            <v>China</v>
          </cell>
          <cell r="F1491" t="str">
            <v>China</v>
          </cell>
          <cell r="G1491" t="str">
            <v>成都办事处</v>
          </cell>
          <cell r="H1491" t="str">
            <v>0031</v>
          </cell>
          <cell r="I1491" t="str">
            <v>拉萨</v>
          </cell>
          <cell r="J1491" t="str">
            <v>Lhasa</v>
          </cell>
          <cell r="K1491" t="str">
            <v>Chinese employees</v>
          </cell>
          <cell r="L1491" t="str">
            <v>L3</v>
          </cell>
          <cell r="M1491" t="str">
            <v>ALL</v>
          </cell>
          <cell r="N1491" t="str">
            <v>FLPC(含奖金)</v>
          </cell>
          <cell r="O1491" t="str">
            <v>USD/小时</v>
          </cell>
          <cell r="P1491">
            <v>32.57</v>
          </cell>
        </row>
        <row r="1492">
          <cell r="A1492" t="str">
            <v>Lhasa - Chinese employees - L4</v>
          </cell>
          <cell r="B1492" t="str">
            <v>Current version</v>
          </cell>
          <cell r="C1492" t="str">
            <v>V2009R2</v>
          </cell>
          <cell r="D1492" t="str">
            <v>Labor Rate</v>
          </cell>
          <cell r="E1492" t="str">
            <v>China</v>
          </cell>
          <cell r="F1492" t="str">
            <v>China</v>
          </cell>
          <cell r="G1492" t="str">
            <v>成都办事处</v>
          </cell>
          <cell r="H1492" t="str">
            <v>0031</v>
          </cell>
          <cell r="I1492" t="str">
            <v>拉萨</v>
          </cell>
          <cell r="J1492" t="str">
            <v>Lhasa</v>
          </cell>
          <cell r="K1492" t="str">
            <v>Chinese employees</v>
          </cell>
          <cell r="L1492" t="str">
            <v>L4</v>
          </cell>
          <cell r="M1492" t="str">
            <v>ALL</v>
          </cell>
          <cell r="N1492" t="str">
            <v>FLPC(含奖金)</v>
          </cell>
          <cell r="O1492" t="str">
            <v>USD/小时</v>
          </cell>
          <cell r="P1492">
            <v>56.75</v>
          </cell>
        </row>
        <row r="1493">
          <cell r="A1493" t="str">
            <v>Guangzhou - Chinese employees - L0</v>
          </cell>
          <cell r="B1493" t="str">
            <v>Current version</v>
          </cell>
          <cell r="C1493" t="str">
            <v>V2009R2</v>
          </cell>
          <cell r="D1493" t="str">
            <v>Labor Rate</v>
          </cell>
          <cell r="E1493" t="str">
            <v>China</v>
          </cell>
          <cell r="F1493" t="str">
            <v>China</v>
          </cell>
          <cell r="G1493" t="str">
            <v>广州办事处</v>
          </cell>
          <cell r="H1493" t="str">
            <v>0027</v>
          </cell>
          <cell r="I1493" t="str">
            <v>广州</v>
          </cell>
          <cell r="J1493" t="str">
            <v>Guangzhou</v>
          </cell>
          <cell r="K1493" t="str">
            <v>Chinese employees</v>
          </cell>
          <cell r="L1493" t="str">
            <v>L0</v>
          </cell>
          <cell r="M1493" t="str">
            <v>ALL</v>
          </cell>
          <cell r="N1493" t="str">
            <v>FLPC(含奖金)</v>
          </cell>
          <cell r="O1493" t="str">
            <v>USD/小时</v>
          </cell>
          <cell r="P1493">
            <v>11.56</v>
          </cell>
        </row>
        <row r="1494">
          <cell r="A1494" t="str">
            <v>Guangzhou - Chinese employees - L1</v>
          </cell>
          <cell r="B1494" t="str">
            <v>Current version</v>
          </cell>
          <cell r="C1494" t="str">
            <v>V2009R2</v>
          </cell>
          <cell r="D1494" t="str">
            <v>Labor Rate</v>
          </cell>
          <cell r="E1494" t="str">
            <v>China</v>
          </cell>
          <cell r="F1494" t="str">
            <v>China</v>
          </cell>
          <cell r="G1494" t="str">
            <v>广州办事处</v>
          </cell>
          <cell r="H1494" t="str">
            <v>0027</v>
          </cell>
          <cell r="I1494" t="str">
            <v>广州</v>
          </cell>
          <cell r="J1494" t="str">
            <v>Guangzhou</v>
          </cell>
          <cell r="K1494" t="str">
            <v>Chinese employees</v>
          </cell>
          <cell r="L1494" t="str">
            <v>L1</v>
          </cell>
          <cell r="M1494" t="str">
            <v>ALL</v>
          </cell>
          <cell r="N1494" t="str">
            <v>FLPC(含奖金)</v>
          </cell>
          <cell r="O1494" t="str">
            <v>USD/小时</v>
          </cell>
          <cell r="P1494">
            <v>16.82</v>
          </cell>
        </row>
        <row r="1495">
          <cell r="A1495" t="str">
            <v>Guangzhou - Chinese employees - L2</v>
          </cell>
          <cell r="B1495" t="str">
            <v>Current version</v>
          </cell>
          <cell r="C1495" t="str">
            <v>V2009R2</v>
          </cell>
          <cell r="D1495" t="str">
            <v>Labor Rate</v>
          </cell>
          <cell r="E1495" t="str">
            <v>China</v>
          </cell>
          <cell r="F1495" t="str">
            <v>China</v>
          </cell>
          <cell r="G1495" t="str">
            <v>广州办事处</v>
          </cell>
          <cell r="H1495" t="str">
            <v>0027</v>
          </cell>
          <cell r="I1495" t="str">
            <v>广州</v>
          </cell>
          <cell r="J1495" t="str">
            <v>Guangzhou</v>
          </cell>
          <cell r="K1495" t="str">
            <v>Chinese employees</v>
          </cell>
          <cell r="L1495" t="str">
            <v>L2</v>
          </cell>
          <cell r="M1495" t="str">
            <v>ALL</v>
          </cell>
          <cell r="N1495" t="str">
            <v>FLPC(含奖金)</v>
          </cell>
          <cell r="O1495" t="str">
            <v>USD/小时</v>
          </cell>
          <cell r="P1495">
            <v>23.63</v>
          </cell>
        </row>
        <row r="1496">
          <cell r="A1496" t="str">
            <v>Guangzhou - Chinese employees - L3</v>
          </cell>
          <cell r="B1496" t="str">
            <v>Current version</v>
          </cell>
          <cell r="C1496" t="str">
            <v>V2009R2</v>
          </cell>
          <cell r="D1496" t="str">
            <v>Labor Rate</v>
          </cell>
          <cell r="E1496" t="str">
            <v>China</v>
          </cell>
          <cell r="F1496" t="str">
            <v>China</v>
          </cell>
          <cell r="G1496" t="str">
            <v>广州办事处</v>
          </cell>
          <cell r="H1496" t="str">
            <v>0027</v>
          </cell>
          <cell r="I1496" t="str">
            <v>广州</v>
          </cell>
          <cell r="J1496" t="str">
            <v>Guangzhou</v>
          </cell>
          <cell r="K1496" t="str">
            <v>Chinese employees</v>
          </cell>
          <cell r="L1496" t="str">
            <v>L3</v>
          </cell>
          <cell r="M1496" t="str">
            <v>ALL</v>
          </cell>
          <cell r="N1496" t="str">
            <v>FLPC(含奖金)</v>
          </cell>
          <cell r="O1496" t="str">
            <v>USD/小时</v>
          </cell>
          <cell r="P1496">
            <v>32.57</v>
          </cell>
        </row>
        <row r="1497">
          <cell r="A1497" t="str">
            <v>Guangzhou - Chinese employees - L4</v>
          </cell>
          <cell r="B1497" t="str">
            <v>Current version</v>
          </cell>
          <cell r="C1497" t="str">
            <v>V2009R2</v>
          </cell>
          <cell r="D1497" t="str">
            <v>Labor Rate</v>
          </cell>
          <cell r="E1497" t="str">
            <v>China</v>
          </cell>
          <cell r="F1497" t="str">
            <v>China</v>
          </cell>
          <cell r="G1497" t="str">
            <v>广州办事处</v>
          </cell>
          <cell r="H1497" t="str">
            <v>0027</v>
          </cell>
          <cell r="I1497" t="str">
            <v>广州</v>
          </cell>
          <cell r="J1497" t="str">
            <v>Guangzhou</v>
          </cell>
          <cell r="K1497" t="str">
            <v>Chinese employees</v>
          </cell>
          <cell r="L1497" t="str">
            <v>L4</v>
          </cell>
          <cell r="M1497" t="str">
            <v>ALL</v>
          </cell>
          <cell r="N1497" t="str">
            <v>FLPC(含奖金)</v>
          </cell>
          <cell r="O1497" t="str">
            <v>USD/小时</v>
          </cell>
          <cell r="P1497">
            <v>56.75</v>
          </cell>
        </row>
        <row r="1498">
          <cell r="A1498" t="str">
            <v>Shenzhen - Chinese employees - L0</v>
          </cell>
          <cell r="B1498" t="str">
            <v>Current version</v>
          </cell>
          <cell r="C1498" t="str">
            <v>V2009R2</v>
          </cell>
          <cell r="D1498" t="str">
            <v>Labor Rate</v>
          </cell>
          <cell r="E1498" t="str">
            <v>China</v>
          </cell>
          <cell r="F1498" t="str">
            <v>China</v>
          </cell>
          <cell r="G1498" t="str">
            <v>广州办事处</v>
          </cell>
          <cell r="H1498" t="str">
            <v>0030</v>
          </cell>
          <cell r="I1498" t="str">
            <v>深圳</v>
          </cell>
          <cell r="J1498" t="str">
            <v>Shenzhen</v>
          </cell>
          <cell r="K1498" t="str">
            <v>Chinese employees</v>
          </cell>
          <cell r="L1498" t="str">
            <v>L0</v>
          </cell>
          <cell r="M1498" t="str">
            <v>ALL</v>
          </cell>
          <cell r="N1498" t="str">
            <v>FLPC(含奖金)</v>
          </cell>
          <cell r="O1498" t="str">
            <v>USD/小时</v>
          </cell>
          <cell r="P1498">
            <v>11.56</v>
          </cell>
        </row>
        <row r="1499">
          <cell r="A1499" t="str">
            <v>Shenzhen - Chinese employees - L1</v>
          </cell>
          <cell r="B1499" t="str">
            <v>Current version</v>
          </cell>
          <cell r="C1499" t="str">
            <v>V2009R2</v>
          </cell>
          <cell r="D1499" t="str">
            <v>Labor Rate</v>
          </cell>
          <cell r="E1499" t="str">
            <v>China</v>
          </cell>
          <cell r="F1499" t="str">
            <v>China</v>
          </cell>
          <cell r="G1499" t="str">
            <v>广州办事处</v>
          </cell>
          <cell r="H1499" t="str">
            <v>0030</v>
          </cell>
          <cell r="I1499" t="str">
            <v>深圳</v>
          </cell>
          <cell r="J1499" t="str">
            <v>Shenzhen</v>
          </cell>
          <cell r="K1499" t="str">
            <v>Chinese employees</v>
          </cell>
          <cell r="L1499" t="str">
            <v>L1</v>
          </cell>
          <cell r="M1499" t="str">
            <v>ALL</v>
          </cell>
          <cell r="N1499" t="str">
            <v>FLPC(含奖金)</v>
          </cell>
          <cell r="O1499" t="str">
            <v>USD/小时</v>
          </cell>
          <cell r="P1499">
            <v>16.82</v>
          </cell>
        </row>
        <row r="1500">
          <cell r="A1500" t="str">
            <v>Shenzhen - Chinese employees - L2</v>
          </cell>
          <cell r="B1500" t="str">
            <v>Current version</v>
          </cell>
          <cell r="C1500" t="str">
            <v>V2009R2</v>
          </cell>
          <cell r="D1500" t="str">
            <v>Labor Rate</v>
          </cell>
          <cell r="E1500" t="str">
            <v>China</v>
          </cell>
          <cell r="F1500" t="str">
            <v>China</v>
          </cell>
          <cell r="G1500" t="str">
            <v>广州办事处</v>
          </cell>
          <cell r="H1500" t="str">
            <v>0030</v>
          </cell>
          <cell r="I1500" t="str">
            <v>深圳</v>
          </cell>
          <cell r="J1500" t="str">
            <v>Shenzhen</v>
          </cell>
          <cell r="K1500" t="str">
            <v>Chinese employees</v>
          </cell>
          <cell r="L1500" t="str">
            <v>L2</v>
          </cell>
          <cell r="M1500" t="str">
            <v>ALL</v>
          </cell>
          <cell r="N1500" t="str">
            <v>FLPC(含奖金)</v>
          </cell>
          <cell r="O1500" t="str">
            <v>USD/小时</v>
          </cell>
          <cell r="P1500">
            <v>23.63</v>
          </cell>
        </row>
        <row r="1501">
          <cell r="A1501" t="str">
            <v>Shenzhen - Chinese employees - L3</v>
          </cell>
          <cell r="B1501" t="str">
            <v>Current version</v>
          </cell>
          <cell r="C1501" t="str">
            <v>V2009R2</v>
          </cell>
          <cell r="D1501" t="str">
            <v>Labor Rate</v>
          </cell>
          <cell r="E1501" t="str">
            <v>China</v>
          </cell>
          <cell r="F1501" t="str">
            <v>China</v>
          </cell>
          <cell r="G1501" t="str">
            <v>广州办事处</v>
          </cell>
          <cell r="H1501" t="str">
            <v>0030</v>
          </cell>
          <cell r="I1501" t="str">
            <v>深圳</v>
          </cell>
          <cell r="J1501" t="str">
            <v>Shenzhen</v>
          </cell>
          <cell r="K1501" t="str">
            <v>Chinese employees</v>
          </cell>
          <cell r="L1501" t="str">
            <v>L3</v>
          </cell>
          <cell r="M1501" t="str">
            <v>ALL</v>
          </cell>
          <cell r="N1501" t="str">
            <v>FLPC(含奖金)</v>
          </cell>
          <cell r="O1501" t="str">
            <v>USD/小时</v>
          </cell>
          <cell r="P1501">
            <v>32.57</v>
          </cell>
        </row>
        <row r="1502">
          <cell r="A1502" t="str">
            <v>Shenzhen - Chinese employees - L4</v>
          </cell>
          <cell r="B1502" t="str">
            <v>Current version</v>
          </cell>
          <cell r="C1502" t="str">
            <v>V2009R2</v>
          </cell>
          <cell r="D1502" t="str">
            <v>Labor Rate</v>
          </cell>
          <cell r="E1502" t="str">
            <v>China</v>
          </cell>
          <cell r="F1502" t="str">
            <v>China</v>
          </cell>
          <cell r="G1502" t="str">
            <v>广州办事处</v>
          </cell>
          <cell r="H1502" t="str">
            <v>0030</v>
          </cell>
          <cell r="I1502" t="str">
            <v>深圳</v>
          </cell>
          <cell r="J1502" t="str">
            <v>Shenzhen</v>
          </cell>
          <cell r="K1502" t="str">
            <v>Chinese employees</v>
          </cell>
          <cell r="L1502" t="str">
            <v>L4</v>
          </cell>
          <cell r="M1502" t="str">
            <v>ALL</v>
          </cell>
          <cell r="N1502" t="str">
            <v>FLPC(含奖金)</v>
          </cell>
          <cell r="O1502" t="str">
            <v>USD/小时</v>
          </cell>
          <cell r="P1502">
            <v>56.75</v>
          </cell>
        </row>
        <row r="1503">
          <cell r="A1503" t="str">
            <v>Nanning - Chinese employees - L0</v>
          </cell>
          <cell r="B1503" t="str">
            <v>Current version</v>
          </cell>
          <cell r="C1503" t="str">
            <v>V2009R2</v>
          </cell>
          <cell r="D1503" t="str">
            <v>Labor Rate</v>
          </cell>
          <cell r="E1503" t="str">
            <v>China</v>
          </cell>
          <cell r="F1503" t="str">
            <v>China</v>
          </cell>
          <cell r="G1503" t="str">
            <v>南宁办事处</v>
          </cell>
          <cell r="H1503" t="str">
            <v>0029</v>
          </cell>
          <cell r="I1503" t="str">
            <v>南宁</v>
          </cell>
          <cell r="J1503" t="str">
            <v>Nanning</v>
          </cell>
          <cell r="K1503" t="str">
            <v>Chinese employees</v>
          </cell>
          <cell r="L1503" t="str">
            <v>L0</v>
          </cell>
          <cell r="M1503" t="str">
            <v>ALL</v>
          </cell>
          <cell r="N1503" t="str">
            <v>FLPC(含奖金)</v>
          </cell>
          <cell r="O1503" t="str">
            <v>USD/小时</v>
          </cell>
          <cell r="P1503">
            <v>11.56</v>
          </cell>
        </row>
        <row r="1504">
          <cell r="A1504" t="str">
            <v>Nanning - Chinese employees - L1</v>
          </cell>
          <cell r="B1504" t="str">
            <v>Current version</v>
          </cell>
          <cell r="C1504" t="str">
            <v>V2009R2</v>
          </cell>
          <cell r="D1504" t="str">
            <v>Labor Rate</v>
          </cell>
          <cell r="E1504" t="str">
            <v>China</v>
          </cell>
          <cell r="F1504" t="str">
            <v>China</v>
          </cell>
          <cell r="G1504" t="str">
            <v>南宁办事处</v>
          </cell>
          <cell r="H1504" t="str">
            <v>0029</v>
          </cell>
          <cell r="I1504" t="str">
            <v>南宁</v>
          </cell>
          <cell r="J1504" t="str">
            <v>Nanning</v>
          </cell>
          <cell r="K1504" t="str">
            <v>Chinese employees</v>
          </cell>
          <cell r="L1504" t="str">
            <v>L1</v>
          </cell>
          <cell r="M1504" t="str">
            <v>ALL</v>
          </cell>
          <cell r="N1504" t="str">
            <v>FLPC(含奖金)</v>
          </cell>
          <cell r="O1504" t="str">
            <v>USD/小时</v>
          </cell>
          <cell r="P1504">
            <v>16.82</v>
          </cell>
        </row>
        <row r="1505">
          <cell r="A1505" t="str">
            <v>Nanning - Chinese employees - L2</v>
          </cell>
          <cell r="B1505" t="str">
            <v>Current version</v>
          </cell>
          <cell r="C1505" t="str">
            <v>V2009R2</v>
          </cell>
          <cell r="D1505" t="str">
            <v>Labor Rate</v>
          </cell>
          <cell r="E1505" t="str">
            <v>China</v>
          </cell>
          <cell r="F1505" t="str">
            <v>China</v>
          </cell>
          <cell r="G1505" t="str">
            <v>南宁办事处</v>
          </cell>
          <cell r="H1505" t="str">
            <v>0029</v>
          </cell>
          <cell r="I1505" t="str">
            <v>南宁</v>
          </cell>
          <cell r="J1505" t="str">
            <v>Nanning</v>
          </cell>
          <cell r="K1505" t="str">
            <v>Chinese employees</v>
          </cell>
          <cell r="L1505" t="str">
            <v>L2</v>
          </cell>
          <cell r="M1505" t="str">
            <v>ALL</v>
          </cell>
          <cell r="N1505" t="str">
            <v>FLPC(含奖金)</v>
          </cell>
          <cell r="O1505" t="str">
            <v>USD/小时</v>
          </cell>
          <cell r="P1505">
            <v>23.63</v>
          </cell>
        </row>
        <row r="1506">
          <cell r="A1506" t="str">
            <v>Nanning - Chinese employees - L3</v>
          </cell>
          <cell r="B1506" t="str">
            <v>Current version</v>
          </cell>
          <cell r="C1506" t="str">
            <v>V2009R2</v>
          </cell>
          <cell r="D1506" t="str">
            <v>Labor Rate</v>
          </cell>
          <cell r="E1506" t="str">
            <v>China</v>
          </cell>
          <cell r="F1506" t="str">
            <v>China</v>
          </cell>
          <cell r="G1506" t="str">
            <v>南宁办事处</v>
          </cell>
          <cell r="H1506" t="str">
            <v>0029</v>
          </cell>
          <cell r="I1506" t="str">
            <v>南宁</v>
          </cell>
          <cell r="J1506" t="str">
            <v>Nanning</v>
          </cell>
          <cell r="K1506" t="str">
            <v>Chinese employees</v>
          </cell>
          <cell r="L1506" t="str">
            <v>L3</v>
          </cell>
          <cell r="M1506" t="str">
            <v>ALL</v>
          </cell>
          <cell r="N1506" t="str">
            <v>FLPC(含奖金)</v>
          </cell>
          <cell r="O1506" t="str">
            <v>USD/小时</v>
          </cell>
          <cell r="P1506">
            <v>32.57</v>
          </cell>
        </row>
        <row r="1507">
          <cell r="A1507" t="str">
            <v>Nanning - Chinese employees - L4</v>
          </cell>
          <cell r="B1507" t="str">
            <v>Current version</v>
          </cell>
          <cell r="C1507" t="str">
            <v>V2009R2</v>
          </cell>
          <cell r="D1507" t="str">
            <v>Labor Rate</v>
          </cell>
          <cell r="E1507" t="str">
            <v>China</v>
          </cell>
          <cell r="F1507" t="str">
            <v>China</v>
          </cell>
          <cell r="G1507" t="str">
            <v>南宁办事处</v>
          </cell>
          <cell r="H1507" t="str">
            <v>0029</v>
          </cell>
          <cell r="I1507" t="str">
            <v>南宁</v>
          </cell>
          <cell r="J1507" t="str">
            <v>Nanning</v>
          </cell>
          <cell r="K1507" t="str">
            <v>Chinese employees</v>
          </cell>
          <cell r="L1507" t="str">
            <v>L4</v>
          </cell>
          <cell r="M1507" t="str">
            <v>ALL</v>
          </cell>
          <cell r="N1507" t="str">
            <v>FLPC(含奖金)</v>
          </cell>
          <cell r="O1507" t="str">
            <v>USD/小时</v>
          </cell>
          <cell r="P1507">
            <v>56.75</v>
          </cell>
        </row>
        <row r="1508">
          <cell r="A1508" t="str">
            <v>Haikou - Chinese employees - L0</v>
          </cell>
          <cell r="B1508" t="str">
            <v>Current version</v>
          </cell>
          <cell r="C1508" t="str">
            <v>V2009R2</v>
          </cell>
          <cell r="D1508" t="str">
            <v>Labor Rate</v>
          </cell>
          <cell r="E1508" t="str">
            <v>China</v>
          </cell>
          <cell r="F1508" t="str">
            <v>China</v>
          </cell>
          <cell r="G1508" t="str">
            <v>南宁办事处</v>
          </cell>
          <cell r="H1508" t="str">
            <v>0038</v>
          </cell>
          <cell r="I1508" t="str">
            <v>海口</v>
          </cell>
          <cell r="J1508" t="str">
            <v>Haikou</v>
          </cell>
          <cell r="K1508" t="str">
            <v>Chinese employees</v>
          </cell>
          <cell r="L1508" t="str">
            <v>L0</v>
          </cell>
          <cell r="M1508" t="str">
            <v>ALL</v>
          </cell>
          <cell r="N1508" t="str">
            <v>FLPC(含奖金)</v>
          </cell>
          <cell r="O1508" t="str">
            <v>USD/小时</v>
          </cell>
          <cell r="P1508">
            <v>11.56</v>
          </cell>
        </row>
        <row r="1509">
          <cell r="A1509" t="str">
            <v>Haikou - Chinese employees - L1</v>
          </cell>
          <cell r="B1509" t="str">
            <v>Current version</v>
          </cell>
          <cell r="C1509" t="str">
            <v>V2009R2</v>
          </cell>
          <cell r="D1509" t="str">
            <v>Labor Rate</v>
          </cell>
          <cell r="E1509" t="str">
            <v>China</v>
          </cell>
          <cell r="F1509" t="str">
            <v>China</v>
          </cell>
          <cell r="G1509" t="str">
            <v>南宁办事处</v>
          </cell>
          <cell r="H1509" t="str">
            <v>0038</v>
          </cell>
          <cell r="I1509" t="str">
            <v>海口</v>
          </cell>
          <cell r="J1509" t="str">
            <v>Haikou</v>
          </cell>
          <cell r="K1509" t="str">
            <v>Chinese employees</v>
          </cell>
          <cell r="L1509" t="str">
            <v>L1</v>
          </cell>
          <cell r="M1509" t="str">
            <v>ALL</v>
          </cell>
          <cell r="N1509" t="str">
            <v>FLPC(含奖金)</v>
          </cell>
          <cell r="O1509" t="str">
            <v>USD/小时</v>
          </cell>
          <cell r="P1509">
            <v>16.82</v>
          </cell>
        </row>
        <row r="1510">
          <cell r="A1510" t="str">
            <v>Haikou - Chinese employees - L2</v>
          </cell>
          <cell r="B1510" t="str">
            <v>Current version</v>
          </cell>
          <cell r="C1510" t="str">
            <v>V2009R2</v>
          </cell>
          <cell r="D1510" t="str">
            <v>Labor Rate</v>
          </cell>
          <cell r="E1510" t="str">
            <v>China</v>
          </cell>
          <cell r="F1510" t="str">
            <v>China</v>
          </cell>
          <cell r="G1510" t="str">
            <v>南宁办事处</v>
          </cell>
          <cell r="H1510" t="str">
            <v>0038</v>
          </cell>
          <cell r="I1510" t="str">
            <v>海口</v>
          </cell>
          <cell r="J1510" t="str">
            <v>Haikou</v>
          </cell>
          <cell r="K1510" t="str">
            <v>Chinese employees</v>
          </cell>
          <cell r="L1510" t="str">
            <v>L2</v>
          </cell>
          <cell r="M1510" t="str">
            <v>ALL</v>
          </cell>
          <cell r="N1510" t="str">
            <v>FLPC(含奖金)</v>
          </cell>
          <cell r="O1510" t="str">
            <v>USD/小时</v>
          </cell>
          <cell r="P1510">
            <v>23.63</v>
          </cell>
        </row>
        <row r="1511">
          <cell r="A1511" t="str">
            <v>Haikou - Chinese employees - L3</v>
          </cell>
          <cell r="B1511" t="str">
            <v>Current version</v>
          </cell>
          <cell r="C1511" t="str">
            <v>V2009R2</v>
          </cell>
          <cell r="D1511" t="str">
            <v>Labor Rate</v>
          </cell>
          <cell r="E1511" t="str">
            <v>China</v>
          </cell>
          <cell r="F1511" t="str">
            <v>China</v>
          </cell>
          <cell r="G1511" t="str">
            <v>南宁办事处</v>
          </cell>
          <cell r="H1511" t="str">
            <v>0038</v>
          </cell>
          <cell r="I1511" t="str">
            <v>海口</v>
          </cell>
          <cell r="J1511" t="str">
            <v>Haikou</v>
          </cell>
          <cell r="K1511" t="str">
            <v>Chinese employees</v>
          </cell>
          <cell r="L1511" t="str">
            <v>L3</v>
          </cell>
          <cell r="M1511" t="str">
            <v>ALL</v>
          </cell>
          <cell r="N1511" t="str">
            <v>FLPC(含奖金)</v>
          </cell>
          <cell r="O1511" t="str">
            <v>USD/小时</v>
          </cell>
          <cell r="P1511">
            <v>32.57</v>
          </cell>
        </row>
        <row r="1512">
          <cell r="A1512" t="str">
            <v>Haikou - Chinese employees - L4</v>
          </cell>
          <cell r="B1512" t="str">
            <v>Current version</v>
          </cell>
          <cell r="C1512" t="str">
            <v>V2009R2</v>
          </cell>
          <cell r="D1512" t="str">
            <v>Labor Rate</v>
          </cell>
          <cell r="E1512" t="str">
            <v>China</v>
          </cell>
          <cell r="F1512" t="str">
            <v>China</v>
          </cell>
          <cell r="G1512" t="str">
            <v>南宁办事处</v>
          </cell>
          <cell r="H1512" t="str">
            <v>0038</v>
          </cell>
          <cell r="I1512" t="str">
            <v>海口</v>
          </cell>
          <cell r="J1512" t="str">
            <v>Haikou</v>
          </cell>
          <cell r="K1512" t="str">
            <v>Chinese employees</v>
          </cell>
          <cell r="L1512" t="str">
            <v>L4</v>
          </cell>
          <cell r="M1512" t="str">
            <v>ALL</v>
          </cell>
          <cell r="N1512" t="str">
            <v>FLPC(含奖金)</v>
          </cell>
          <cell r="O1512" t="str">
            <v>USD/小时</v>
          </cell>
          <cell r="P1512">
            <v>56.75</v>
          </cell>
        </row>
        <row r="1513">
          <cell r="A1513" t="str">
            <v>Chaoxian - Chinese employees - L0</v>
          </cell>
          <cell r="B1513" t="str">
            <v>Current version</v>
          </cell>
          <cell r="C1513" t="str">
            <v>V2009R2</v>
          </cell>
          <cell r="D1513" t="str">
            <v>Labor Rate</v>
          </cell>
          <cell r="E1513" t="str">
            <v>China</v>
          </cell>
          <cell r="F1513" t="str">
            <v>China</v>
          </cell>
          <cell r="G1513" t="str">
            <v>A9</v>
          </cell>
          <cell r="H1513" t="str">
            <v>0039</v>
          </cell>
          <cell r="I1513" t="str">
            <v>朝鲜</v>
          </cell>
          <cell r="J1513" t="str">
            <v>Chaoxian</v>
          </cell>
          <cell r="K1513" t="str">
            <v>Chinese employees</v>
          </cell>
          <cell r="L1513" t="str">
            <v>L0</v>
          </cell>
          <cell r="M1513" t="str">
            <v>ALL</v>
          </cell>
          <cell r="N1513" t="str">
            <v>FLPC(含奖金)</v>
          </cell>
          <cell r="O1513" t="str">
            <v>USD/小时</v>
          </cell>
          <cell r="P1513">
            <v>11.56</v>
          </cell>
        </row>
        <row r="1514">
          <cell r="A1514" t="str">
            <v>Chaoxian - Chinese employees - L1</v>
          </cell>
          <cell r="B1514" t="str">
            <v>Current version</v>
          </cell>
          <cell r="C1514" t="str">
            <v>V2009R2</v>
          </cell>
          <cell r="D1514" t="str">
            <v>Labor Rate</v>
          </cell>
          <cell r="E1514" t="str">
            <v>China</v>
          </cell>
          <cell r="F1514" t="str">
            <v>China</v>
          </cell>
          <cell r="G1514" t="str">
            <v>A9</v>
          </cell>
          <cell r="H1514" t="str">
            <v>0039</v>
          </cell>
          <cell r="I1514" t="str">
            <v>朝鲜</v>
          </cell>
          <cell r="J1514" t="str">
            <v>Chaoxian</v>
          </cell>
          <cell r="K1514" t="str">
            <v>Chinese employees</v>
          </cell>
          <cell r="L1514" t="str">
            <v>L1</v>
          </cell>
          <cell r="M1514" t="str">
            <v>ALL</v>
          </cell>
          <cell r="N1514" t="str">
            <v>FLPC(含奖金)</v>
          </cell>
          <cell r="O1514" t="str">
            <v>USD/小时</v>
          </cell>
          <cell r="P1514">
            <v>16.82</v>
          </cell>
        </row>
        <row r="1515">
          <cell r="A1515" t="str">
            <v>Chaoxian - Chinese employees - L2</v>
          </cell>
          <cell r="B1515" t="str">
            <v>Current version</v>
          </cell>
          <cell r="C1515" t="str">
            <v>V2009R2</v>
          </cell>
          <cell r="D1515" t="str">
            <v>Labor Rate</v>
          </cell>
          <cell r="E1515" t="str">
            <v>China</v>
          </cell>
          <cell r="F1515" t="str">
            <v>China</v>
          </cell>
          <cell r="G1515" t="str">
            <v>A9</v>
          </cell>
          <cell r="H1515" t="str">
            <v>0039</v>
          </cell>
          <cell r="I1515" t="str">
            <v>朝鲜</v>
          </cell>
          <cell r="J1515" t="str">
            <v>Chaoxian</v>
          </cell>
          <cell r="K1515" t="str">
            <v>Chinese employees</v>
          </cell>
          <cell r="L1515" t="str">
            <v>L2</v>
          </cell>
          <cell r="M1515" t="str">
            <v>ALL</v>
          </cell>
          <cell r="N1515" t="str">
            <v>FLPC(含奖金)</v>
          </cell>
          <cell r="O1515" t="str">
            <v>USD/小时</v>
          </cell>
          <cell r="P1515">
            <v>23.63</v>
          </cell>
        </row>
        <row r="1516">
          <cell r="A1516" t="str">
            <v>Chaoxian - Chinese employees - L3</v>
          </cell>
          <cell r="B1516" t="str">
            <v>Current version</v>
          </cell>
          <cell r="C1516" t="str">
            <v>V2009R2</v>
          </cell>
          <cell r="D1516" t="str">
            <v>Labor Rate</v>
          </cell>
          <cell r="E1516" t="str">
            <v>China</v>
          </cell>
          <cell r="F1516" t="str">
            <v>China</v>
          </cell>
          <cell r="G1516" t="str">
            <v>A9</v>
          </cell>
          <cell r="H1516" t="str">
            <v>0039</v>
          </cell>
          <cell r="I1516" t="str">
            <v>朝鲜</v>
          </cell>
          <cell r="J1516" t="str">
            <v>Chaoxian</v>
          </cell>
          <cell r="K1516" t="str">
            <v>Chinese employees</v>
          </cell>
          <cell r="L1516" t="str">
            <v>L3</v>
          </cell>
          <cell r="M1516" t="str">
            <v>ALL</v>
          </cell>
          <cell r="N1516" t="str">
            <v>FLPC(含奖金)</v>
          </cell>
          <cell r="O1516" t="str">
            <v>USD/小时</v>
          </cell>
          <cell r="P1516">
            <v>32.57</v>
          </cell>
        </row>
        <row r="1517">
          <cell r="A1517" t="str">
            <v>Chaoxian - Chinese employees - L4</v>
          </cell>
          <cell r="B1517" t="str">
            <v>Current version</v>
          </cell>
          <cell r="C1517" t="str">
            <v>V2009R2</v>
          </cell>
          <cell r="D1517" t="str">
            <v>Labor Rate</v>
          </cell>
          <cell r="E1517" t="str">
            <v>China</v>
          </cell>
          <cell r="F1517" t="str">
            <v>China</v>
          </cell>
          <cell r="G1517" t="str">
            <v>A9</v>
          </cell>
          <cell r="H1517" t="str">
            <v>0039</v>
          </cell>
          <cell r="I1517" t="str">
            <v>朝鲜</v>
          </cell>
          <cell r="J1517" t="str">
            <v>Chaoxian</v>
          </cell>
          <cell r="K1517" t="str">
            <v>Chinese employees</v>
          </cell>
          <cell r="L1517" t="str">
            <v>L4</v>
          </cell>
          <cell r="M1517" t="str">
            <v>ALL</v>
          </cell>
          <cell r="N1517" t="str">
            <v>FLPC(含奖金)</v>
          </cell>
          <cell r="O1517" t="str">
            <v>USD/小时</v>
          </cell>
          <cell r="P1517">
            <v>56.75</v>
          </cell>
        </row>
        <row r="1518">
          <cell r="A1518" t="str">
            <v>北欧地区部总部 - Chinese employees - L0</v>
          </cell>
          <cell r="B1518" t="str">
            <v>Current version</v>
          </cell>
          <cell r="C1518" t="str">
            <v>V2009R2</v>
          </cell>
          <cell r="D1518" t="str">
            <v>Labor Rate</v>
          </cell>
          <cell r="E1518" t="str">
            <v>EU</v>
          </cell>
          <cell r="F1518" t="str">
            <v>CEE&amp;Nordic European Sub-Regional Division</v>
          </cell>
          <cell r="G1518" t="str">
            <v>北欧地区部总部</v>
          </cell>
          <cell r="H1518" t="str">
            <v>3618</v>
          </cell>
          <cell r="I1518" t="str">
            <v>北欧地区部总部</v>
          </cell>
          <cell r="J1518" t="str">
            <v>北欧地区部总部</v>
          </cell>
          <cell r="K1518" t="str">
            <v>Chinese employees</v>
          </cell>
          <cell r="L1518" t="str">
            <v>L0</v>
          </cell>
          <cell r="M1518" t="str">
            <v>ALL</v>
          </cell>
          <cell r="N1518" t="str">
            <v>FLPC(含奖金)</v>
          </cell>
          <cell r="O1518" t="str">
            <v>USD/小时</v>
          </cell>
          <cell r="P1518">
            <v>61.07</v>
          </cell>
        </row>
        <row r="1519">
          <cell r="A1519" t="str">
            <v>北欧地区部总部 - Chinese employees - L1</v>
          </cell>
          <cell r="B1519" t="str">
            <v>Current version</v>
          </cell>
          <cell r="C1519" t="str">
            <v>V2009R2</v>
          </cell>
          <cell r="D1519" t="str">
            <v>Labor Rate</v>
          </cell>
          <cell r="E1519" t="str">
            <v>EU</v>
          </cell>
          <cell r="F1519" t="str">
            <v>CEE&amp;Nordic European Sub-Regional Division</v>
          </cell>
          <cell r="G1519" t="str">
            <v>北欧地区部总部</v>
          </cell>
          <cell r="H1519" t="str">
            <v>3618</v>
          </cell>
          <cell r="I1519" t="str">
            <v>北欧地区部总部</v>
          </cell>
          <cell r="J1519" t="str">
            <v>北欧地区部总部</v>
          </cell>
          <cell r="K1519" t="str">
            <v>Chinese employees</v>
          </cell>
          <cell r="L1519" t="str">
            <v>L1</v>
          </cell>
          <cell r="M1519" t="str">
            <v>ALL</v>
          </cell>
          <cell r="N1519" t="str">
            <v>FLPC(含奖金)</v>
          </cell>
          <cell r="O1519" t="str">
            <v>USD/小时</v>
          </cell>
          <cell r="P1519">
            <v>67.56</v>
          </cell>
        </row>
        <row r="1520">
          <cell r="A1520" t="str">
            <v>北欧地区部总部 - Chinese employees - L2</v>
          </cell>
          <cell r="B1520" t="str">
            <v>Current version</v>
          </cell>
          <cell r="C1520" t="str">
            <v>V2009R2</v>
          </cell>
          <cell r="D1520" t="str">
            <v>Labor Rate</v>
          </cell>
          <cell r="E1520" t="str">
            <v>EU</v>
          </cell>
          <cell r="F1520" t="str">
            <v>CEE&amp;Nordic European Sub-Regional Division</v>
          </cell>
          <cell r="G1520" t="str">
            <v>北欧地区部总部</v>
          </cell>
          <cell r="H1520" t="str">
            <v>3618</v>
          </cell>
          <cell r="I1520" t="str">
            <v>北欧地区部总部</v>
          </cell>
          <cell r="J1520" t="str">
            <v>北欧地区部总部</v>
          </cell>
          <cell r="K1520" t="str">
            <v>Chinese employees</v>
          </cell>
          <cell r="L1520" t="str">
            <v>L2</v>
          </cell>
          <cell r="M1520" t="str">
            <v>ALL</v>
          </cell>
          <cell r="N1520" t="str">
            <v>FLPC(含奖金)</v>
          </cell>
          <cell r="O1520" t="str">
            <v>USD/小时</v>
          </cell>
          <cell r="P1520">
            <v>75.959999999999994</v>
          </cell>
        </row>
        <row r="1521">
          <cell r="A1521" t="str">
            <v>Porto Alegre, Brazil - Local employees - L3</v>
          </cell>
          <cell r="B1521" t="str">
            <v>Current version</v>
          </cell>
          <cell r="C1521" t="str">
            <v>V2009R2</v>
          </cell>
          <cell r="D1521" t="str">
            <v>Labor Rate</v>
          </cell>
          <cell r="E1521" t="str">
            <v>LA</v>
          </cell>
          <cell r="F1521" t="str">
            <v>Southern South America Sub-Regional Division</v>
          </cell>
          <cell r="G1521" t="str">
            <v>Brazil-Sao Paulo Rep.O.</v>
          </cell>
          <cell r="H1521" t="str">
            <v>6032</v>
          </cell>
          <cell r="I1521" t="str">
            <v>巴西愉港</v>
          </cell>
          <cell r="J1521" t="str">
            <v>Porto Alegre, Brazil</v>
          </cell>
          <cell r="K1521" t="str">
            <v>Local employees</v>
          </cell>
          <cell r="L1521" t="str">
            <v>L3</v>
          </cell>
          <cell r="M1521" t="str">
            <v>ALL</v>
          </cell>
          <cell r="N1521" t="str">
            <v>FLPC(含奖金)</v>
          </cell>
          <cell r="O1521" t="str">
            <v>USD/小时</v>
          </cell>
          <cell r="P1521">
            <v>119.01</v>
          </cell>
        </row>
        <row r="1522">
          <cell r="A1522" t="str">
            <v>Porto Alegre, Brazil - Local employees - L4</v>
          </cell>
          <cell r="B1522" t="str">
            <v>Current version</v>
          </cell>
          <cell r="C1522" t="str">
            <v>V2009R2</v>
          </cell>
          <cell r="D1522" t="str">
            <v>Labor Rate</v>
          </cell>
          <cell r="E1522" t="str">
            <v>LA</v>
          </cell>
          <cell r="F1522" t="str">
            <v>Southern South America Sub-Regional Division</v>
          </cell>
          <cell r="G1522" t="str">
            <v>Brazil-Sao Paulo Rep.O.</v>
          </cell>
          <cell r="H1522" t="str">
            <v>6032</v>
          </cell>
          <cell r="I1522" t="str">
            <v>巴西愉港</v>
          </cell>
          <cell r="J1522" t="str">
            <v>Porto Alegre, Brazil</v>
          </cell>
          <cell r="K1522" t="str">
            <v>Local employees</v>
          </cell>
          <cell r="L1522" t="str">
            <v>L4</v>
          </cell>
          <cell r="M1522" t="str">
            <v>ALL</v>
          </cell>
          <cell r="N1522" t="str">
            <v>FLPC(含奖金)</v>
          </cell>
          <cell r="O1522" t="str">
            <v>USD/小时</v>
          </cell>
          <cell r="P1522">
            <v>178.63</v>
          </cell>
        </row>
        <row r="1523">
          <cell r="A1523" t="str">
            <v>Curitiba, Brazil - Local employees - L0</v>
          </cell>
          <cell r="B1523" t="str">
            <v>Current version</v>
          </cell>
          <cell r="C1523" t="str">
            <v>V2009R2</v>
          </cell>
          <cell r="D1523" t="str">
            <v>Labor Rate</v>
          </cell>
          <cell r="E1523" t="str">
            <v>LA</v>
          </cell>
          <cell r="F1523" t="str">
            <v>Southern South America Sub-Regional Division</v>
          </cell>
          <cell r="G1523" t="str">
            <v>Brazil-Sao Paulo Rep.O.</v>
          </cell>
          <cell r="H1523" t="str">
            <v>6033</v>
          </cell>
          <cell r="I1523" t="str">
            <v>巴西库里提巴</v>
          </cell>
          <cell r="J1523" t="str">
            <v>Curitiba, Brazil</v>
          </cell>
          <cell r="K1523" t="str">
            <v>Local employees</v>
          </cell>
          <cell r="L1523" t="str">
            <v>L0</v>
          </cell>
          <cell r="M1523" t="str">
            <v>ALL</v>
          </cell>
          <cell r="N1523" t="str">
            <v>FLPC(含奖金)</v>
          </cell>
          <cell r="O1523" t="str">
            <v>USD/小时</v>
          </cell>
          <cell r="P1523">
            <v>45.5</v>
          </cell>
        </row>
        <row r="1524">
          <cell r="A1524" t="str">
            <v>Curitiba, Brazil - Local employees - L1</v>
          </cell>
          <cell r="B1524" t="str">
            <v>Current version</v>
          </cell>
          <cell r="C1524" t="str">
            <v>V2009R2</v>
          </cell>
          <cell r="D1524" t="str">
            <v>Labor Rate</v>
          </cell>
          <cell r="E1524" t="str">
            <v>LA</v>
          </cell>
          <cell r="F1524" t="str">
            <v>Southern South America Sub-Regional Division</v>
          </cell>
          <cell r="G1524" t="str">
            <v>Brazil-Sao Paulo Rep.O.</v>
          </cell>
          <cell r="H1524" t="str">
            <v>6033</v>
          </cell>
          <cell r="I1524" t="str">
            <v>巴西库里提巴</v>
          </cell>
          <cell r="J1524" t="str">
            <v>Curitiba, Brazil</v>
          </cell>
          <cell r="K1524" t="str">
            <v>Local employees</v>
          </cell>
          <cell r="L1524" t="str">
            <v>L1</v>
          </cell>
          <cell r="M1524" t="str">
            <v>ALL</v>
          </cell>
          <cell r="N1524" t="str">
            <v>FLPC(含奖金)</v>
          </cell>
          <cell r="O1524" t="str">
            <v>USD/小时</v>
          </cell>
          <cell r="P1524">
            <v>59.5</v>
          </cell>
        </row>
        <row r="1525">
          <cell r="A1525" t="str">
            <v>Curitiba, Brazil - Local employees - L2</v>
          </cell>
          <cell r="B1525" t="str">
            <v>Current version</v>
          </cell>
          <cell r="C1525" t="str">
            <v>V2009R2</v>
          </cell>
          <cell r="D1525" t="str">
            <v>Labor Rate</v>
          </cell>
          <cell r="E1525" t="str">
            <v>LA</v>
          </cell>
          <cell r="F1525" t="str">
            <v>Southern South America Sub-Regional Division</v>
          </cell>
          <cell r="G1525" t="str">
            <v>Brazil-Sao Paulo Rep.O.</v>
          </cell>
          <cell r="H1525" t="str">
            <v>6033</v>
          </cell>
          <cell r="I1525" t="str">
            <v>巴西库里提巴</v>
          </cell>
          <cell r="J1525" t="str">
            <v>Curitiba, Brazil</v>
          </cell>
          <cell r="K1525" t="str">
            <v>Local employees</v>
          </cell>
          <cell r="L1525" t="str">
            <v>L2</v>
          </cell>
          <cell r="M1525" t="str">
            <v>ALL</v>
          </cell>
          <cell r="N1525" t="str">
            <v>FLPC(含奖金)</v>
          </cell>
          <cell r="O1525" t="str">
            <v>USD/小时</v>
          </cell>
          <cell r="P1525">
            <v>79.63</v>
          </cell>
        </row>
        <row r="1526">
          <cell r="A1526" t="str">
            <v>Curitiba, Brazil - Local employees - L3</v>
          </cell>
          <cell r="B1526" t="str">
            <v>Current version</v>
          </cell>
          <cell r="C1526" t="str">
            <v>V2009R2</v>
          </cell>
          <cell r="D1526" t="str">
            <v>Labor Rate</v>
          </cell>
          <cell r="E1526" t="str">
            <v>LA</v>
          </cell>
          <cell r="F1526" t="str">
            <v>Southern South America Sub-Regional Division</v>
          </cell>
          <cell r="G1526" t="str">
            <v>Brazil-Sao Paulo Rep.O.</v>
          </cell>
          <cell r="H1526" t="str">
            <v>6033</v>
          </cell>
          <cell r="I1526" t="str">
            <v>巴西库里提巴</v>
          </cell>
          <cell r="J1526" t="str">
            <v>Curitiba, Brazil</v>
          </cell>
          <cell r="K1526" t="str">
            <v>Local employees</v>
          </cell>
          <cell r="L1526" t="str">
            <v>L3</v>
          </cell>
          <cell r="M1526" t="str">
            <v>ALL</v>
          </cell>
          <cell r="N1526" t="str">
            <v>FLPC(含奖金)</v>
          </cell>
          <cell r="O1526" t="str">
            <v>USD/小时</v>
          </cell>
          <cell r="P1526">
            <v>119.01</v>
          </cell>
        </row>
        <row r="1527">
          <cell r="A1527" t="str">
            <v>Curitiba, Brazil - Local employees - L4</v>
          </cell>
          <cell r="B1527" t="str">
            <v>Current version</v>
          </cell>
          <cell r="C1527" t="str">
            <v>V2009R2</v>
          </cell>
          <cell r="D1527" t="str">
            <v>Labor Rate</v>
          </cell>
          <cell r="E1527" t="str">
            <v>LA</v>
          </cell>
          <cell r="F1527" t="str">
            <v>Southern South America Sub-Regional Division</v>
          </cell>
          <cell r="G1527" t="str">
            <v>Brazil-Sao Paulo Rep.O.</v>
          </cell>
          <cell r="H1527" t="str">
            <v>6033</v>
          </cell>
          <cell r="I1527" t="str">
            <v>巴西库里提巴</v>
          </cell>
          <cell r="J1527" t="str">
            <v>Curitiba, Brazil</v>
          </cell>
          <cell r="K1527" t="str">
            <v>Local employees</v>
          </cell>
          <cell r="L1527" t="str">
            <v>L4</v>
          </cell>
          <cell r="M1527" t="str">
            <v>ALL</v>
          </cell>
          <cell r="N1527" t="str">
            <v>FLPC(含奖金)</v>
          </cell>
          <cell r="O1527" t="str">
            <v>USD/小时</v>
          </cell>
          <cell r="P1527">
            <v>178.63</v>
          </cell>
        </row>
        <row r="1528">
          <cell r="A1528" t="str">
            <v>Rio De Janeiro, Brazil - Local employees - L0</v>
          </cell>
          <cell r="B1528" t="str">
            <v>Current version</v>
          </cell>
          <cell r="C1528" t="str">
            <v>V2009R2</v>
          </cell>
          <cell r="D1528" t="str">
            <v>Labor Rate</v>
          </cell>
          <cell r="E1528" t="str">
            <v>LA</v>
          </cell>
          <cell r="F1528" t="str">
            <v>Southern South America Sub-Regional Division</v>
          </cell>
          <cell r="G1528" t="str">
            <v>Brazil-Jio Rep.O.</v>
          </cell>
          <cell r="H1528" t="str">
            <v>6011</v>
          </cell>
          <cell r="I1528" t="str">
            <v>巴西里约热内卢</v>
          </cell>
          <cell r="J1528" t="str">
            <v>Rio De Janeiro, Brazil</v>
          </cell>
          <cell r="K1528" t="str">
            <v>Local employees</v>
          </cell>
          <cell r="L1528" t="str">
            <v>L0</v>
          </cell>
          <cell r="M1528" t="str">
            <v>ALL</v>
          </cell>
          <cell r="N1528" t="str">
            <v>FLPC(含奖金)</v>
          </cell>
          <cell r="O1528" t="str">
            <v>USD/小时</v>
          </cell>
          <cell r="P1528">
            <v>46.79</v>
          </cell>
        </row>
        <row r="1529">
          <cell r="A1529" t="str">
            <v>Rio De Janeiro, Brazil - Local employees - L1</v>
          </cell>
          <cell r="B1529" t="str">
            <v>Current version</v>
          </cell>
          <cell r="C1529" t="str">
            <v>V2009R2</v>
          </cell>
          <cell r="D1529" t="str">
            <v>Labor Rate</v>
          </cell>
          <cell r="E1529" t="str">
            <v>LA</v>
          </cell>
          <cell r="F1529" t="str">
            <v>Southern South America Sub-Regional Division</v>
          </cell>
          <cell r="G1529" t="str">
            <v>Brazil-Jio Rep.O.</v>
          </cell>
          <cell r="H1529" t="str">
            <v>6011</v>
          </cell>
          <cell r="I1529" t="str">
            <v>巴西里约热内卢</v>
          </cell>
          <cell r="J1529" t="str">
            <v>Rio De Janeiro, Brazil</v>
          </cell>
          <cell r="K1529" t="str">
            <v>Local employees</v>
          </cell>
          <cell r="L1529" t="str">
            <v>L1</v>
          </cell>
          <cell r="M1529" t="str">
            <v>ALL</v>
          </cell>
          <cell r="N1529" t="str">
            <v>FLPC(含奖金)</v>
          </cell>
          <cell r="O1529" t="str">
            <v>USD/小时</v>
          </cell>
          <cell r="P1529">
            <v>61.18</v>
          </cell>
        </row>
        <row r="1530">
          <cell r="A1530" t="str">
            <v>Rio De Janeiro, Brazil - Local employees - L2</v>
          </cell>
          <cell r="B1530" t="str">
            <v>Current version</v>
          </cell>
          <cell r="C1530" t="str">
            <v>V2009R2</v>
          </cell>
          <cell r="D1530" t="str">
            <v>Labor Rate</v>
          </cell>
          <cell r="E1530" t="str">
            <v>LA</v>
          </cell>
          <cell r="F1530" t="str">
            <v>Southern South America Sub-Regional Division</v>
          </cell>
          <cell r="G1530" t="str">
            <v>Brazil-Jio Rep.O.</v>
          </cell>
          <cell r="H1530" t="str">
            <v>6011</v>
          </cell>
          <cell r="I1530" t="str">
            <v>巴西里约热内卢</v>
          </cell>
          <cell r="J1530" t="str">
            <v>Rio De Janeiro, Brazil</v>
          </cell>
          <cell r="K1530" t="str">
            <v>Local employees</v>
          </cell>
          <cell r="L1530" t="str">
            <v>L2</v>
          </cell>
          <cell r="M1530" t="str">
            <v>ALL</v>
          </cell>
          <cell r="N1530" t="str">
            <v>FLPC(含奖金)</v>
          </cell>
          <cell r="O1530" t="str">
            <v>USD/小时</v>
          </cell>
          <cell r="P1530">
            <v>81.87</v>
          </cell>
        </row>
        <row r="1531">
          <cell r="A1531" t="str">
            <v>Rio De Janeiro, Brazil - Local employees - L3</v>
          </cell>
          <cell r="B1531" t="str">
            <v>Current version</v>
          </cell>
          <cell r="C1531" t="str">
            <v>V2009R2</v>
          </cell>
          <cell r="D1531" t="str">
            <v>Labor Rate</v>
          </cell>
          <cell r="E1531" t="str">
            <v>LA</v>
          </cell>
          <cell r="F1531" t="str">
            <v>Southern South America Sub-Regional Division</v>
          </cell>
          <cell r="G1531" t="str">
            <v>Brazil-Jio Rep.O.</v>
          </cell>
          <cell r="H1531" t="str">
            <v>6011</v>
          </cell>
          <cell r="I1531" t="str">
            <v>巴西里约热内卢</v>
          </cell>
          <cell r="J1531" t="str">
            <v>Rio De Janeiro, Brazil</v>
          </cell>
          <cell r="K1531" t="str">
            <v>Local employees</v>
          </cell>
          <cell r="L1531" t="str">
            <v>L3</v>
          </cell>
          <cell r="M1531" t="str">
            <v>ALL</v>
          </cell>
          <cell r="N1531" t="str">
            <v>FLPC(含奖金)</v>
          </cell>
          <cell r="O1531" t="str">
            <v>USD/小时</v>
          </cell>
          <cell r="P1531">
            <v>122.37</v>
          </cell>
        </row>
        <row r="1532">
          <cell r="A1532" t="str">
            <v>Rio De Janeiro, Brazil - Local employees - L4</v>
          </cell>
          <cell r="B1532" t="str">
            <v>Current version</v>
          </cell>
          <cell r="C1532" t="str">
            <v>V2009R2</v>
          </cell>
          <cell r="D1532" t="str">
            <v>Labor Rate</v>
          </cell>
          <cell r="E1532" t="str">
            <v>LA</v>
          </cell>
          <cell r="F1532" t="str">
            <v>Southern South America Sub-Regional Division</v>
          </cell>
          <cell r="G1532" t="str">
            <v>Brazil-Jio Rep.O.</v>
          </cell>
          <cell r="H1532" t="str">
            <v>6011</v>
          </cell>
          <cell r="I1532" t="str">
            <v>巴西里约热内卢</v>
          </cell>
          <cell r="J1532" t="str">
            <v>Rio De Janeiro, Brazil</v>
          </cell>
          <cell r="K1532" t="str">
            <v>Local employees</v>
          </cell>
          <cell r="L1532" t="str">
            <v>L4</v>
          </cell>
          <cell r="M1532" t="str">
            <v>ALL</v>
          </cell>
          <cell r="N1532" t="str">
            <v>FLPC(含奖金)</v>
          </cell>
          <cell r="O1532" t="str">
            <v>USD/小时</v>
          </cell>
          <cell r="P1532">
            <v>183.66</v>
          </cell>
        </row>
        <row r="1533">
          <cell r="A1533" t="str">
            <v>Bahia Salvador, Brazil - Local employees - L0</v>
          </cell>
          <cell r="B1533" t="str">
            <v>Current version</v>
          </cell>
          <cell r="C1533" t="str">
            <v>V2009R2</v>
          </cell>
          <cell r="D1533" t="str">
            <v>Labor Rate</v>
          </cell>
          <cell r="E1533" t="str">
            <v>LA</v>
          </cell>
          <cell r="F1533" t="str">
            <v>Southern South America Sub-Regional Division</v>
          </cell>
          <cell r="G1533" t="str">
            <v>Brazil-Jio Rep.O.</v>
          </cell>
          <cell r="H1533" t="str">
            <v>6037</v>
          </cell>
          <cell r="I1533" t="str">
            <v>巴西巴黑尔萨尔瓦多</v>
          </cell>
          <cell r="J1533" t="str">
            <v>Bahia Salvador, Brazil</v>
          </cell>
          <cell r="K1533" t="str">
            <v>Local employees</v>
          </cell>
          <cell r="L1533" t="str">
            <v>L0</v>
          </cell>
          <cell r="M1533" t="str">
            <v>ALL</v>
          </cell>
          <cell r="N1533" t="str">
            <v>FLPC(含奖金)</v>
          </cell>
          <cell r="O1533" t="str">
            <v>USD/小时</v>
          </cell>
          <cell r="P1533">
            <v>46.79</v>
          </cell>
        </row>
        <row r="1534">
          <cell r="A1534" t="str">
            <v>Bahia Salvador, Brazil - Local employees - L1</v>
          </cell>
          <cell r="B1534" t="str">
            <v>Current version</v>
          </cell>
          <cell r="C1534" t="str">
            <v>V2009R2</v>
          </cell>
          <cell r="D1534" t="str">
            <v>Labor Rate</v>
          </cell>
          <cell r="E1534" t="str">
            <v>LA</v>
          </cell>
          <cell r="F1534" t="str">
            <v>Southern South America Sub-Regional Division</v>
          </cell>
          <cell r="G1534" t="str">
            <v>Brazil-Jio Rep.O.</v>
          </cell>
          <cell r="H1534" t="str">
            <v>6037</v>
          </cell>
          <cell r="I1534" t="str">
            <v>巴西巴黑尔萨尔瓦多</v>
          </cell>
          <cell r="J1534" t="str">
            <v>Bahia Salvador, Brazil</v>
          </cell>
          <cell r="K1534" t="str">
            <v>Local employees</v>
          </cell>
          <cell r="L1534" t="str">
            <v>L1</v>
          </cell>
          <cell r="M1534" t="str">
            <v>ALL</v>
          </cell>
          <cell r="N1534" t="str">
            <v>FLPC(含奖金)</v>
          </cell>
          <cell r="O1534" t="str">
            <v>USD/小时</v>
          </cell>
          <cell r="P1534">
            <v>61.18</v>
          </cell>
        </row>
        <row r="1535">
          <cell r="A1535" t="str">
            <v>Bahia Salvador, Brazil - Local employees - L2</v>
          </cell>
          <cell r="B1535" t="str">
            <v>Current version</v>
          </cell>
          <cell r="C1535" t="str">
            <v>V2009R2</v>
          </cell>
          <cell r="D1535" t="str">
            <v>Labor Rate</v>
          </cell>
          <cell r="E1535" t="str">
            <v>LA</v>
          </cell>
          <cell r="F1535" t="str">
            <v>Southern South America Sub-Regional Division</v>
          </cell>
          <cell r="G1535" t="str">
            <v>Brazil-Jio Rep.O.</v>
          </cell>
          <cell r="H1535" t="str">
            <v>6037</v>
          </cell>
          <cell r="I1535" t="str">
            <v>巴西巴黑尔萨尔瓦多</v>
          </cell>
          <cell r="J1535" t="str">
            <v>Bahia Salvador, Brazil</v>
          </cell>
          <cell r="K1535" t="str">
            <v>Local employees</v>
          </cell>
          <cell r="L1535" t="str">
            <v>L2</v>
          </cell>
          <cell r="M1535" t="str">
            <v>ALL</v>
          </cell>
          <cell r="N1535" t="str">
            <v>FLPC(含奖金)</v>
          </cell>
          <cell r="O1535" t="str">
            <v>USD/小时</v>
          </cell>
          <cell r="P1535">
            <v>81.87</v>
          </cell>
        </row>
        <row r="1536">
          <cell r="A1536" t="str">
            <v>Bahia Salvador, Brazil - Local employees - L3</v>
          </cell>
          <cell r="B1536" t="str">
            <v>Current version</v>
          </cell>
          <cell r="C1536" t="str">
            <v>V2009R2</v>
          </cell>
          <cell r="D1536" t="str">
            <v>Labor Rate</v>
          </cell>
          <cell r="E1536" t="str">
            <v>LA</v>
          </cell>
          <cell r="F1536" t="str">
            <v>Southern South America Sub-Regional Division</v>
          </cell>
          <cell r="G1536" t="str">
            <v>Brazil-Jio Rep.O.</v>
          </cell>
          <cell r="H1536" t="str">
            <v>6037</v>
          </cell>
          <cell r="I1536" t="str">
            <v>巴西巴黑尔萨尔瓦多</v>
          </cell>
          <cell r="J1536" t="str">
            <v>Bahia Salvador, Brazil</v>
          </cell>
          <cell r="K1536" t="str">
            <v>Local employees</v>
          </cell>
          <cell r="L1536" t="str">
            <v>L3</v>
          </cell>
          <cell r="M1536" t="str">
            <v>ALL</v>
          </cell>
          <cell r="N1536" t="str">
            <v>FLPC(含奖金)</v>
          </cell>
          <cell r="O1536" t="str">
            <v>USD/小时</v>
          </cell>
          <cell r="P1536">
            <v>122.37</v>
          </cell>
        </row>
        <row r="1537">
          <cell r="A1537" t="str">
            <v>Bahia Salvador, Brazil - Local employees - L4</v>
          </cell>
          <cell r="B1537" t="str">
            <v>Current version</v>
          </cell>
          <cell r="C1537" t="str">
            <v>V2009R2</v>
          </cell>
          <cell r="D1537" t="str">
            <v>Labor Rate</v>
          </cell>
          <cell r="E1537" t="str">
            <v>LA</v>
          </cell>
          <cell r="F1537" t="str">
            <v>Southern South America Sub-Regional Division</v>
          </cell>
          <cell r="G1537" t="str">
            <v>Brazil-Jio Rep.O.</v>
          </cell>
          <cell r="H1537" t="str">
            <v>6037</v>
          </cell>
          <cell r="I1537" t="str">
            <v>巴西巴黑尔萨尔瓦多</v>
          </cell>
          <cell r="J1537" t="str">
            <v>Bahia Salvador, Brazil</v>
          </cell>
          <cell r="K1537" t="str">
            <v>Local employees</v>
          </cell>
          <cell r="L1537" t="str">
            <v>L4</v>
          </cell>
          <cell r="M1537" t="str">
            <v>ALL</v>
          </cell>
          <cell r="N1537" t="str">
            <v>FLPC(含奖金)</v>
          </cell>
          <cell r="O1537" t="str">
            <v>USD/小时</v>
          </cell>
          <cell r="P1537">
            <v>183.66</v>
          </cell>
        </row>
        <row r="1538">
          <cell r="A1538" t="str">
            <v>Fortaleza, Brazil - Local employees - L0</v>
          </cell>
          <cell r="B1538" t="str">
            <v>Current version</v>
          </cell>
          <cell r="C1538" t="str">
            <v>V2009R2</v>
          </cell>
          <cell r="D1538" t="str">
            <v>Labor Rate</v>
          </cell>
          <cell r="E1538" t="str">
            <v>LA</v>
          </cell>
          <cell r="F1538" t="str">
            <v>Southern South America Sub-Regional Division</v>
          </cell>
          <cell r="G1538" t="str">
            <v>Brazil-Jio Rep.O.</v>
          </cell>
          <cell r="H1538" t="str">
            <v>6038</v>
          </cell>
          <cell r="I1538" t="str">
            <v>巴西福塔雷萨</v>
          </cell>
          <cell r="J1538" t="str">
            <v>Fortaleza, Brazil</v>
          </cell>
          <cell r="K1538" t="str">
            <v>Local employees</v>
          </cell>
          <cell r="L1538" t="str">
            <v>L0</v>
          </cell>
          <cell r="M1538" t="str">
            <v>ALL</v>
          </cell>
          <cell r="N1538" t="str">
            <v>FLPC(含奖金)</v>
          </cell>
          <cell r="O1538" t="str">
            <v>USD/小时</v>
          </cell>
          <cell r="P1538">
            <v>46.79</v>
          </cell>
        </row>
        <row r="1539">
          <cell r="A1539" t="str">
            <v>Fortaleza, Brazil - Local employees - L1</v>
          </cell>
          <cell r="B1539" t="str">
            <v>Current version</v>
          </cell>
          <cell r="C1539" t="str">
            <v>V2009R2</v>
          </cell>
          <cell r="D1539" t="str">
            <v>Labor Rate</v>
          </cell>
          <cell r="E1539" t="str">
            <v>LA</v>
          </cell>
          <cell r="F1539" t="str">
            <v>Southern South America Sub-Regional Division</v>
          </cell>
          <cell r="G1539" t="str">
            <v>Brazil-Jio Rep.O.</v>
          </cell>
          <cell r="H1539" t="str">
            <v>6038</v>
          </cell>
          <cell r="I1539" t="str">
            <v>巴西福塔雷萨</v>
          </cell>
          <cell r="J1539" t="str">
            <v>Fortaleza, Brazil</v>
          </cell>
          <cell r="K1539" t="str">
            <v>Local employees</v>
          </cell>
          <cell r="L1539" t="str">
            <v>L1</v>
          </cell>
          <cell r="M1539" t="str">
            <v>ALL</v>
          </cell>
          <cell r="N1539" t="str">
            <v>FLPC(含奖金)</v>
          </cell>
          <cell r="O1539" t="str">
            <v>USD/小时</v>
          </cell>
          <cell r="P1539">
            <v>61.18</v>
          </cell>
        </row>
        <row r="1540">
          <cell r="A1540" t="str">
            <v>Fortaleza, Brazil - Local employees - L2</v>
          </cell>
          <cell r="B1540" t="str">
            <v>Current version</v>
          </cell>
          <cell r="C1540" t="str">
            <v>V2009R2</v>
          </cell>
          <cell r="D1540" t="str">
            <v>Labor Rate</v>
          </cell>
          <cell r="E1540" t="str">
            <v>LA</v>
          </cell>
          <cell r="F1540" t="str">
            <v>Southern South America Sub-Regional Division</v>
          </cell>
          <cell r="G1540" t="str">
            <v>Brazil-Jio Rep.O.</v>
          </cell>
          <cell r="H1540" t="str">
            <v>6038</v>
          </cell>
          <cell r="I1540" t="str">
            <v>巴西福塔雷萨</v>
          </cell>
          <cell r="J1540" t="str">
            <v>Fortaleza, Brazil</v>
          </cell>
          <cell r="K1540" t="str">
            <v>Local employees</v>
          </cell>
          <cell r="L1540" t="str">
            <v>L2</v>
          </cell>
          <cell r="M1540" t="str">
            <v>ALL</v>
          </cell>
          <cell r="N1540" t="str">
            <v>FLPC(含奖金)</v>
          </cell>
          <cell r="O1540" t="str">
            <v>USD/小时</v>
          </cell>
          <cell r="P1540">
            <v>81.87</v>
          </cell>
        </row>
        <row r="1541">
          <cell r="A1541" t="str">
            <v>Fortaleza, Brazil - Local employees - L3</v>
          </cell>
          <cell r="B1541" t="str">
            <v>Current version</v>
          </cell>
          <cell r="C1541" t="str">
            <v>V2009R2</v>
          </cell>
          <cell r="D1541" t="str">
            <v>Labor Rate</v>
          </cell>
          <cell r="E1541" t="str">
            <v>LA</v>
          </cell>
          <cell r="F1541" t="str">
            <v>Southern South America Sub-Regional Division</v>
          </cell>
          <cell r="G1541" t="str">
            <v>Brazil-Jio Rep.O.</v>
          </cell>
          <cell r="H1541" t="str">
            <v>6038</v>
          </cell>
          <cell r="I1541" t="str">
            <v>巴西福塔雷萨</v>
          </cell>
          <cell r="J1541" t="str">
            <v>Fortaleza, Brazil</v>
          </cell>
          <cell r="K1541" t="str">
            <v>Local employees</v>
          </cell>
          <cell r="L1541" t="str">
            <v>L3</v>
          </cell>
          <cell r="M1541" t="str">
            <v>ALL</v>
          </cell>
          <cell r="N1541" t="str">
            <v>FLPC(含奖金)</v>
          </cell>
          <cell r="O1541" t="str">
            <v>USD/小时</v>
          </cell>
          <cell r="P1541">
            <v>122.37</v>
          </cell>
        </row>
        <row r="1542">
          <cell r="A1542" t="str">
            <v>Fortaleza, Brazil - Local employees - L4</v>
          </cell>
          <cell r="B1542" t="str">
            <v>Current version</v>
          </cell>
          <cell r="C1542" t="str">
            <v>V2009R2</v>
          </cell>
          <cell r="D1542" t="str">
            <v>Labor Rate</v>
          </cell>
          <cell r="E1542" t="str">
            <v>LA</v>
          </cell>
          <cell r="F1542" t="str">
            <v>Southern South America Sub-Regional Division</v>
          </cell>
          <cell r="G1542" t="str">
            <v>Brazil-Jio Rep.O.</v>
          </cell>
          <cell r="H1542" t="str">
            <v>6038</v>
          </cell>
          <cell r="I1542" t="str">
            <v>巴西福塔雷萨</v>
          </cell>
          <cell r="J1542" t="str">
            <v>Fortaleza, Brazil</v>
          </cell>
          <cell r="K1542" t="str">
            <v>Local employees</v>
          </cell>
          <cell r="L1542" t="str">
            <v>L4</v>
          </cell>
          <cell r="M1542" t="str">
            <v>ALL</v>
          </cell>
          <cell r="N1542" t="str">
            <v>FLPC(含奖金)</v>
          </cell>
          <cell r="O1542" t="str">
            <v>USD/小时</v>
          </cell>
          <cell r="P1542">
            <v>183.66</v>
          </cell>
        </row>
        <row r="1543">
          <cell r="A1543" t="str">
            <v>Recife, Brazil - Local employees - L0</v>
          </cell>
          <cell r="B1543" t="str">
            <v>Current version</v>
          </cell>
          <cell r="C1543" t="str">
            <v>V2009R2</v>
          </cell>
          <cell r="D1543" t="str">
            <v>Labor Rate</v>
          </cell>
          <cell r="E1543" t="str">
            <v>LA</v>
          </cell>
          <cell r="F1543" t="str">
            <v>Southern South America Sub-Regional Division</v>
          </cell>
          <cell r="G1543" t="str">
            <v>Brazil-Jio Rep.O.</v>
          </cell>
          <cell r="H1543" t="str">
            <v>6039</v>
          </cell>
          <cell r="I1543" t="str">
            <v>巴西累西腓</v>
          </cell>
          <cell r="J1543" t="str">
            <v>Recife, Brazil</v>
          </cell>
          <cell r="K1543" t="str">
            <v>Local employees</v>
          </cell>
          <cell r="L1543" t="str">
            <v>L0</v>
          </cell>
          <cell r="M1543" t="str">
            <v>ALL</v>
          </cell>
          <cell r="N1543" t="str">
            <v>FLPC(含奖金)</v>
          </cell>
          <cell r="O1543" t="str">
            <v>USD/小时</v>
          </cell>
          <cell r="P1543">
            <v>46.79</v>
          </cell>
        </row>
        <row r="1544">
          <cell r="A1544" t="str">
            <v>Recife, Brazil - Local employees - L1</v>
          </cell>
          <cell r="B1544" t="str">
            <v>Current version</v>
          </cell>
          <cell r="C1544" t="str">
            <v>V2009R2</v>
          </cell>
          <cell r="D1544" t="str">
            <v>Labor Rate</v>
          </cell>
          <cell r="E1544" t="str">
            <v>LA</v>
          </cell>
          <cell r="F1544" t="str">
            <v>Southern South America Sub-Regional Division</v>
          </cell>
          <cell r="G1544" t="str">
            <v>Brazil-Jio Rep.O.</v>
          </cell>
          <cell r="H1544" t="str">
            <v>6039</v>
          </cell>
          <cell r="I1544" t="str">
            <v>巴西累西腓</v>
          </cell>
          <cell r="J1544" t="str">
            <v>Recife, Brazil</v>
          </cell>
          <cell r="K1544" t="str">
            <v>Local employees</v>
          </cell>
          <cell r="L1544" t="str">
            <v>L1</v>
          </cell>
          <cell r="M1544" t="str">
            <v>ALL</v>
          </cell>
          <cell r="N1544" t="str">
            <v>FLPC(含奖金)</v>
          </cell>
          <cell r="O1544" t="str">
            <v>USD/小时</v>
          </cell>
          <cell r="P1544">
            <v>61.18</v>
          </cell>
        </row>
        <row r="1545">
          <cell r="A1545" t="str">
            <v>Recife, Brazil - Local employees - L2</v>
          </cell>
          <cell r="B1545" t="str">
            <v>Current version</v>
          </cell>
          <cell r="C1545" t="str">
            <v>V2009R2</v>
          </cell>
          <cell r="D1545" t="str">
            <v>Labor Rate</v>
          </cell>
          <cell r="E1545" t="str">
            <v>LA</v>
          </cell>
          <cell r="F1545" t="str">
            <v>Southern South America Sub-Regional Division</v>
          </cell>
          <cell r="G1545" t="str">
            <v>Brazil-Jio Rep.O.</v>
          </cell>
          <cell r="H1545" t="str">
            <v>6039</v>
          </cell>
          <cell r="I1545" t="str">
            <v>巴西累西腓</v>
          </cell>
          <cell r="J1545" t="str">
            <v>Recife, Brazil</v>
          </cell>
          <cell r="K1545" t="str">
            <v>Local employees</v>
          </cell>
          <cell r="L1545" t="str">
            <v>L2</v>
          </cell>
          <cell r="M1545" t="str">
            <v>ALL</v>
          </cell>
          <cell r="N1545" t="str">
            <v>FLPC(含奖金)</v>
          </cell>
          <cell r="O1545" t="str">
            <v>USD/小时</v>
          </cell>
          <cell r="P1545">
            <v>81.87</v>
          </cell>
        </row>
        <row r="1546">
          <cell r="A1546" t="str">
            <v>Recife, Brazil - Local employees - L3</v>
          </cell>
          <cell r="B1546" t="str">
            <v>Current version</v>
          </cell>
          <cell r="C1546" t="str">
            <v>V2009R2</v>
          </cell>
          <cell r="D1546" t="str">
            <v>Labor Rate</v>
          </cell>
          <cell r="E1546" t="str">
            <v>LA</v>
          </cell>
          <cell r="F1546" t="str">
            <v>Southern South America Sub-Regional Division</v>
          </cell>
          <cell r="G1546" t="str">
            <v>Brazil-Jio Rep.O.</v>
          </cell>
          <cell r="H1546" t="str">
            <v>6039</v>
          </cell>
          <cell r="I1546" t="str">
            <v>巴西累西腓</v>
          </cell>
          <cell r="J1546" t="str">
            <v>Recife, Brazil</v>
          </cell>
          <cell r="K1546" t="str">
            <v>Local employees</v>
          </cell>
          <cell r="L1546" t="str">
            <v>L3</v>
          </cell>
          <cell r="M1546" t="str">
            <v>ALL</v>
          </cell>
          <cell r="N1546" t="str">
            <v>FLPC(含奖金)</v>
          </cell>
          <cell r="O1546" t="str">
            <v>USD/小时</v>
          </cell>
          <cell r="P1546">
            <v>122.37</v>
          </cell>
        </row>
        <row r="1547">
          <cell r="A1547" t="str">
            <v>Recife, Brazil - Local employees - L4</v>
          </cell>
          <cell r="B1547" t="str">
            <v>Current version</v>
          </cell>
          <cell r="C1547" t="str">
            <v>V2009R2</v>
          </cell>
          <cell r="D1547" t="str">
            <v>Labor Rate</v>
          </cell>
          <cell r="E1547" t="str">
            <v>LA</v>
          </cell>
          <cell r="F1547" t="str">
            <v>Southern South America Sub-Regional Division</v>
          </cell>
          <cell r="G1547" t="str">
            <v>Brazil-Jio Rep.O.</v>
          </cell>
          <cell r="H1547" t="str">
            <v>6039</v>
          </cell>
          <cell r="I1547" t="str">
            <v>巴西累西腓</v>
          </cell>
          <cell r="J1547" t="str">
            <v>Recife, Brazil</v>
          </cell>
          <cell r="K1547" t="str">
            <v>Local employees</v>
          </cell>
          <cell r="L1547" t="str">
            <v>L4</v>
          </cell>
          <cell r="M1547" t="str">
            <v>ALL</v>
          </cell>
          <cell r="N1547" t="str">
            <v>FLPC(含奖金)</v>
          </cell>
          <cell r="O1547" t="str">
            <v>USD/小时</v>
          </cell>
          <cell r="P1547">
            <v>183.66</v>
          </cell>
        </row>
        <row r="1548">
          <cell r="A1548" t="str">
            <v>Brasilia, Brazil - Local employees - L0</v>
          </cell>
          <cell r="B1548" t="str">
            <v>Current version</v>
          </cell>
          <cell r="C1548" t="str">
            <v>V2009R2</v>
          </cell>
          <cell r="D1548" t="str">
            <v>Labor Rate</v>
          </cell>
          <cell r="E1548" t="str">
            <v>LA</v>
          </cell>
          <cell r="F1548" t="str">
            <v>Southern South America Sub-Regional Division</v>
          </cell>
          <cell r="G1548" t="str">
            <v>Brazil-Brazilia Rep.O.</v>
          </cell>
          <cell r="H1548" t="str">
            <v>6012</v>
          </cell>
          <cell r="I1548" t="str">
            <v>巴西巴西利亚</v>
          </cell>
          <cell r="J1548" t="str">
            <v>Brasilia, Brazil</v>
          </cell>
          <cell r="K1548" t="str">
            <v>Local employees</v>
          </cell>
          <cell r="L1548" t="str">
            <v>L0</v>
          </cell>
          <cell r="M1548" t="str">
            <v>ALL</v>
          </cell>
          <cell r="N1548" t="str">
            <v>FLPC(含奖金)</v>
          </cell>
          <cell r="O1548" t="str">
            <v>USD/小时</v>
          </cell>
          <cell r="P1548">
            <v>45.5</v>
          </cell>
        </row>
        <row r="1549">
          <cell r="A1549" t="str">
            <v>Brasilia, Brazil - Local employees - L1</v>
          </cell>
          <cell r="B1549" t="str">
            <v>Current version</v>
          </cell>
          <cell r="C1549" t="str">
            <v>V2009R2</v>
          </cell>
          <cell r="D1549" t="str">
            <v>Labor Rate</v>
          </cell>
          <cell r="E1549" t="str">
            <v>LA</v>
          </cell>
          <cell r="F1549" t="str">
            <v>Southern South America Sub-Regional Division</v>
          </cell>
          <cell r="G1549" t="str">
            <v>Brazil-Brazilia Rep.O.</v>
          </cell>
          <cell r="H1549" t="str">
            <v>6012</v>
          </cell>
          <cell r="I1549" t="str">
            <v>巴西巴西利亚</v>
          </cell>
          <cell r="J1549" t="str">
            <v>Brasilia, Brazil</v>
          </cell>
          <cell r="K1549" t="str">
            <v>Local employees</v>
          </cell>
          <cell r="L1549" t="str">
            <v>L1</v>
          </cell>
          <cell r="M1549" t="str">
            <v>ALL</v>
          </cell>
          <cell r="N1549" t="str">
            <v>FLPC(含奖金)</v>
          </cell>
          <cell r="O1549" t="str">
            <v>USD/小时</v>
          </cell>
          <cell r="P1549">
            <v>59.5</v>
          </cell>
        </row>
        <row r="1550">
          <cell r="A1550" t="str">
            <v>Brasilia, Brazil - Local employees - L2</v>
          </cell>
          <cell r="B1550" t="str">
            <v>Current version</v>
          </cell>
          <cell r="C1550" t="str">
            <v>V2009R2</v>
          </cell>
          <cell r="D1550" t="str">
            <v>Labor Rate</v>
          </cell>
          <cell r="E1550" t="str">
            <v>LA</v>
          </cell>
          <cell r="F1550" t="str">
            <v>Southern South America Sub-Regional Division</v>
          </cell>
          <cell r="G1550" t="str">
            <v>Brazil-Brazilia Rep.O.</v>
          </cell>
          <cell r="H1550" t="str">
            <v>6012</v>
          </cell>
          <cell r="I1550" t="str">
            <v>巴西巴西利亚</v>
          </cell>
          <cell r="J1550" t="str">
            <v>Brasilia, Brazil</v>
          </cell>
          <cell r="K1550" t="str">
            <v>Local employees</v>
          </cell>
          <cell r="L1550" t="str">
            <v>L2</v>
          </cell>
          <cell r="M1550" t="str">
            <v>ALL</v>
          </cell>
          <cell r="N1550" t="str">
            <v>FLPC(含奖金)</v>
          </cell>
          <cell r="O1550" t="str">
            <v>USD/小时</v>
          </cell>
          <cell r="P1550">
            <v>79.63</v>
          </cell>
        </row>
        <row r="1551">
          <cell r="A1551" t="str">
            <v>Brasilia, Brazil - Local employees - L3</v>
          </cell>
          <cell r="B1551" t="str">
            <v>Current version</v>
          </cell>
          <cell r="C1551" t="str">
            <v>V2009R2</v>
          </cell>
          <cell r="D1551" t="str">
            <v>Labor Rate</v>
          </cell>
          <cell r="E1551" t="str">
            <v>LA</v>
          </cell>
          <cell r="F1551" t="str">
            <v>Southern South America Sub-Regional Division</v>
          </cell>
          <cell r="G1551" t="str">
            <v>Brazil-Brazilia Rep.O.</v>
          </cell>
          <cell r="H1551" t="str">
            <v>6012</v>
          </cell>
          <cell r="I1551" t="str">
            <v>巴西巴西利亚</v>
          </cell>
          <cell r="J1551" t="str">
            <v>Brasilia, Brazil</v>
          </cell>
          <cell r="K1551" t="str">
            <v>Local employees</v>
          </cell>
          <cell r="L1551" t="str">
            <v>L3</v>
          </cell>
          <cell r="M1551" t="str">
            <v>ALL</v>
          </cell>
          <cell r="N1551" t="str">
            <v>FLPC(含奖金)</v>
          </cell>
          <cell r="O1551" t="str">
            <v>USD/小时</v>
          </cell>
          <cell r="P1551">
            <v>119.01</v>
          </cell>
        </row>
        <row r="1552">
          <cell r="A1552" t="str">
            <v>Brasilia, Brazil - Local employees - L4</v>
          </cell>
          <cell r="B1552" t="str">
            <v>Current version</v>
          </cell>
          <cell r="C1552" t="str">
            <v>V2009R2</v>
          </cell>
          <cell r="D1552" t="str">
            <v>Labor Rate</v>
          </cell>
          <cell r="E1552" t="str">
            <v>LA</v>
          </cell>
          <cell r="F1552" t="str">
            <v>Southern South America Sub-Regional Division</v>
          </cell>
          <cell r="G1552" t="str">
            <v>Brazil-Brazilia Rep.O.</v>
          </cell>
          <cell r="H1552" t="str">
            <v>6012</v>
          </cell>
          <cell r="I1552" t="str">
            <v>巴西巴西利亚</v>
          </cell>
          <cell r="J1552" t="str">
            <v>Brasilia, Brazil</v>
          </cell>
          <cell r="K1552" t="str">
            <v>Local employees</v>
          </cell>
          <cell r="L1552" t="str">
            <v>L4</v>
          </cell>
          <cell r="M1552" t="str">
            <v>ALL</v>
          </cell>
          <cell r="N1552" t="str">
            <v>FLPC(含奖金)</v>
          </cell>
          <cell r="O1552" t="str">
            <v>USD/小时</v>
          </cell>
          <cell r="P1552">
            <v>178.63</v>
          </cell>
        </row>
        <row r="1553">
          <cell r="A1553" t="str">
            <v>Uberlandia, Brazil - Local employees - L0</v>
          </cell>
          <cell r="B1553" t="str">
            <v>Current version</v>
          </cell>
          <cell r="C1553" t="str">
            <v>V2009R2</v>
          </cell>
          <cell r="D1553" t="str">
            <v>Labor Rate</v>
          </cell>
          <cell r="E1553" t="str">
            <v>LA</v>
          </cell>
          <cell r="F1553" t="str">
            <v>Southern South America Sub-Regional Division</v>
          </cell>
          <cell r="G1553" t="str">
            <v>Brazil-Brazilia Rep.O.</v>
          </cell>
          <cell r="H1553" t="str">
            <v>6034</v>
          </cell>
          <cell r="I1553" t="str">
            <v>巴西乌贝兰迪亚</v>
          </cell>
          <cell r="J1553" t="str">
            <v>Uberlandia, Brazil</v>
          </cell>
          <cell r="K1553" t="str">
            <v>Local employees</v>
          </cell>
          <cell r="L1553" t="str">
            <v>L0</v>
          </cell>
          <cell r="M1553" t="str">
            <v>ALL</v>
          </cell>
          <cell r="N1553" t="str">
            <v>FLPC(含奖金)</v>
          </cell>
          <cell r="O1553" t="str">
            <v>USD/小时</v>
          </cell>
          <cell r="P1553">
            <v>45.5</v>
          </cell>
        </row>
        <row r="1554">
          <cell r="A1554" t="str">
            <v>Uberlandia, Brazil - Local employees - L1</v>
          </cell>
          <cell r="B1554" t="str">
            <v>Current version</v>
          </cell>
          <cell r="C1554" t="str">
            <v>V2009R2</v>
          </cell>
          <cell r="D1554" t="str">
            <v>Labor Rate</v>
          </cell>
          <cell r="E1554" t="str">
            <v>LA</v>
          </cell>
          <cell r="F1554" t="str">
            <v>Southern South America Sub-Regional Division</v>
          </cell>
          <cell r="G1554" t="str">
            <v>Brazil-Brazilia Rep.O.</v>
          </cell>
          <cell r="H1554" t="str">
            <v>6034</v>
          </cell>
          <cell r="I1554" t="str">
            <v>巴西乌贝兰迪亚</v>
          </cell>
          <cell r="J1554" t="str">
            <v>Uberlandia, Brazil</v>
          </cell>
          <cell r="K1554" t="str">
            <v>Local employees</v>
          </cell>
          <cell r="L1554" t="str">
            <v>L1</v>
          </cell>
          <cell r="M1554" t="str">
            <v>ALL</v>
          </cell>
          <cell r="N1554" t="str">
            <v>FLPC(含奖金)</v>
          </cell>
          <cell r="O1554" t="str">
            <v>USD/小时</v>
          </cell>
          <cell r="P1554">
            <v>59.5</v>
          </cell>
        </row>
        <row r="1555">
          <cell r="A1555" t="str">
            <v>Uberlandia, Brazil - Local employees - L2</v>
          </cell>
          <cell r="B1555" t="str">
            <v>Current version</v>
          </cell>
          <cell r="C1555" t="str">
            <v>V2009R2</v>
          </cell>
          <cell r="D1555" t="str">
            <v>Labor Rate</v>
          </cell>
          <cell r="E1555" t="str">
            <v>LA</v>
          </cell>
          <cell r="F1555" t="str">
            <v>Southern South America Sub-Regional Division</v>
          </cell>
          <cell r="G1555" t="str">
            <v>Brazil-Brazilia Rep.O.</v>
          </cell>
          <cell r="H1555" t="str">
            <v>6034</v>
          </cell>
          <cell r="I1555" t="str">
            <v>巴西乌贝兰迪亚</v>
          </cell>
          <cell r="J1555" t="str">
            <v>Uberlandia, Brazil</v>
          </cell>
          <cell r="K1555" t="str">
            <v>Local employees</v>
          </cell>
          <cell r="L1555" t="str">
            <v>L2</v>
          </cell>
          <cell r="M1555" t="str">
            <v>ALL</v>
          </cell>
          <cell r="N1555" t="str">
            <v>FLPC(含奖金)</v>
          </cell>
          <cell r="O1555" t="str">
            <v>USD/小时</v>
          </cell>
          <cell r="P1555">
            <v>79.63</v>
          </cell>
        </row>
        <row r="1556">
          <cell r="A1556" t="str">
            <v>Uberlandia, Brazil - Local employees - L3</v>
          </cell>
          <cell r="B1556" t="str">
            <v>Current version</v>
          </cell>
          <cell r="C1556" t="str">
            <v>V2009R2</v>
          </cell>
          <cell r="D1556" t="str">
            <v>Labor Rate</v>
          </cell>
          <cell r="E1556" t="str">
            <v>LA</v>
          </cell>
          <cell r="F1556" t="str">
            <v>Southern South America Sub-Regional Division</v>
          </cell>
          <cell r="G1556" t="str">
            <v>Brazil-Brazilia Rep.O.</v>
          </cell>
          <cell r="H1556" t="str">
            <v>6034</v>
          </cell>
          <cell r="I1556" t="str">
            <v>巴西乌贝兰迪亚</v>
          </cell>
          <cell r="J1556" t="str">
            <v>Uberlandia, Brazil</v>
          </cell>
          <cell r="K1556" t="str">
            <v>Local employees</v>
          </cell>
          <cell r="L1556" t="str">
            <v>L3</v>
          </cell>
          <cell r="M1556" t="str">
            <v>ALL</v>
          </cell>
          <cell r="N1556" t="str">
            <v>FLPC(含奖金)</v>
          </cell>
          <cell r="O1556" t="str">
            <v>USD/小时</v>
          </cell>
          <cell r="P1556">
            <v>119.01</v>
          </cell>
        </row>
        <row r="1557">
          <cell r="A1557" t="str">
            <v>Uberlandia, Brazil - Local employees - L4</v>
          </cell>
          <cell r="B1557" t="str">
            <v>Current version</v>
          </cell>
          <cell r="C1557" t="str">
            <v>V2009R2</v>
          </cell>
          <cell r="D1557" t="str">
            <v>Labor Rate</v>
          </cell>
          <cell r="E1557" t="str">
            <v>LA</v>
          </cell>
          <cell r="F1557" t="str">
            <v>Southern South America Sub-Regional Division</v>
          </cell>
          <cell r="G1557" t="str">
            <v>Brazil-Brazilia Rep.O.</v>
          </cell>
          <cell r="H1557" t="str">
            <v>6034</v>
          </cell>
          <cell r="I1557" t="str">
            <v>巴西乌贝兰迪亚</v>
          </cell>
          <cell r="J1557" t="str">
            <v>Uberlandia, Brazil</v>
          </cell>
          <cell r="K1557" t="str">
            <v>Local employees</v>
          </cell>
          <cell r="L1557" t="str">
            <v>L4</v>
          </cell>
          <cell r="M1557" t="str">
            <v>ALL</v>
          </cell>
          <cell r="N1557" t="str">
            <v>FLPC(含奖金)</v>
          </cell>
          <cell r="O1557" t="str">
            <v>USD/小时</v>
          </cell>
          <cell r="P1557">
            <v>178.63</v>
          </cell>
        </row>
        <row r="1558">
          <cell r="A1558" t="str">
            <v>Belem, Brazil - Local employees - L0</v>
          </cell>
          <cell r="B1558" t="str">
            <v>Current version</v>
          </cell>
          <cell r="C1558" t="str">
            <v>V2009R2</v>
          </cell>
          <cell r="D1558" t="str">
            <v>Labor Rate</v>
          </cell>
          <cell r="E1558" t="str">
            <v>LA</v>
          </cell>
          <cell r="F1558" t="str">
            <v>Southern South America Sub-Regional Division</v>
          </cell>
          <cell r="G1558" t="str">
            <v>Brazil-Brazilia Rep.O.</v>
          </cell>
          <cell r="H1558" t="str">
            <v>6035</v>
          </cell>
          <cell r="I1558" t="str">
            <v>巴西贝仑</v>
          </cell>
          <cell r="J1558" t="str">
            <v>Belem, Brazil</v>
          </cell>
          <cell r="K1558" t="str">
            <v>Local employees</v>
          </cell>
          <cell r="L1558" t="str">
            <v>L0</v>
          </cell>
          <cell r="M1558" t="str">
            <v>ALL</v>
          </cell>
          <cell r="N1558" t="str">
            <v>FLPC(含奖金)</v>
          </cell>
          <cell r="O1558" t="str">
            <v>USD/小时</v>
          </cell>
          <cell r="P1558">
            <v>45.5</v>
          </cell>
        </row>
        <row r="1559">
          <cell r="A1559" t="str">
            <v>Belem, Brazil - Local employees - L1</v>
          </cell>
          <cell r="B1559" t="str">
            <v>Current version</v>
          </cell>
          <cell r="C1559" t="str">
            <v>V2009R2</v>
          </cell>
          <cell r="D1559" t="str">
            <v>Labor Rate</v>
          </cell>
          <cell r="E1559" t="str">
            <v>LA</v>
          </cell>
          <cell r="F1559" t="str">
            <v>Southern South America Sub-Regional Division</v>
          </cell>
          <cell r="G1559" t="str">
            <v>Brazil-Brazilia Rep.O.</v>
          </cell>
          <cell r="H1559" t="str">
            <v>6035</v>
          </cell>
          <cell r="I1559" t="str">
            <v>巴西贝仑</v>
          </cell>
          <cell r="J1559" t="str">
            <v>Belem, Brazil</v>
          </cell>
          <cell r="K1559" t="str">
            <v>Local employees</v>
          </cell>
          <cell r="L1559" t="str">
            <v>L1</v>
          </cell>
          <cell r="M1559" t="str">
            <v>ALL</v>
          </cell>
          <cell r="N1559" t="str">
            <v>FLPC(含奖金)</v>
          </cell>
          <cell r="O1559" t="str">
            <v>USD/小时</v>
          </cell>
          <cell r="P1559">
            <v>59.5</v>
          </cell>
        </row>
        <row r="1560">
          <cell r="A1560" t="str">
            <v>Belem, Brazil - Local employees - L2</v>
          </cell>
          <cell r="B1560" t="str">
            <v>Current version</v>
          </cell>
          <cell r="C1560" t="str">
            <v>V2009R2</v>
          </cell>
          <cell r="D1560" t="str">
            <v>Labor Rate</v>
          </cell>
          <cell r="E1560" t="str">
            <v>LA</v>
          </cell>
          <cell r="F1560" t="str">
            <v>Southern South America Sub-Regional Division</v>
          </cell>
          <cell r="G1560" t="str">
            <v>Brazil-Brazilia Rep.O.</v>
          </cell>
          <cell r="H1560" t="str">
            <v>6035</v>
          </cell>
          <cell r="I1560" t="str">
            <v>巴西贝仑</v>
          </cell>
          <cell r="J1560" t="str">
            <v>Belem, Brazil</v>
          </cell>
          <cell r="K1560" t="str">
            <v>Local employees</v>
          </cell>
          <cell r="L1560" t="str">
            <v>L2</v>
          </cell>
          <cell r="M1560" t="str">
            <v>ALL</v>
          </cell>
          <cell r="N1560" t="str">
            <v>FLPC(含奖金)</v>
          </cell>
          <cell r="O1560" t="str">
            <v>USD/小时</v>
          </cell>
          <cell r="P1560">
            <v>79.63</v>
          </cell>
        </row>
        <row r="1561">
          <cell r="A1561" t="str">
            <v>Belem, Brazil - Local employees - L3</v>
          </cell>
          <cell r="B1561" t="str">
            <v>Current version</v>
          </cell>
          <cell r="C1561" t="str">
            <v>V2009R2</v>
          </cell>
          <cell r="D1561" t="str">
            <v>Labor Rate</v>
          </cell>
          <cell r="E1561" t="str">
            <v>LA</v>
          </cell>
          <cell r="F1561" t="str">
            <v>Southern South America Sub-Regional Division</v>
          </cell>
          <cell r="G1561" t="str">
            <v>Brazil-Brazilia Rep.O.</v>
          </cell>
          <cell r="H1561" t="str">
            <v>6035</v>
          </cell>
          <cell r="I1561" t="str">
            <v>巴西贝仑</v>
          </cell>
          <cell r="J1561" t="str">
            <v>Belem, Brazil</v>
          </cell>
          <cell r="K1561" t="str">
            <v>Local employees</v>
          </cell>
          <cell r="L1561" t="str">
            <v>L3</v>
          </cell>
          <cell r="M1561" t="str">
            <v>ALL</v>
          </cell>
          <cell r="N1561" t="str">
            <v>FLPC(含奖金)</v>
          </cell>
          <cell r="O1561" t="str">
            <v>USD/小时</v>
          </cell>
          <cell r="P1561">
            <v>119.01</v>
          </cell>
        </row>
        <row r="1562">
          <cell r="A1562" t="str">
            <v>Belem, Brazil - Local employees - L4</v>
          </cell>
          <cell r="B1562" t="str">
            <v>Current version</v>
          </cell>
          <cell r="C1562" t="str">
            <v>V2009R2</v>
          </cell>
          <cell r="D1562" t="str">
            <v>Labor Rate</v>
          </cell>
          <cell r="E1562" t="str">
            <v>LA</v>
          </cell>
          <cell r="F1562" t="str">
            <v>Southern South America Sub-Regional Division</v>
          </cell>
          <cell r="G1562" t="str">
            <v>Brazil-Brazilia Rep.O.</v>
          </cell>
          <cell r="H1562" t="str">
            <v>6035</v>
          </cell>
          <cell r="I1562" t="str">
            <v>巴西贝仑</v>
          </cell>
          <cell r="J1562" t="str">
            <v>Belem, Brazil</v>
          </cell>
          <cell r="K1562" t="str">
            <v>Local employees</v>
          </cell>
          <cell r="L1562" t="str">
            <v>L4</v>
          </cell>
          <cell r="M1562" t="str">
            <v>ALL</v>
          </cell>
          <cell r="N1562" t="str">
            <v>FLPC(含奖金)</v>
          </cell>
          <cell r="O1562" t="str">
            <v>USD/小时</v>
          </cell>
          <cell r="P1562">
            <v>178.63</v>
          </cell>
        </row>
        <row r="1563">
          <cell r="A1563" t="str">
            <v>北欧地区部总部 - Chinese employees - L4</v>
          </cell>
          <cell r="B1563" t="str">
            <v>Current version</v>
          </cell>
          <cell r="C1563" t="str">
            <v>V2009R2</v>
          </cell>
          <cell r="D1563" t="str">
            <v>Labor Rate</v>
          </cell>
          <cell r="E1563" t="str">
            <v>EU</v>
          </cell>
          <cell r="F1563" t="str">
            <v>CEE&amp;Nordic European Sub-Regional Division</v>
          </cell>
          <cell r="G1563" t="str">
            <v>北欧地区部总部</v>
          </cell>
          <cell r="H1563" t="str">
            <v>3618</v>
          </cell>
          <cell r="I1563" t="str">
            <v>北欧地区部总部</v>
          </cell>
          <cell r="J1563" t="str">
            <v>北欧地区部总部</v>
          </cell>
          <cell r="K1563" t="str">
            <v>Chinese employees</v>
          </cell>
          <cell r="L1563" t="str">
            <v>L4</v>
          </cell>
          <cell r="M1563" t="str">
            <v>ALL</v>
          </cell>
          <cell r="N1563" t="str">
            <v>FLPC(含奖金)</v>
          </cell>
          <cell r="O1563" t="str">
            <v>USD/小时</v>
          </cell>
          <cell r="P1563">
            <v>132.91</v>
          </cell>
        </row>
        <row r="1564">
          <cell r="A1564" t="str">
            <v>公司总部 - Chinese employees - L0</v>
          </cell>
          <cell r="B1564" t="str">
            <v>Current version</v>
          </cell>
          <cell r="C1564" t="str">
            <v>V2009R2</v>
          </cell>
          <cell r="D1564" t="str">
            <v>Labor Rate</v>
          </cell>
          <cell r="E1564" t="str">
            <v>HQ</v>
          </cell>
          <cell r="F1564" t="str">
            <v>公司总部</v>
          </cell>
          <cell r="G1564" t="str">
            <v>公司总部</v>
          </cell>
          <cell r="H1564" t="str">
            <v>0001</v>
          </cell>
          <cell r="I1564" t="str">
            <v>公司总部</v>
          </cell>
          <cell r="J1564" t="str">
            <v>公司总部</v>
          </cell>
          <cell r="K1564" t="str">
            <v>Chinese employees</v>
          </cell>
          <cell r="L1564" t="str">
            <v>L0</v>
          </cell>
          <cell r="M1564" t="str">
            <v>ALL</v>
          </cell>
          <cell r="N1564" t="str">
            <v>FLPC(含奖金)</v>
          </cell>
          <cell r="O1564" t="str">
            <v>USD/小时</v>
          </cell>
          <cell r="P1564">
            <v>11.56</v>
          </cell>
        </row>
        <row r="1565">
          <cell r="A1565" t="str">
            <v>公司总部 - Chinese employees - L1</v>
          </cell>
          <cell r="B1565" t="str">
            <v>Current version</v>
          </cell>
          <cell r="C1565" t="str">
            <v>V2009R2</v>
          </cell>
          <cell r="D1565" t="str">
            <v>Labor Rate</v>
          </cell>
          <cell r="E1565" t="str">
            <v>HQ</v>
          </cell>
          <cell r="F1565" t="str">
            <v>公司总部</v>
          </cell>
          <cell r="G1565" t="str">
            <v>公司总部</v>
          </cell>
          <cell r="H1565" t="str">
            <v>0001</v>
          </cell>
          <cell r="I1565" t="str">
            <v>公司总部</v>
          </cell>
          <cell r="J1565" t="str">
            <v>公司总部</v>
          </cell>
          <cell r="K1565" t="str">
            <v>Chinese employees</v>
          </cell>
          <cell r="L1565" t="str">
            <v>L1</v>
          </cell>
          <cell r="M1565" t="str">
            <v>ALL</v>
          </cell>
          <cell r="N1565" t="str">
            <v>FLPC(含奖金)</v>
          </cell>
          <cell r="O1565" t="str">
            <v>USD/小时</v>
          </cell>
          <cell r="P1565">
            <v>16.82</v>
          </cell>
        </row>
        <row r="1566">
          <cell r="A1566" t="str">
            <v>公司总部 - Chinese employees - L2</v>
          </cell>
          <cell r="B1566" t="str">
            <v>Current version</v>
          </cell>
          <cell r="C1566" t="str">
            <v>V2009R2</v>
          </cell>
          <cell r="D1566" t="str">
            <v>Labor Rate</v>
          </cell>
          <cell r="E1566" t="str">
            <v>HQ</v>
          </cell>
          <cell r="F1566" t="str">
            <v>公司总部</v>
          </cell>
          <cell r="G1566" t="str">
            <v>公司总部</v>
          </cell>
          <cell r="H1566" t="str">
            <v>0001</v>
          </cell>
          <cell r="I1566" t="str">
            <v>公司总部</v>
          </cell>
          <cell r="J1566" t="str">
            <v>公司总部</v>
          </cell>
          <cell r="K1566" t="str">
            <v>Chinese employees</v>
          </cell>
          <cell r="L1566" t="str">
            <v>L2</v>
          </cell>
          <cell r="M1566" t="str">
            <v>ALL</v>
          </cell>
          <cell r="N1566" t="str">
            <v>FLPC(含奖金)</v>
          </cell>
          <cell r="O1566" t="str">
            <v>USD/小时</v>
          </cell>
          <cell r="P1566">
            <v>23.63</v>
          </cell>
        </row>
        <row r="1567">
          <cell r="A1567" t="str">
            <v>公司总部 - Chinese employees - L3</v>
          </cell>
          <cell r="B1567" t="str">
            <v>Current version</v>
          </cell>
          <cell r="C1567" t="str">
            <v>V2009R2</v>
          </cell>
          <cell r="D1567" t="str">
            <v>Labor Rate</v>
          </cell>
          <cell r="E1567" t="str">
            <v>HQ</v>
          </cell>
          <cell r="F1567" t="str">
            <v>公司总部</v>
          </cell>
          <cell r="G1567" t="str">
            <v>公司总部</v>
          </cell>
          <cell r="H1567" t="str">
            <v>0001</v>
          </cell>
          <cell r="I1567" t="str">
            <v>公司总部</v>
          </cell>
          <cell r="J1567" t="str">
            <v>公司总部</v>
          </cell>
          <cell r="K1567" t="str">
            <v>Chinese employees</v>
          </cell>
          <cell r="L1567" t="str">
            <v>L3</v>
          </cell>
          <cell r="M1567" t="str">
            <v>ALL</v>
          </cell>
          <cell r="N1567" t="str">
            <v>FLPC(含奖金)</v>
          </cell>
          <cell r="O1567" t="str">
            <v>USD/小时</v>
          </cell>
          <cell r="P1567">
            <v>32.57</v>
          </cell>
        </row>
        <row r="1568">
          <cell r="A1568" t="str">
            <v>公司总部 - Chinese employees - L4</v>
          </cell>
          <cell r="B1568" t="str">
            <v>Current version</v>
          </cell>
          <cell r="C1568" t="str">
            <v>V2009R2</v>
          </cell>
          <cell r="D1568" t="str">
            <v>Labor Rate</v>
          </cell>
          <cell r="E1568" t="str">
            <v>HQ</v>
          </cell>
          <cell r="F1568" t="str">
            <v>公司总部</v>
          </cell>
          <cell r="G1568" t="str">
            <v>公司总部</v>
          </cell>
          <cell r="H1568" t="str">
            <v>0001</v>
          </cell>
          <cell r="I1568" t="str">
            <v>公司总部</v>
          </cell>
          <cell r="J1568" t="str">
            <v>公司总部</v>
          </cell>
          <cell r="K1568" t="str">
            <v>Chinese employees</v>
          </cell>
          <cell r="L1568" t="str">
            <v>L4</v>
          </cell>
          <cell r="M1568" t="str">
            <v>ALL</v>
          </cell>
          <cell r="N1568" t="str">
            <v>FLPC(含奖金)</v>
          </cell>
          <cell r="O1568" t="str">
            <v>USD/小时</v>
          </cell>
          <cell r="P1568">
            <v>56.75</v>
          </cell>
        </row>
        <row r="1569">
          <cell r="A1569" t="str">
            <v>国际总部 - Chinese employees - L0</v>
          </cell>
          <cell r="B1569" t="str">
            <v>Current version</v>
          </cell>
          <cell r="C1569" t="str">
            <v>V2009R2</v>
          </cell>
          <cell r="D1569" t="str">
            <v>Labor Rate</v>
          </cell>
          <cell r="E1569" t="str">
            <v>HQ</v>
          </cell>
          <cell r="F1569" t="str">
            <v>International Headquarter</v>
          </cell>
          <cell r="G1569" t="str">
            <v>International Headquarter</v>
          </cell>
          <cell r="H1569" t="str">
            <v>1000</v>
          </cell>
          <cell r="I1569" t="str">
            <v>国际总部</v>
          </cell>
          <cell r="J1569" t="str">
            <v>国际总部</v>
          </cell>
          <cell r="K1569" t="str">
            <v>Chinese employees</v>
          </cell>
          <cell r="L1569" t="str">
            <v>L0</v>
          </cell>
          <cell r="M1569" t="str">
            <v>ALL</v>
          </cell>
          <cell r="N1569" t="str">
            <v>FLPC(含奖金)</v>
          </cell>
          <cell r="O1569" t="str">
            <v>USD/小时</v>
          </cell>
          <cell r="P1569">
            <v>11.56</v>
          </cell>
        </row>
        <row r="1570">
          <cell r="A1570" t="str">
            <v>国际总部 - Chinese employees - L1</v>
          </cell>
          <cell r="B1570" t="str">
            <v>Current version</v>
          </cell>
          <cell r="C1570" t="str">
            <v>V2009R2</v>
          </cell>
          <cell r="D1570" t="str">
            <v>Labor Rate</v>
          </cell>
          <cell r="E1570" t="str">
            <v>HQ</v>
          </cell>
          <cell r="F1570" t="str">
            <v>International Headquarter</v>
          </cell>
          <cell r="G1570" t="str">
            <v>International Headquarter</v>
          </cell>
          <cell r="H1570" t="str">
            <v>1000</v>
          </cell>
          <cell r="I1570" t="str">
            <v>国际总部</v>
          </cell>
          <cell r="J1570" t="str">
            <v>国际总部</v>
          </cell>
          <cell r="K1570" t="str">
            <v>Chinese employees</v>
          </cell>
          <cell r="L1570" t="str">
            <v>L1</v>
          </cell>
          <cell r="M1570" t="str">
            <v>ALL</v>
          </cell>
          <cell r="N1570" t="str">
            <v>FLPC(含奖金)</v>
          </cell>
          <cell r="O1570" t="str">
            <v>USD/小时</v>
          </cell>
          <cell r="P1570">
            <v>16.82</v>
          </cell>
        </row>
        <row r="1571">
          <cell r="A1571" t="str">
            <v>国际总部 - Chinese employees - L2</v>
          </cell>
          <cell r="B1571" t="str">
            <v>Current version</v>
          </cell>
          <cell r="C1571" t="str">
            <v>V2009R2</v>
          </cell>
          <cell r="D1571" t="str">
            <v>Labor Rate</v>
          </cell>
          <cell r="E1571" t="str">
            <v>HQ</v>
          </cell>
          <cell r="F1571" t="str">
            <v>International Headquarter</v>
          </cell>
          <cell r="G1571" t="str">
            <v>International Headquarter</v>
          </cell>
          <cell r="H1571" t="str">
            <v>1000</v>
          </cell>
          <cell r="I1571" t="str">
            <v>国际总部</v>
          </cell>
          <cell r="J1571" t="str">
            <v>国际总部</v>
          </cell>
          <cell r="K1571" t="str">
            <v>Chinese employees</v>
          </cell>
          <cell r="L1571" t="str">
            <v>L2</v>
          </cell>
          <cell r="M1571" t="str">
            <v>ALL</v>
          </cell>
          <cell r="N1571" t="str">
            <v>FLPC(含奖金)</v>
          </cell>
          <cell r="O1571" t="str">
            <v>USD/小时</v>
          </cell>
          <cell r="P1571">
            <v>23.63</v>
          </cell>
        </row>
        <row r="1572">
          <cell r="A1572" t="str">
            <v>国际总部 - Chinese employees - L3</v>
          </cell>
          <cell r="B1572" t="str">
            <v>Current version</v>
          </cell>
          <cell r="C1572" t="str">
            <v>V2009R2</v>
          </cell>
          <cell r="D1572" t="str">
            <v>Labor Rate</v>
          </cell>
          <cell r="E1572" t="str">
            <v>HQ</v>
          </cell>
          <cell r="F1572" t="str">
            <v>International Headquarter</v>
          </cell>
          <cell r="G1572" t="str">
            <v>International Headquarter</v>
          </cell>
          <cell r="H1572" t="str">
            <v>1000</v>
          </cell>
          <cell r="I1572" t="str">
            <v>国际总部</v>
          </cell>
          <cell r="J1572" t="str">
            <v>国际总部</v>
          </cell>
          <cell r="K1572" t="str">
            <v>Chinese employees</v>
          </cell>
          <cell r="L1572" t="str">
            <v>L3</v>
          </cell>
          <cell r="M1572" t="str">
            <v>ALL</v>
          </cell>
          <cell r="N1572" t="str">
            <v>FLPC(含奖金)</v>
          </cell>
          <cell r="O1572" t="str">
            <v>USD/小时</v>
          </cell>
          <cell r="P1572">
            <v>32.57</v>
          </cell>
        </row>
        <row r="1573">
          <cell r="A1573" t="str">
            <v>国际总部 - Chinese employees - L4</v>
          </cell>
          <cell r="B1573" t="str">
            <v>Current version</v>
          </cell>
          <cell r="C1573" t="str">
            <v>V2009R2</v>
          </cell>
          <cell r="D1573" t="str">
            <v>Labor Rate</v>
          </cell>
          <cell r="E1573" t="str">
            <v>HQ</v>
          </cell>
          <cell r="F1573" t="str">
            <v>International Headquarter</v>
          </cell>
          <cell r="G1573" t="str">
            <v>International Headquarter</v>
          </cell>
          <cell r="H1573" t="str">
            <v>1000</v>
          </cell>
          <cell r="I1573" t="str">
            <v>国际总部</v>
          </cell>
          <cell r="J1573" t="str">
            <v>国际总部</v>
          </cell>
          <cell r="K1573" t="str">
            <v>Chinese employees</v>
          </cell>
          <cell r="L1573" t="str">
            <v>L4</v>
          </cell>
          <cell r="M1573" t="str">
            <v>ALL</v>
          </cell>
          <cell r="N1573" t="str">
            <v>FLPC(含奖金)</v>
          </cell>
          <cell r="O1573" t="str">
            <v>USD/小时</v>
          </cell>
          <cell r="P1573">
            <v>56.75</v>
          </cell>
        </row>
        <row r="1574">
          <cell r="A1574" t="str">
            <v>欧洲片区总部 - Chinese employees - L0</v>
          </cell>
          <cell r="B1574" t="str">
            <v>Current version</v>
          </cell>
          <cell r="C1574" t="str">
            <v>V2009R2</v>
          </cell>
          <cell r="D1574" t="str">
            <v>Labor Rate</v>
          </cell>
          <cell r="E1574" t="str">
            <v>EU</v>
          </cell>
          <cell r="F1574" t="str">
            <v>Europe Regional Headquarter</v>
          </cell>
          <cell r="G1574" t="str">
            <v>Europe Regional Headquarter</v>
          </cell>
          <cell r="H1574" t="str">
            <v>3600</v>
          </cell>
          <cell r="I1574" t="str">
            <v>欧洲片区总部</v>
          </cell>
          <cell r="J1574" t="str">
            <v>欧洲片区总部</v>
          </cell>
          <cell r="K1574" t="str">
            <v>Chinese employees</v>
          </cell>
          <cell r="L1574" t="str">
            <v>L0</v>
          </cell>
          <cell r="M1574" t="str">
            <v>ALL</v>
          </cell>
          <cell r="N1574" t="str">
            <v>FLPC(含奖金)</v>
          </cell>
          <cell r="O1574" t="str">
            <v>USD/小时</v>
          </cell>
          <cell r="P1574">
            <v>69.64</v>
          </cell>
        </row>
        <row r="1575">
          <cell r="A1575" t="str">
            <v>欧洲片区总部 - Chinese employees - L1</v>
          </cell>
          <cell r="B1575" t="str">
            <v>Current version</v>
          </cell>
          <cell r="C1575" t="str">
            <v>V2009R2</v>
          </cell>
          <cell r="D1575" t="str">
            <v>Labor Rate</v>
          </cell>
          <cell r="E1575" t="str">
            <v>EU</v>
          </cell>
          <cell r="F1575" t="str">
            <v>Europe Regional Headquarter</v>
          </cell>
          <cell r="G1575" t="str">
            <v>Europe Regional Headquarter</v>
          </cell>
          <cell r="H1575" t="str">
            <v>3600</v>
          </cell>
          <cell r="I1575" t="str">
            <v>欧洲片区总部</v>
          </cell>
          <cell r="J1575" t="str">
            <v>欧洲片区总部</v>
          </cell>
          <cell r="K1575" t="str">
            <v>Chinese employees</v>
          </cell>
          <cell r="L1575" t="str">
            <v>L1</v>
          </cell>
          <cell r="M1575" t="str">
            <v>ALL</v>
          </cell>
          <cell r="N1575" t="str">
            <v>FLPC(含奖金)</v>
          </cell>
          <cell r="O1575" t="str">
            <v>USD/小时</v>
          </cell>
          <cell r="P1575">
            <v>78.900000000000006</v>
          </cell>
        </row>
        <row r="1576">
          <cell r="A1576" t="str">
            <v>欧洲片区总部 - Chinese employees - L2</v>
          </cell>
          <cell r="B1576" t="str">
            <v>Current version</v>
          </cell>
          <cell r="C1576" t="str">
            <v>V2009R2</v>
          </cell>
          <cell r="D1576" t="str">
            <v>Labor Rate</v>
          </cell>
          <cell r="E1576" t="str">
            <v>EU</v>
          </cell>
          <cell r="F1576" t="str">
            <v>Europe Regional Headquarter</v>
          </cell>
          <cell r="G1576" t="str">
            <v>Europe Regional Headquarter</v>
          </cell>
          <cell r="H1576" t="str">
            <v>3600</v>
          </cell>
          <cell r="I1576" t="str">
            <v>欧洲片区总部</v>
          </cell>
          <cell r="J1576" t="str">
            <v>欧洲片区总部</v>
          </cell>
          <cell r="K1576" t="str">
            <v>Chinese employees</v>
          </cell>
          <cell r="L1576" t="str">
            <v>L2</v>
          </cell>
          <cell r="M1576" t="str">
            <v>ALL</v>
          </cell>
          <cell r="N1576" t="str">
            <v>FLPC(含奖金)</v>
          </cell>
          <cell r="O1576" t="str">
            <v>USD/小时</v>
          </cell>
          <cell r="P1576">
            <v>91.15</v>
          </cell>
        </row>
        <row r="1577">
          <cell r="A1577" t="str">
            <v>欧洲片区总部 - Chinese employees - L3</v>
          </cell>
          <cell r="B1577" t="str">
            <v>Current version</v>
          </cell>
          <cell r="C1577" t="str">
            <v>V2009R2</v>
          </cell>
          <cell r="D1577" t="str">
            <v>Labor Rate</v>
          </cell>
          <cell r="E1577" t="str">
            <v>EU</v>
          </cell>
          <cell r="F1577" t="str">
            <v>Europe Regional Headquarter</v>
          </cell>
          <cell r="G1577" t="str">
            <v>Europe Regional Headquarter</v>
          </cell>
          <cell r="H1577" t="str">
            <v>3600</v>
          </cell>
          <cell r="I1577" t="str">
            <v>欧洲片区总部</v>
          </cell>
          <cell r="J1577" t="str">
            <v>欧洲片区总部</v>
          </cell>
          <cell r="K1577" t="str">
            <v>Chinese employees</v>
          </cell>
          <cell r="L1577" t="str">
            <v>L3</v>
          </cell>
          <cell r="M1577" t="str">
            <v>ALL</v>
          </cell>
          <cell r="N1577" t="str">
            <v>FLPC(含奖金)</v>
          </cell>
          <cell r="O1577" t="str">
            <v>USD/小时</v>
          </cell>
          <cell r="P1577">
            <v>116.69</v>
          </cell>
        </row>
        <row r="1578">
          <cell r="A1578" t="str">
            <v>欧洲片区总部 - Chinese employees - L4</v>
          </cell>
          <cell r="B1578" t="str">
            <v>Current version</v>
          </cell>
          <cell r="C1578" t="str">
            <v>V2009R2</v>
          </cell>
          <cell r="D1578" t="str">
            <v>Labor Rate</v>
          </cell>
          <cell r="E1578" t="str">
            <v>EU</v>
          </cell>
          <cell r="F1578" t="str">
            <v>Europe Regional Headquarter</v>
          </cell>
          <cell r="G1578" t="str">
            <v>Europe Regional Headquarter</v>
          </cell>
          <cell r="H1578" t="str">
            <v>3600</v>
          </cell>
          <cell r="I1578" t="str">
            <v>欧洲片区总部</v>
          </cell>
          <cell r="J1578" t="str">
            <v>欧洲片区总部</v>
          </cell>
          <cell r="K1578" t="str">
            <v>Chinese employees</v>
          </cell>
          <cell r="L1578" t="str">
            <v>L4</v>
          </cell>
          <cell r="M1578" t="str">
            <v>ALL</v>
          </cell>
          <cell r="N1578" t="str">
            <v>FLPC(含奖金)</v>
          </cell>
          <cell r="O1578" t="str">
            <v>USD/小时</v>
          </cell>
          <cell r="P1578">
            <v>187.31</v>
          </cell>
        </row>
        <row r="1579">
          <cell r="A1579" t="str">
            <v>United Arab Emirates - Local employees - L0</v>
          </cell>
          <cell r="B1579" t="str">
            <v>Current version</v>
          </cell>
          <cell r="C1579" t="str">
            <v>V2009R2</v>
          </cell>
          <cell r="D1579" t="str">
            <v>Labor Rate</v>
          </cell>
          <cell r="E1579" t="str">
            <v>MENA</v>
          </cell>
          <cell r="F1579" t="str">
            <v>Middle East Sub-Regional Division</v>
          </cell>
          <cell r="G1579" t="str">
            <v>Uae</v>
          </cell>
          <cell r="H1579" t="str">
            <v>5010</v>
          </cell>
          <cell r="I1579" t="str">
            <v>阿联酋</v>
          </cell>
          <cell r="J1579" t="str">
            <v>United Arab Emirates</v>
          </cell>
          <cell r="K1579" t="str">
            <v>Local employees</v>
          </cell>
          <cell r="L1579" t="str">
            <v>L0</v>
          </cell>
          <cell r="M1579" t="str">
            <v>ALL</v>
          </cell>
          <cell r="N1579" t="str">
            <v>FLPC(含奖金)</v>
          </cell>
          <cell r="O1579" t="str">
            <v>USD/小时</v>
          </cell>
          <cell r="P1579">
            <v>25.54</v>
          </cell>
        </row>
        <row r="1580">
          <cell r="A1580" t="str">
            <v>United Arab Emirates - Local employees - L1</v>
          </cell>
          <cell r="B1580" t="str">
            <v>Current version</v>
          </cell>
          <cell r="C1580" t="str">
            <v>V2009R2</v>
          </cell>
          <cell r="D1580" t="str">
            <v>Labor Rate</v>
          </cell>
          <cell r="E1580" t="str">
            <v>MENA</v>
          </cell>
          <cell r="F1580" t="str">
            <v>Middle East Sub-Regional Division</v>
          </cell>
          <cell r="G1580" t="str">
            <v>Uae</v>
          </cell>
          <cell r="H1580" t="str">
            <v>5010</v>
          </cell>
          <cell r="I1580" t="str">
            <v>阿联酋</v>
          </cell>
          <cell r="J1580" t="str">
            <v>United Arab Emirates</v>
          </cell>
          <cell r="K1580" t="str">
            <v>Local employees</v>
          </cell>
          <cell r="L1580" t="str">
            <v>L1</v>
          </cell>
          <cell r="M1580" t="str">
            <v>ALL</v>
          </cell>
          <cell r="N1580" t="str">
            <v>FLPC(含奖金)</v>
          </cell>
          <cell r="O1580" t="str">
            <v>USD/小时</v>
          </cell>
          <cell r="P1580">
            <v>34.17</v>
          </cell>
        </row>
        <row r="1581">
          <cell r="A1581" t="str">
            <v>United Arab Emirates - Local employees - L2</v>
          </cell>
          <cell r="B1581" t="str">
            <v>Current version</v>
          </cell>
          <cell r="C1581" t="str">
            <v>V2009R2</v>
          </cell>
          <cell r="D1581" t="str">
            <v>Labor Rate</v>
          </cell>
          <cell r="E1581" t="str">
            <v>MENA</v>
          </cell>
          <cell r="F1581" t="str">
            <v>Middle East Sub-Regional Division</v>
          </cell>
          <cell r="G1581" t="str">
            <v>Uae</v>
          </cell>
          <cell r="H1581" t="str">
            <v>5010</v>
          </cell>
          <cell r="I1581" t="str">
            <v>阿联酋</v>
          </cell>
          <cell r="J1581" t="str">
            <v>United Arab Emirates</v>
          </cell>
          <cell r="K1581" t="str">
            <v>Local employees</v>
          </cell>
          <cell r="L1581" t="str">
            <v>L2</v>
          </cell>
          <cell r="M1581" t="str">
            <v>ALL</v>
          </cell>
          <cell r="N1581" t="str">
            <v>FLPC(含奖金)</v>
          </cell>
          <cell r="O1581" t="str">
            <v>USD/小时</v>
          </cell>
          <cell r="P1581">
            <v>44.93</v>
          </cell>
        </row>
        <row r="1582">
          <cell r="A1582" t="str">
            <v>United Arab Emirates - Local employees - L3</v>
          </cell>
          <cell r="B1582" t="str">
            <v>Current version</v>
          </cell>
          <cell r="C1582" t="str">
            <v>V2009R2</v>
          </cell>
          <cell r="D1582" t="str">
            <v>Labor Rate</v>
          </cell>
          <cell r="E1582" t="str">
            <v>MENA</v>
          </cell>
          <cell r="F1582" t="str">
            <v>Middle East Sub-Regional Division</v>
          </cell>
          <cell r="G1582" t="str">
            <v>Uae</v>
          </cell>
          <cell r="H1582" t="str">
            <v>5010</v>
          </cell>
          <cell r="I1582" t="str">
            <v>阿联酋</v>
          </cell>
          <cell r="J1582" t="str">
            <v>United Arab Emirates</v>
          </cell>
          <cell r="K1582" t="str">
            <v>Local employees</v>
          </cell>
          <cell r="L1582" t="str">
            <v>L3</v>
          </cell>
          <cell r="M1582" t="str">
            <v>ALL</v>
          </cell>
          <cell r="N1582" t="str">
            <v>FLPC(含奖金)</v>
          </cell>
          <cell r="O1582" t="str">
            <v>USD/小时</v>
          </cell>
          <cell r="P1582">
            <v>71.989999999999995</v>
          </cell>
        </row>
        <row r="1583">
          <cell r="A1583" t="str">
            <v>United Arab Emirates - Local employees - L4</v>
          </cell>
          <cell r="B1583" t="str">
            <v>Current version</v>
          </cell>
          <cell r="C1583" t="str">
            <v>V2009R2</v>
          </cell>
          <cell r="D1583" t="str">
            <v>Labor Rate</v>
          </cell>
          <cell r="E1583" t="str">
            <v>MENA</v>
          </cell>
          <cell r="F1583" t="str">
            <v>Middle East Sub-Regional Division</v>
          </cell>
          <cell r="G1583" t="str">
            <v>Uae</v>
          </cell>
          <cell r="H1583" t="str">
            <v>5010</v>
          </cell>
          <cell r="I1583" t="str">
            <v>阿联酋</v>
          </cell>
          <cell r="J1583" t="str">
            <v>United Arab Emirates</v>
          </cell>
          <cell r="K1583" t="str">
            <v>Local employees</v>
          </cell>
          <cell r="L1583" t="str">
            <v>L4</v>
          </cell>
          <cell r="M1583" t="str">
            <v>ALL</v>
          </cell>
          <cell r="N1583" t="str">
            <v>FLPC(含奖金)</v>
          </cell>
          <cell r="O1583" t="str">
            <v>USD/小时</v>
          </cell>
          <cell r="P1583">
            <v>95.65</v>
          </cell>
        </row>
        <row r="1584">
          <cell r="A1584" t="str">
            <v>Saudi Arabia - Local employees - L0</v>
          </cell>
          <cell r="B1584" t="str">
            <v>Current version</v>
          </cell>
          <cell r="C1584" t="str">
            <v>V2009R2</v>
          </cell>
          <cell r="D1584" t="str">
            <v>Labor Rate</v>
          </cell>
          <cell r="E1584" t="str">
            <v>MENA</v>
          </cell>
          <cell r="F1584" t="str">
            <v>Middle East Sub-Regional Division</v>
          </cell>
          <cell r="G1584" t="str">
            <v>Saudi Arabia</v>
          </cell>
          <cell r="H1584" t="str">
            <v>5002</v>
          </cell>
          <cell r="I1584" t="str">
            <v>沙特</v>
          </cell>
          <cell r="J1584" t="str">
            <v>Saudi Arabia</v>
          </cell>
          <cell r="K1584" t="str">
            <v>Local employees</v>
          </cell>
          <cell r="L1584" t="str">
            <v>L0</v>
          </cell>
          <cell r="M1584" t="str">
            <v>ALL</v>
          </cell>
          <cell r="N1584" t="str">
            <v>FLPC(含奖金)</v>
          </cell>
          <cell r="O1584" t="str">
            <v>USD/小时</v>
          </cell>
          <cell r="P1584">
            <v>23.13</v>
          </cell>
        </row>
        <row r="1585">
          <cell r="A1585" t="str">
            <v>Saudi Arabia - Local employees - L1</v>
          </cell>
          <cell r="B1585" t="str">
            <v>Current version</v>
          </cell>
          <cell r="C1585" t="str">
            <v>V2009R2</v>
          </cell>
          <cell r="D1585" t="str">
            <v>Labor Rate</v>
          </cell>
          <cell r="E1585" t="str">
            <v>MENA</v>
          </cell>
          <cell r="F1585" t="str">
            <v>Middle East Sub-Regional Division</v>
          </cell>
          <cell r="G1585" t="str">
            <v>Saudi Arabia</v>
          </cell>
          <cell r="H1585" t="str">
            <v>5002</v>
          </cell>
          <cell r="I1585" t="str">
            <v>沙特</v>
          </cell>
          <cell r="J1585" t="str">
            <v>Saudi Arabia</v>
          </cell>
          <cell r="K1585" t="str">
            <v>Local employees</v>
          </cell>
          <cell r="L1585" t="str">
            <v>L1</v>
          </cell>
          <cell r="M1585" t="str">
            <v>ALL</v>
          </cell>
          <cell r="N1585" t="str">
            <v>FLPC(含奖金)</v>
          </cell>
          <cell r="O1585" t="str">
            <v>USD/小时</v>
          </cell>
          <cell r="P1585">
            <v>33.35</v>
          </cell>
        </row>
        <row r="1586">
          <cell r="A1586" t="str">
            <v>Saudi Arabia - Local employees - L2</v>
          </cell>
          <cell r="B1586" t="str">
            <v>Current version</v>
          </cell>
          <cell r="C1586" t="str">
            <v>V2009R2</v>
          </cell>
          <cell r="D1586" t="str">
            <v>Labor Rate</v>
          </cell>
          <cell r="E1586" t="str">
            <v>MENA</v>
          </cell>
          <cell r="F1586" t="str">
            <v>Middle East Sub-Regional Division</v>
          </cell>
          <cell r="G1586" t="str">
            <v>Saudi Arabia</v>
          </cell>
          <cell r="H1586" t="str">
            <v>5002</v>
          </cell>
          <cell r="I1586" t="str">
            <v>沙特</v>
          </cell>
          <cell r="J1586" t="str">
            <v>Saudi Arabia</v>
          </cell>
          <cell r="K1586" t="str">
            <v>Local employees</v>
          </cell>
          <cell r="L1586" t="str">
            <v>L2</v>
          </cell>
          <cell r="M1586" t="str">
            <v>ALL</v>
          </cell>
          <cell r="N1586" t="str">
            <v>FLPC(含奖金)</v>
          </cell>
          <cell r="O1586" t="str">
            <v>USD/小时</v>
          </cell>
          <cell r="P1586">
            <v>48.54</v>
          </cell>
        </row>
        <row r="1587">
          <cell r="A1587" t="str">
            <v>Saudi Arabia - Local employees - L3</v>
          </cell>
          <cell r="B1587" t="str">
            <v>Current version</v>
          </cell>
          <cell r="C1587" t="str">
            <v>V2009R2</v>
          </cell>
          <cell r="D1587" t="str">
            <v>Labor Rate</v>
          </cell>
          <cell r="E1587" t="str">
            <v>MENA</v>
          </cell>
          <cell r="F1587" t="str">
            <v>Middle East Sub-Regional Division</v>
          </cell>
          <cell r="G1587" t="str">
            <v>Saudi Arabia</v>
          </cell>
          <cell r="H1587" t="str">
            <v>5002</v>
          </cell>
          <cell r="I1587" t="str">
            <v>沙特</v>
          </cell>
          <cell r="J1587" t="str">
            <v>Saudi Arabia</v>
          </cell>
          <cell r="K1587" t="str">
            <v>Local employees</v>
          </cell>
          <cell r="L1587" t="str">
            <v>L3</v>
          </cell>
          <cell r="M1587" t="str">
            <v>ALL</v>
          </cell>
          <cell r="N1587" t="str">
            <v>FLPC(含奖金)</v>
          </cell>
          <cell r="O1587" t="str">
            <v>USD/小时</v>
          </cell>
          <cell r="P1587">
            <v>109.94</v>
          </cell>
        </row>
        <row r="1588">
          <cell r="A1588" t="str">
            <v>Saudi Arabia - Local employees - L4</v>
          </cell>
          <cell r="B1588" t="str">
            <v>Current version</v>
          </cell>
          <cell r="C1588" t="str">
            <v>V2009R2</v>
          </cell>
          <cell r="D1588" t="str">
            <v>Labor Rate</v>
          </cell>
          <cell r="E1588" t="str">
            <v>MENA</v>
          </cell>
          <cell r="F1588" t="str">
            <v>Middle East Sub-Regional Division</v>
          </cell>
          <cell r="G1588" t="str">
            <v>Saudi Arabia</v>
          </cell>
          <cell r="H1588" t="str">
            <v>5002</v>
          </cell>
          <cell r="I1588" t="str">
            <v>沙特</v>
          </cell>
          <cell r="J1588" t="str">
            <v>Saudi Arabia</v>
          </cell>
          <cell r="K1588" t="str">
            <v>Local employees</v>
          </cell>
          <cell r="L1588" t="str">
            <v>L4</v>
          </cell>
          <cell r="M1588" t="str">
            <v>ALL</v>
          </cell>
          <cell r="N1588" t="str">
            <v>FLPC(含奖金)</v>
          </cell>
          <cell r="O1588" t="str">
            <v>USD/小时</v>
          </cell>
          <cell r="P1588">
            <v>121.91</v>
          </cell>
        </row>
        <row r="1589">
          <cell r="A1589" t="str">
            <v>Maldives - Local employees - L0</v>
          </cell>
          <cell r="B1589" t="str">
            <v>Current version</v>
          </cell>
          <cell r="C1589" t="str">
            <v>V2009R2</v>
          </cell>
          <cell r="D1589" t="str">
            <v>Labor Rate</v>
          </cell>
          <cell r="E1589" t="str">
            <v>MENA</v>
          </cell>
          <cell r="F1589" t="str">
            <v>Middle East Sub-Regional Division</v>
          </cell>
          <cell r="G1589" t="str">
            <v>Qatar Rep.O.</v>
          </cell>
          <cell r="H1589" t="str">
            <v>5017</v>
          </cell>
          <cell r="I1589" t="str">
            <v>马尔代夫</v>
          </cell>
          <cell r="J1589" t="str">
            <v>Maldives</v>
          </cell>
          <cell r="K1589" t="str">
            <v>Local employees</v>
          </cell>
          <cell r="L1589" t="str">
            <v>L0</v>
          </cell>
          <cell r="M1589" t="str">
            <v>ALL</v>
          </cell>
          <cell r="N1589" t="str">
            <v>FLPC(含奖金)</v>
          </cell>
          <cell r="O1589" t="str">
            <v>USD/小时</v>
          </cell>
          <cell r="P1589">
            <v>36.58</v>
          </cell>
        </row>
        <row r="1590">
          <cell r="A1590" t="str">
            <v>Maldives - Local employees - L1</v>
          </cell>
          <cell r="B1590" t="str">
            <v>Current version</v>
          </cell>
          <cell r="C1590" t="str">
            <v>V2009R2</v>
          </cell>
          <cell r="D1590" t="str">
            <v>Labor Rate</v>
          </cell>
          <cell r="E1590" t="str">
            <v>MENA</v>
          </cell>
          <cell r="F1590" t="str">
            <v>Middle East Sub-Regional Division</v>
          </cell>
          <cell r="G1590" t="str">
            <v>Qatar Rep.O.</v>
          </cell>
          <cell r="H1590" t="str">
            <v>5017</v>
          </cell>
          <cell r="I1590" t="str">
            <v>马尔代夫</v>
          </cell>
          <cell r="J1590" t="str">
            <v>Maldives</v>
          </cell>
          <cell r="K1590" t="str">
            <v>Local employees</v>
          </cell>
          <cell r="L1590" t="str">
            <v>L1</v>
          </cell>
          <cell r="M1590" t="str">
            <v>ALL</v>
          </cell>
          <cell r="N1590" t="str">
            <v>FLPC(含奖金)</v>
          </cell>
          <cell r="O1590" t="str">
            <v>USD/小时</v>
          </cell>
          <cell r="P1590">
            <v>39.020000000000003</v>
          </cell>
        </row>
        <row r="1591">
          <cell r="A1591" t="str">
            <v>Maldives - Local employees - L2</v>
          </cell>
          <cell r="B1591" t="str">
            <v>Current version</v>
          </cell>
          <cell r="C1591" t="str">
            <v>V2009R2</v>
          </cell>
          <cell r="D1591" t="str">
            <v>Labor Rate</v>
          </cell>
          <cell r="E1591" t="str">
            <v>MENA</v>
          </cell>
          <cell r="F1591" t="str">
            <v>Middle East Sub-Regional Division</v>
          </cell>
          <cell r="G1591" t="str">
            <v>Qatar Rep.O.</v>
          </cell>
          <cell r="H1591" t="str">
            <v>5017</v>
          </cell>
          <cell r="I1591" t="str">
            <v>马尔代夫</v>
          </cell>
          <cell r="J1591" t="str">
            <v>Maldives</v>
          </cell>
          <cell r="K1591" t="str">
            <v>Local employees</v>
          </cell>
          <cell r="L1591" t="str">
            <v>L2</v>
          </cell>
          <cell r="M1591" t="str">
            <v>ALL</v>
          </cell>
          <cell r="N1591" t="str">
            <v>FLPC(含奖金)</v>
          </cell>
          <cell r="O1591" t="str">
            <v>USD/小时</v>
          </cell>
          <cell r="P1591">
            <v>58.55</v>
          </cell>
        </row>
        <row r="1592">
          <cell r="A1592" t="str">
            <v>Maldives - Local employees - L3</v>
          </cell>
          <cell r="B1592" t="str">
            <v>Current version</v>
          </cell>
          <cell r="C1592" t="str">
            <v>V2009R2</v>
          </cell>
          <cell r="D1592" t="str">
            <v>Labor Rate</v>
          </cell>
          <cell r="E1592" t="str">
            <v>MENA</v>
          </cell>
          <cell r="F1592" t="str">
            <v>Middle East Sub-Regional Division</v>
          </cell>
          <cell r="G1592" t="str">
            <v>Qatar Rep.O.</v>
          </cell>
          <cell r="H1592" t="str">
            <v>5017</v>
          </cell>
          <cell r="I1592" t="str">
            <v>马尔代夫</v>
          </cell>
          <cell r="J1592" t="str">
            <v>Maldives</v>
          </cell>
          <cell r="K1592" t="str">
            <v>Local employees</v>
          </cell>
          <cell r="L1592" t="str">
            <v>L3</v>
          </cell>
          <cell r="M1592" t="str">
            <v>ALL</v>
          </cell>
          <cell r="N1592" t="str">
            <v>FLPC(含奖金)</v>
          </cell>
          <cell r="O1592" t="str">
            <v>USD/小时</v>
          </cell>
          <cell r="P1592">
            <v>85.28</v>
          </cell>
        </row>
        <row r="1593">
          <cell r="A1593" t="str">
            <v>Maldives - Local employees - L4</v>
          </cell>
          <cell r="B1593" t="str">
            <v>Current version</v>
          </cell>
          <cell r="C1593" t="str">
            <v>V2009R2</v>
          </cell>
          <cell r="D1593" t="str">
            <v>Labor Rate</v>
          </cell>
          <cell r="E1593" t="str">
            <v>MENA</v>
          </cell>
          <cell r="F1593" t="str">
            <v>Middle East Sub-Regional Division</v>
          </cell>
          <cell r="G1593" t="str">
            <v>Qatar Rep.O.</v>
          </cell>
          <cell r="H1593" t="str">
            <v>5017</v>
          </cell>
          <cell r="I1593" t="str">
            <v>马尔代夫</v>
          </cell>
          <cell r="J1593" t="str">
            <v>Maldives</v>
          </cell>
          <cell r="K1593" t="str">
            <v>Local employees</v>
          </cell>
          <cell r="L1593" t="str">
            <v>L4</v>
          </cell>
          <cell r="M1593" t="str">
            <v>ALL</v>
          </cell>
          <cell r="N1593" t="str">
            <v>FLPC(含奖金)</v>
          </cell>
          <cell r="O1593" t="str">
            <v>USD/小时</v>
          </cell>
          <cell r="P1593">
            <v>109.52</v>
          </cell>
        </row>
        <row r="1594">
          <cell r="A1594" t="str">
            <v>Qatar - Local employees - L0</v>
          </cell>
          <cell r="B1594" t="str">
            <v>Current version</v>
          </cell>
          <cell r="C1594" t="str">
            <v>V2009R2</v>
          </cell>
          <cell r="D1594" t="str">
            <v>Labor Rate</v>
          </cell>
          <cell r="E1594" t="str">
            <v>MENA</v>
          </cell>
          <cell r="F1594" t="str">
            <v>Middle East Sub-Regional Division</v>
          </cell>
          <cell r="G1594" t="str">
            <v>Qatar Rep.O.</v>
          </cell>
          <cell r="H1594" t="str">
            <v>5001</v>
          </cell>
          <cell r="I1594" t="str">
            <v>卡塔尔</v>
          </cell>
          <cell r="J1594" t="str">
            <v>Qatar</v>
          </cell>
          <cell r="K1594" t="str">
            <v>Local employees</v>
          </cell>
          <cell r="L1594" t="str">
            <v>L0</v>
          </cell>
          <cell r="M1594" t="str">
            <v>ALL</v>
          </cell>
          <cell r="N1594" t="str">
            <v>FLPC(含奖金)</v>
          </cell>
          <cell r="O1594" t="str">
            <v>USD/小时</v>
          </cell>
          <cell r="P1594">
            <v>36.58</v>
          </cell>
        </row>
        <row r="1595">
          <cell r="A1595" t="str">
            <v>Qatar - Local employees - L1</v>
          </cell>
          <cell r="B1595" t="str">
            <v>Current version</v>
          </cell>
          <cell r="C1595" t="str">
            <v>V2009R2</v>
          </cell>
          <cell r="D1595" t="str">
            <v>Labor Rate</v>
          </cell>
          <cell r="E1595" t="str">
            <v>MENA</v>
          </cell>
          <cell r="F1595" t="str">
            <v>Middle East Sub-Regional Division</v>
          </cell>
          <cell r="G1595" t="str">
            <v>Qatar Rep.O.</v>
          </cell>
          <cell r="H1595" t="str">
            <v>5001</v>
          </cell>
          <cell r="I1595" t="str">
            <v>卡塔尔</v>
          </cell>
          <cell r="J1595" t="str">
            <v>Qatar</v>
          </cell>
          <cell r="K1595" t="str">
            <v>Local employees</v>
          </cell>
          <cell r="L1595" t="str">
            <v>L1</v>
          </cell>
          <cell r="M1595" t="str">
            <v>ALL</v>
          </cell>
          <cell r="N1595" t="str">
            <v>FLPC(含奖金)</v>
          </cell>
          <cell r="O1595" t="str">
            <v>USD/小时</v>
          </cell>
          <cell r="P1595">
            <v>39.020000000000003</v>
          </cell>
        </row>
        <row r="1596">
          <cell r="A1596" t="str">
            <v>Qatar - Local employees - L2</v>
          </cell>
          <cell r="B1596" t="str">
            <v>Current version</v>
          </cell>
          <cell r="C1596" t="str">
            <v>V2009R2</v>
          </cell>
          <cell r="D1596" t="str">
            <v>Labor Rate</v>
          </cell>
          <cell r="E1596" t="str">
            <v>MENA</v>
          </cell>
          <cell r="F1596" t="str">
            <v>Middle East Sub-Regional Division</v>
          </cell>
          <cell r="G1596" t="str">
            <v>Qatar Rep.O.</v>
          </cell>
          <cell r="H1596" t="str">
            <v>5001</v>
          </cell>
          <cell r="I1596" t="str">
            <v>卡塔尔</v>
          </cell>
          <cell r="J1596" t="str">
            <v>Qatar</v>
          </cell>
          <cell r="K1596" t="str">
            <v>Local employees</v>
          </cell>
          <cell r="L1596" t="str">
            <v>L2</v>
          </cell>
          <cell r="M1596" t="str">
            <v>ALL</v>
          </cell>
          <cell r="N1596" t="str">
            <v>FLPC(含奖金)</v>
          </cell>
          <cell r="O1596" t="str">
            <v>USD/小时</v>
          </cell>
          <cell r="P1596">
            <v>58.55</v>
          </cell>
        </row>
        <row r="1597">
          <cell r="A1597" t="str">
            <v>Qatar - Local employees - L3</v>
          </cell>
          <cell r="B1597" t="str">
            <v>Current version</v>
          </cell>
          <cell r="C1597" t="str">
            <v>V2009R2</v>
          </cell>
          <cell r="D1597" t="str">
            <v>Labor Rate</v>
          </cell>
          <cell r="E1597" t="str">
            <v>MENA</v>
          </cell>
          <cell r="F1597" t="str">
            <v>Middle East Sub-Regional Division</v>
          </cell>
          <cell r="G1597" t="str">
            <v>Qatar Rep.O.</v>
          </cell>
          <cell r="H1597" t="str">
            <v>5001</v>
          </cell>
          <cell r="I1597" t="str">
            <v>卡塔尔</v>
          </cell>
          <cell r="J1597" t="str">
            <v>Qatar</v>
          </cell>
          <cell r="K1597" t="str">
            <v>Local employees</v>
          </cell>
          <cell r="L1597" t="str">
            <v>L3</v>
          </cell>
          <cell r="M1597" t="str">
            <v>ALL</v>
          </cell>
          <cell r="N1597" t="str">
            <v>FLPC(含奖金)</v>
          </cell>
          <cell r="O1597" t="str">
            <v>USD/小时</v>
          </cell>
          <cell r="P1597">
            <v>85.28</v>
          </cell>
        </row>
        <row r="1598">
          <cell r="A1598" t="str">
            <v>Qatar - Local employees - L4</v>
          </cell>
          <cell r="B1598" t="str">
            <v>Current version</v>
          </cell>
          <cell r="C1598" t="str">
            <v>V2009R2</v>
          </cell>
          <cell r="D1598" t="str">
            <v>Labor Rate</v>
          </cell>
          <cell r="E1598" t="str">
            <v>MENA</v>
          </cell>
          <cell r="F1598" t="str">
            <v>Middle East Sub-Regional Division</v>
          </cell>
          <cell r="G1598" t="str">
            <v>Qatar Rep.O.</v>
          </cell>
          <cell r="H1598" t="str">
            <v>5001</v>
          </cell>
          <cell r="I1598" t="str">
            <v>卡塔尔</v>
          </cell>
          <cell r="J1598" t="str">
            <v>Qatar</v>
          </cell>
          <cell r="K1598" t="str">
            <v>Local employees</v>
          </cell>
          <cell r="L1598" t="str">
            <v>L4</v>
          </cell>
          <cell r="M1598" t="str">
            <v>ALL</v>
          </cell>
          <cell r="N1598" t="str">
            <v>FLPC(含奖金)</v>
          </cell>
          <cell r="O1598" t="str">
            <v>USD/小时</v>
          </cell>
          <cell r="P1598">
            <v>109.52</v>
          </cell>
        </row>
        <row r="1599">
          <cell r="A1599" t="str">
            <v>Pakistan - Local employees - L0</v>
          </cell>
          <cell r="B1599" t="str">
            <v>Current version</v>
          </cell>
          <cell r="C1599" t="str">
            <v>V2009R2</v>
          </cell>
          <cell r="D1599" t="str">
            <v>Labor Rate</v>
          </cell>
          <cell r="E1599" t="str">
            <v>MENA</v>
          </cell>
          <cell r="F1599" t="str">
            <v>Middle East Sub-Regional Division</v>
          </cell>
          <cell r="G1599" t="str">
            <v>Pakistan Rep.O.</v>
          </cell>
          <cell r="H1599" t="str">
            <v>1205</v>
          </cell>
          <cell r="I1599" t="str">
            <v>巴基斯坦</v>
          </cell>
          <cell r="J1599" t="str">
            <v>Pakistan</v>
          </cell>
          <cell r="K1599" t="str">
            <v>Local employees</v>
          </cell>
          <cell r="L1599" t="str">
            <v>L0</v>
          </cell>
          <cell r="M1599" t="str">
            <v>ALL</v>
          </cell>
          <cell r="N1599" t="str">
            <v>FLPC(含奖金)</v>
          </cell>
          <cell r="O1599" t="str">
            <v>USD/小时</v>
          </cell>
          <cell r="P1599">
            <v>8.6</v>
          </cell>
        </row>
        <row r="1600">
          <cell r="A1600" t="str">
            <v>Pakistan - Local employees - L1</v>
          </cell>
          <cell r="B1600" t="str">
            <v>Current version</v>
          </cell>
          <cell r="C1600" t="str">
            <v>V2009R2</v>
          </cell>
          <cell r="D1600" t="str">
            <v>Labor Rate</v>
          </cell>
          <cell r="E1600" t="str">
            <v>MENA</v>
          </cell>
          <cell r="F1600" t="str">
            <v>Middle East Sub-Regional Division</v>
          </cell>
          <cell r="G1600" t="str">
            <v>Pakistan Rep.O.</v>
          </cell>
          <cell r="H1600" t="str">
            <v>1205</v>
          </cell>
          <cell r="I1600" t="str">
            <v>巴基斯坦</v>
          </cell>
          <cell r="J1600" t="str">
            <v>Pakistan</v>
          </cell>
          <cell r="K1600" t="str">
            <v>Local employees</v>
          </cell>
          <cell r="L1600" t="str">
            <v>L1</v>
          </cell>
          <cell r="M1600" t="str">
            <v>ALL</v>
          </cell>
          <cell r="N1600" t="str">
            <v>FLPC(含奖金)</v>
          </cell>
          <cell r="O1600" t="str">
            <v>USD/小时</v>
          </cell>
          <cell r="P1600">
            <v>9.17</v>
          </cell>
        </row>
        <row r="1601">
          <cell r="A1601" t="str">
            <v>Pakistan - Local employees - L2</v>
          </cell>
          <cell r="B1601" t="str">
            <v>Current version</v>
          </cell>
          <cell r="C1601" t="str">
            <v>V2009R2</v>
          </cell>
          <cell r="D1601" t="str">
            <v>Labor Rate</v>
          </cell>
          <cell r="E1601" t="str">
            <v>MENA</v>
          </cell>
          <cell r="F1601" t="str">
            <v>Middle East Sub-Regional Division</v>
          </cell>
          <cell r="G1601" t="str">
            <v>Pakistan Rep.O.</v>
          </cell>
          <cell r="H1601" t="str">
            <v>1205</v>
          </cell>
          <cell r="I1601" t="str">
            <v>巴基斯坦</v>
          </cell>
          <cell r="J1601" t="str">
            <v>Pakistan</v>
          </cell>
          <cell r="K1601" t="str">
            <v>Local employees</v>
          </cell>
          <cell r="L1601" t="str">
            <v>L2</v>
          </cell>
          <cell r="M1601" t="str">
            <v>ALL</v>
          </cell>
          <cell r="N1601" t="str">
            <v>FLPC(含奖金)</v>
          </cell>
          <cell r="O1601" t="str">
            <v>USD/小时</v>
          </cell>
          <cell r="P1601">
            <v>12.37</v>
          </cell>
        </row>
        <row r="1602">
          <cell r="A1602" t="str">
            <v>Pakistan - Local employees - L3</v>
          </cell>
          <cell r="B1602" t="str">
            <v>Current version</v>
          </cell>
          <cell r="C1602" t="str">
            <v>V2009R2</v>
          </cell>
          <cell r="D1602" t="str">
            <v>Labor Rate</v>
          </cell>
          <cell r="E1602" t="str">
            <v>MENA</v>
          </cell>
          <cell r="F1602" t="str">
            <v>Middle East Sub-Regional Division</v>
          </cell>
          <cell r="G1602" t="str">
            <v>Pakistan Rep.O.</v>
          </cell>
          <cell r="H1602" t="str">
            <v>1205</v>
          </cell>
          <cell r="I1602" t="str">
            <v>巴基斯坦</v>
          </cell>
          <cell r="J1602" t="str">
            <v>Pakistan</v>
          </cell>
          <cell r="K1602" t="str">
            <v>Local employees</v>
          </cell>
          <cell r="L1602" t="str">
            <v>L3</v>
          </cell>
          <cell r="M1602" t="str">
            <v>ALL</v>
          </cell>
          <cell r="N1602" t="str">
            <v>FLPC(含奖金)</v>
          </cell>
          <cell r="O1602" t="str">
            <v>USD/小时</v>
          </cell>
          <cell r="P1602">
            <v>22.6</v>
          </cell>
        </row>
        <row r="1603">
          <cell r="A1603" t="str">
            <v>Pakistan - Local employees - L4</v>
          </cell>
          <cell r="B1603" t="str">
            <v>Current version</v>
          </cell>
          <cell r="C1603" t="str">
            <v>V2009R2</v>
          </cell>
          <cell r="D1603" t="str">
            <v>Labor Rate</v>
          </cell>
          <cell r="E1603" t="str">
            <v>MENA</v>
          </cell>
          <cell r="F1603" t="str">
            <v>Middle East Sub-Regional Division</v>
          </cell>
          <cell r="G1603" t="str">
            <v>Pakistan Rep.O.</v>
          </cell>
          <cell r="H1603" t="str">
            <v>1205</v>
          </cell>
          <cell r="I1603" t="str">
            <v>巴基斯坦</v>
          </cell>
          <cell r="J1603" t="str">
            <v>Pakistan</v>
          </cell>
          <cell r="K1603" t="str">
            <v>Local employees</v>
          </cell>
          <cell r="L1603" t="str">
            <v>L4</v>
          </cell>
          <cell r="M1603" t="str">
            <v>ALL</v>
          </cell>
          <cell r="N1603" t="str">
            <v>FLPC(含奖金)</v>
          </cell>
          <cell r="O1603" t="str">
            <v>USD/小时</v>
          </cell>
          <cell r="P1603">
            <v>30.92</v>
          </cell>
        </row>
        <row r="1604">
          <cell r="A1604" t="str">
            <v>A1(Afghanistan) - Local employees - L0</v>
          </cell>
          <cell r="B1604" t="str">
            <v>Current version</v>
          </cell>
          <cell r="C1604" t="str">
            <v>V2009R2</v>
          </cell>
          <cell r="D1604" t="str">
            <v>Labor Rate</v>
          </cell>
          <cell r="E1604" t="str">
            <v>MENA</v>
          </cell>
          <cell r="F1604" t="str">
            <v>Middle East Sub-Regional Division</v>
          </cell>
          <cell r="G1604" t="str">
            <v>Pakistan Rep.O.</v>
          </cell>
          <cell r="H1604" t="str">
            <v>1206</v>
          </cell>
          <cell r="I1604" t="str">
            <v>A1阿富汗</v>
          </cell>
          <cell r="J1604" t="str">
            <v>A1(Afghanistan)</v>
          </cell>
          <cell r="K1604" t="str">
            <v>Local employees</v>
          </cell>
          <cell r="L1604" t="str">
            <v>L0</v>
          </cell>
          <cell r="M1604" t="str">
            <v>ALL</v>
          </cell>
          <cell r="N1604" t="str">
            <v>FLPC(含奖金)</v>
          </cell>
          <cell r="O1604" t="str">
            <v>USD/小时</v>
          </cell>
          <cell r="P1604">
            <v>10.34</v>
          </cell>
        </row>
        <row r="1605">
          <cell r="A1605" t="str">
            <v>Belo Horizonte, Brazil - Local employees - L0</v>
          </cell>
          <cell r="B1605" t="str">
            <v>Current version</v>
          </cell>
          <cell r="C1605" t="str">
            <v>V2009R2</v>
          </cell>
          <cell r="D1605" t="str">
            <v>Labor Rate</v>
          </cell>
          <cell r="E1605" t="str">
            <v>LA</v>
          </cell>
          <cell r="F1605" t="str">
            <v>Southern South America Sub-Regional Division</v>
          </cell>
          <cell r="G1605" t="str">
            <v>Brazil-Brazilia Rep.O.</v>
          </cell>
          <cell r="H1605" t="str">
            <v>6036</v>
          </cell>
          <cell r="I1605" t="str">
            <v>巴西贝洛奥里藏特</v>
          </cell>
          <cell r="J1605" t="str">
            <v>Belo Horizonte, Brazil</v>
          </cell>
          <cell r="K1605" t="str">
            <v>Local employees</v>
          </cell>
          <cell r="L1605" t="str">
            <v>L0</v>
          </cell>
          <cell r="M1605" t="str">
            <v>ALL</v>
          </cell>
          <cell r="N1605" t="str">
            <v>FLPC(含奖金)</v>
          </cell>
          <cell r="O1605" t="str">
            <v>USD/小时</v>
          </cell>
          <cell r="P1605">
            <v>45.5</v>
          </cell>
        </row>
        <row r="1606">
          <cell r="A1606" t="str">
            <v>Belo Horizonte, Brazil - Local employees - L1</v>
          </cell>
          <cell r="B1606" t="str">
            <v>Current version</v>
          </cell>
          <cell r="C1606" t="str">
            <v>V2009R2</v>
          </cell>
          <cell r="D1606" t="str">
            <v>Labor Rate</v>
          </cell>
          <cell r="E1606" t="str">
            <v>LA</v>
          </cell>
          <cell r="F1606" t="str">
            <v>Southern South America Sub-Regional Division</v>
          </cell>
          <cell r="G1606" t="str">
            <v>Brazil-Brazilia Rep.O.</v>
          </cell>
          <cell r="H1606" t="str">
            <v>6036</v>
          </cell>
          <cell r="I1606" t="str">
            <v>巴西贝洛奥里藏特</v>
          </cell>
          <cell r="J1606" t="str">
            <v>Belo Horizonte, Brazil</v>
          </cell>
          <cell r="K1606" t="str">
            <v>Local employees</v>
          </cell>
          <cell r="L1606" t="str">
            <v>L1</v>
          </cell>
          <cell r="M1606" t="str">
            <v>ALL</v>
          </cell>
          <cell r="N1606" t="str">
            <v>FLPC(含奖金)</v>
          </cell>
          <cell r="O1606" t="str">
            <v>USD/小时</v>
          </cell>
          <cell r="P1606">
            <v>59.5</v>
          </cell>
        </row>
        <row r="1607">
          <cell r="A1607" t="str">
            <v>Belo Horizonte, Brazil - Local employees - L2</v>
          </cell>
          <cell r="B1607" t="str">
            <v>Current version</v>
          </cell>
          <cell r="C1607" t="str">
            <v>V2009R2</v>
          </cell>
          <cell r="D1607" t="str">
            <v>Labor Rate</v>
          </cell>
          <cell r="E1607" t="str">
            <v>LA</v>
          </cell>
          <cell r="F1607" t="str">
            <v>Southern South America Sub-Regional Division</v>
          </cell>
          <cell r="G1607" t="str">
            <v>Brazil-Brazilia Rep.O.</v>
          </cell>
          <cell r="H1607" t="str">
            <v>6036</v>
          </cell>
          <cell r="I1607" t="str">
            <v>巴西贝洛奥里藏特</v>
          </cell>
          <cell r="J1607" t="str">
            <v>Belo Horizonte, Brazil</v>
          </cell>
          <cell r="K1607" t="str">
            <v>Local employees</v>
          </cell>
          <cell r="L1607" t="str">
            <v>L2</v>
          </cell>
          <cell r="M1607" t="str">
            <v>ALL</v>
          </cell>
          <cell r="N1607" t="str">
            <v>FLPC(含奖金)</v>
          </cell>
          <cell r="O1607" t="str">
            <v>USD/小时</v>
          </cell>
          <cell r="P1607">
            <v>79.63</v>
          </cell>
        </row>
        <row r="1608">
          <cell r="A1608" t="str">
            <v>Belo Horizonte, Brazil - Local employees - L3</v>
          </cell>
          <cell r="B1608" t="str">
            <v>Current version</v>
          </cell>
          <cell r="C1608" t="str">
            <v>V2009R2</v>
          </cell>
          <cell r="D1608" t="str">
            <v>Labor Rate</v>
          </cell>
          <cell r="E1608" t="str">
            <v>LA</v>
          </cell>
          <cell r="F1608" t="str">
            <v>Southern South America Sub-Regional Division</v>
          </cell>
          <cell r="G1608" t="str">
            <v>Brazil-Brazilia Rep.O.</v>
          </cell>
          <cell r="H1608" t="str">
            <v>6036</v>
          </cell>
          <cell r="I1608" t="str">
            <v>巴西贝洛奥里藏特</v>
          </cell>
          <cell r="J1608" t="str">
            <v>Belo Horizonte, Brazil</v>
          </cell>
          <cell r="K1608" t="str">
            <v>Local employees</v>
          </cell>
          <cell r="L1608" t="str">
            <v>L3</v>
          </cell>
          <cell r="M1608" t="str">
            <v>ALL</v>
          </cell>
          <cell r="N1608" t="str">
            <v>FLPC(含奖金)</v>
          </cell>
          <cell r="O1608" t="str">
            <v>USD/小时</v>
          </cell>
          <cell r="P1608">
            <v>119.01</v>
          </cell>
        </row>
        <row r="1609">
          <cell r="A1609" t="str">
            <v>Belo Horizonte, Brazil - Local employees - L4</v>
          </cell>
          <cell r="B1609" t="str">
            <v>Current version</v>
          </cell>
          <cell r="C1609" t="str">
            <v>V2009R2</v>
          </cell>
          <cell r="D1609" t="str">
            <v>Labor Rate</v>
          </cell>
          <cell r="E1609" t="str">
            <v>LA</v>
          </cell>
          <cell r="F1609" t="str">
            <v>Southern South America Sub-Regional Division</v>
          </cell>
          <cell r="G1609" t="str">
            <v>Brazil-Brazilia Rep.O.</v>
          </cell>
          <cell r="H1609" t="str">
            <v>6036</v>
          </cell>
          <cell r="I1609" t="str">
            <v>巴西贝洛奥里藏特</v>
          </cell>
          <cell r="J1609" t="str">
            <v>Belo Horizonte, Brazil</v>
          </cell>
          <cell r="K1609" t="str">
            <v>Local employees</v>
          </cell>
          <cell r="L1609" t="str">
            <v>L4</v>
          </cell>
          <cell r="M1609" t="str">
            <v>ALL</v>
          </cell>
          <cell r="N1609" t="str">
            <v>FLPC(含奖金)</v>
          </cell>
          <cell r="O1609" t="str">
            <v>USD/小时</v>
          </cell>
          <cell r="P1609">
            <v>178.63</v>
          </cell>
        </row>
        <row r="1610">
          <cell r="A1610" t="str">
            <v>Brazil Main Office - Local employees - L0</v>
          </cell>
          <cell r="B1610" t="str">
            <v>Current version</v>
          </cell>
          <cell r="C1610" t="str">
            <v>V2009R2</v>
          </cell>
          <cell r="D1610" t="str">
            <v>Labor Rate</v>
          </cell>
          <cell r="E1610" t="str">
            <v>LA</v>
          </cell>
          <cell r="F1610" t="str">
            <v>Southern South America Sub-Regional Division</v>
          </cell>
          <cell r="G1610" t="str">
            <v>Brasil Main Office</v>
          </cell>
          <cell r="H1610" t="str">
            <v>6001</v>
          </cell>
          <cell r="I1610" t="str">
            <v>巴西主部</v>
          </cell>
          <cell r="J1610" t="str">
            <v>Brazil Main Office</v>
          </cell>
          <cell r="K1610" t="str">
            <v>Local employees</v>
          </cell>
          <cell r="L1610" t="str">
            <v>L0</v>
          </cell>
          <cell r="M1610" t="str">
            <v>ALL</v>
          </cell>
          <cell r="N1610" t="str">
            <v>FLPC(含奖金)</v>
          </cell>
          <cell r="O1610" t="str">
            <v>USD/小时</v>
          </cell>
          <cell r="P1610">
            <v>45.5</v>
          </cell>
        </row>
        <row r="1611">
          <cell r="A1611" t="str">
            <v>Brazil Main Office - Local employees - L1</v>
          </cell>
          <cell r="B1611" t="str">
            <v>Current version</v>
          </cell>
          <cell r="C1611" t="str">
            <v>V2009R2</v>
          </cell>
          <cell r="D1611" t="str">
            <v>Labor Rate</v>
          </cell>
          <cell r="E1611" t="str">
            <v>LA</v>
          </cell>
          <cell r="F1611" t="str">
            <v>Southern South America Sub-Regional Division</v>
          </cell>
          <cell r="G1611" t="str">
            <v>Brasil Main Office</v>
          </cell>
          <cell r="H1611" t="str">
            <v>6001</v>
          </cell>
          <cell r="I1611" t="str">
            <v>巴西主部</v>
          </cell>
          <cell r="J1611" t="str">
            <v>Brazil Main Office</v>
          </cell>
          <cell r="K1611" t="str">
            <v>Local employees</v>
          </cell>
          <cell r="L1611" t="str">
            <v>L1</v>
          </cell>
          <cell r="M1611" t="str">
            <v>ALL</v>
          </cell>
          <cell r="N1611" t="str">
            <v>FLPC(含奖金)</v>
          </cell>
          <cell r="O1611" t="str">
            <v>USD/小时</v>
          </cell>
          <cell r="P1611">
            <v>59.5</v>
          </cell>
        </row>
        <row r="1612">
          <cell r="A1612" t="str">
            <v>Brazil Main Office - Local employees - L2</v>
          </cell>
          <cell r="B1612" t="str">
            <v>Current version</v>
          </cell>
          <cell r="C1612" t="str">
            <v>V2009R2</v>
          </cell>
          <cell r="D1612" t="str">
            <v>Labor Rate</v>
          </cell>
          <cell r="E1612" t="str">
            <v>LA</v>
          </cell>
          <cell r="F1612" t="str">
            <v>Southern South America Sub-Regional Division</v>
          </cell>
          <cell r="G1612" t="str">
            <v>Brasil Main Office</v>
          </cell>
          <cell r="H1612" t="str">
            <v>6001</v>
          </cell>
          <cell r="I1612" t="str">
            <v>巴西主部</v>
          </cell>
          <cell r="J1612" t="str">
            <v>Brazil Main Office</v>
          </cell>
          <cell r="K1612" t="str">
            <v>Local employees</v>
          </cell>
          <cell r="L1612" t="str">
            <v>L2</v>
          </cell>
          <cell r="M1612" t="str">
            <v>ALL</v>
          </cell>
          <cell r="N1612" t="str">
            <v>FLPC(含奖金)</v>
          </cell>
          <cell r="O1612" t="str">
            <v>USD/小时</v>
          </cell>
          <cell r="P1612">
            <v>79.63</v>
          </cell>
        </row>
        <row r="1613">
          <cell r="A1613" t="str">
            <v>Brazil Main Office - Local employees - L3</v>
          </cell>
          <cell r="B1613" t="str">
            <v>Current version</v>
          </cell>
          <cell r="C1613" t="str">
            <v>V2009R2</v>
          </cell>
          <cell r="D1613" t="str">
            <v>Labor Rate</v>
          </cell>
          <cell r="E1613" t="str">
            <v>LA</v>
          </cell>
          <cell r="F1613" t="str">
            <v>Southern South America Sub-Regional Division</v>
          </cell>
          <cell r="G1613" t="str">
            <v>Brasil Main Office</v>
          </cell>
          <cell r="H1613" t="str">
            <v>6001</v>
          </cell>
          <cell r="I1613" t="str">
            <v>巴西主部</v>
          </cell>
          <cell r="J1613" t="str">
            <v>Brazil Main Office</v>
          </cell>
          <cell r="K1613" t="str">
            <v>Local employees</v>
          </cell>
          <cell r="L1613" t="str">
            <v>L3</v>
          </cell>
          <cell r="M1613" t="str">
            <v>ALL</v>
          </cell>
          <cell r="N1613" t="str">
            <v>FLPC(含奖金)</v>
          </cell>
          <cell r="O1613" t="str">
            <v>USD/小时</v>
          </cell>
          <cell r="P1613">
            <v>119.01</v>
          </cell>
        </row>
        <row r="1614">
          <cell r="A1614" t="str">
            <v>Brazil Main Office - Local employees - L4</v>
          </cell>
          <cell r="B1614" t="str">
            <v>Current version</v>
          </cell>
          <cell r="C1614" t="str">
            <v>V2009R2</v>
          </cell>
          <cell r="D1614" t="str">
            <v>Labor Rate</v>
          </cell>
          <cell r="E1614" t="str">
            <v>LA</v>
          </cell>
          <cell r="F1614" t="str">
            <v>Southern South America Sub-Regional Division</v>
          </cell>
          <cell r="G1614" t="str">
            <v>Brasil Main Office</v>
          </cell>
          <cell r="H1614" t="str">
            <v>6001</v>
          </cell>
          <cell r="I1614" t="str">
            <v>巴西主部</v>
          </cell>
          <cell r="J1614" t="str">
            <v>Brazil Main Office</v>
          </cell>
          <cell r="K1614" t="str">
            <v>Local employees</v>
          </cell>
          <cell r="L1614" t="str">
            <v>L4</v>
          </cell>
          <cell r="M1614" t="str">
            <v>ALL</v>
          </cell>
          <cell r="N1614" t="str">
            <v>FLPC(含奖金)</v>
          </cell>
          <cell r="O1614" t="str">
            <v>USD/小时</v>
          </cell>
          <cell r="P1614">
            <v>178.63</v>
          </cell>
        </row>
        <row r="1615">
          <cell r="A1615" t="str">
            <v>Argentina - Local employees - L0</v>
          </cell>
          <cell r="B1615" t="str">
            <v>Current version</v>
          </cell>
          <cell r="C1615" t="str">
            <v>V2009R2</v>
          </cell>
          <cell r="D1615" t="str">
            <v>Labor Rate</v>
          </cell>
          <cell r="E1615" t="str">
            <v>LA</v>
          </cell>
          <cell r="F1615" t="str">
            <v>Southern South America Sub-Regional Division</v>
          </cell>
          <cell r="G1615" t="str">
            <v>Argentina Rep.O.</v>
          </cell>
          <cell r="H1615" t="str">
            <v>6004</v>
          </cell>
          <cell r="I1615" t="str">
            <v>阿根廷</v>
          </cell>
          <cell r="J1615" t="str">
            <v>Argentina</v>
          </cell>
          <cell r="K1615" t="str">
            <v>Local employees</v>
          </cell>
          <cell r="L1615" t="str">
            <v>L0</v>
          </cell>
          <cell r="M1615" t="str">
            <v>ALL</v>
          </cell>
          <cell r="N1615" t="str">
            <v>FLPC(含奖金)</v>
          </cell>
          <cell r="O1615" t="str">
            <v>USD/小时</v>
          </cell>
          <cell r="P1615">
            <v>30.22</v>
          </cell>
        </row>
        <row r="1616">
          <cell r="A1616" t="str">
            <v>Argentina - Local employees - L1</v>
          </cell>
          <cell r="B1616" t="str">
            <v>Current version</v>
          </cell>
          <cell r="C1616" t="str">
            <v>V2009R2</v>
          </cell>
          <cell r="D1616" t="str">
            <v>Labor Rate</v>
          </cell>
          <cell r="E1616" t="str">
            <v>LA</v>
          </cell>
          <cell r="F1616" t="str">
            <v>Southern South America Sub-Regional Division</v>
          </cell>
          <cell r="G1616" t="str">
            <v>Argentina Rep.O.</v>
          </cell>
          <cell r="H1616" t="str">
            <v>6004</v>
          </cell>
          <cell r="I1616" t="str">
            <v>阿根廷</v>
          </cell>
          <cell r="J1616" t="str">
            <v>Argentina</v>
          </cell>
          <cell r="K1616" t="str">
            <v>Local employees</v>
          </cell>
          <cell r="L1616" t="str">
            <v>L1</v>
          </cell>
          <cell r="M1616" t="str">
            <v>ALL</v>
          </cell>
          <cell r="N1616" t="str">
            <v>FLPC(含奖金)</v>
          </cell>
          <cell r="O1616" t="str">
            <v>USD/小时</v>
          </cell>
          <cell r="P1616">
            <v>34.700000000000003</v>
          </cell>
        </row>
        <row r="1617">
          <cell r="A1617" t="str">
            <v>Argentina - Local employees - L2</v>
          </cell>
          <cell r="B1617" t="str">
            <v>Current version</v>
          </cell>
          <cell r="C1617" t="str">
            <v>V2009R2</v>
          </cell>
          <cell r="D1617" t="str">
            <v>Labor Rate</v>
          </cell>
          <cell r="E1617" t="str">
            <v>LA</v>
          </cell>
          <cell r="F1617" t="str">
            <v>Southern South America Sub-Regional Division</v>
          </cell>
          <cell r="G1617" t="str">
            <v>Argentina Rep.O.</v>
          </cell>
          <cell r="H1617" t="str">
            <v>6004</v>
          </cell>
          <cell r="I1617" t="str">
            <v>阿根廷</v>
          </cell>
          <cell r="J1617" t="str">
            <v>Argentina</v>
          </cell>
          <cell r="K1617" t="str">
            <v>Local employees</v>
          </cell>
          <cell r="L1617" t="str">
            <v>L2</v>
          </cell>
          <cell r="M1617" t="str">
            <v>ALL</v>
          </cell>
          <cell r="N1617" t="str">
            <v>FLPC(含奖金)</v>
          </cell>
          <cell r="O1617" t="str">
            <v>USD/小时</v>
          </cell>
          <cell r="P1617">
            <v>43.1</v>
          </cell>
        </row>
        <row r="1618">
          <cell r="A1618" t="str">
            <v>Argentina - Local employees - L3</v>
          </cell>
          <cell r="B1618" t="str">
            <v>Current version</v>
          </cell>
          <cell r="C1618" t="str">
            <v>V2009R2</v>
          </cell>
          <cell r="D1618" t="str">
            <v>Labor Rate</v>
          </cell>
          <cell r="E1618" t="str">
            <v>LA</v>
          </cell>
          <cell r="F1618" t="str">
            <v>Southern South America Sub-Regional Division</v>
          </cell>
          <cell r="G1618" t="str">
            <v>Argentina Rep.O.</v>
          </cell>
          <cell r="H1618" t="str">
            <v>6004</v>
          </cell>
          <cell r="I1618" t="str">
            <v>阿根廷</v>
          </cell>
          <cell r="J1618" t="str">
            <v>Argentina</v>
          </cell>
          <cell r="K1618" t="str">
            <v>Local employees</v>
          </cell>
          <cell r="L1618" t="str">
            <v>L3</v>
          </cell>
          <cell r="M1618" t="str">
            <v>ALL</v>
          </cell>
          <cell r="N1618" t="str">
            <v>FLPC(含奖金)</v>
          </cell>
          <cell r="O1618" t="str">
            <v>USD/小时</v>
          </cell>
          <cell r="P1618">
            <v>61.38</v>
          </cell>
        </row>
        <row r="1619">
          <cell r="A1619" t="str">
            <v>Argentina - Local employees - L4</v>
          </cell>
          <cell r="B1619" t="str">
            <v>Current version</v>
          </cell>
          <cell r="C1619" t="str">
            <v>V2009R2</v>
          </cell>
          <cell r="D1619" t="str">
            <v>Labor Rate</v>
          </cell>
          <cell r="E1619" t="str">
            <v>LA</v>
          </cell>
          <cell r="F1619" t="str">
            <v>Southern South America Sub-Regional Division</v>
          </cell>
          <cell r="G1619" t="str">
            <v>Argentina Rep.O.</v>
          </cell>
          <cell r="H1619" t="str">
            <v>6004</v>
          </cell>
          <cell r="I1619" t="str">
            <v>阿根廷</v>
          </cell>
          <cell r="J1619" t="str">
            <v>Argentina</v>
          </cell>
          <cell r="K1619" t="str">
            <v>Local employees</v>
          </cell>
          <cell r="L1619" t="str">
            <v>L4</v>
          </cell>
          <cell r="M1619" t="str">
            <v>ALL</v>
          </cell>
          <cell r="N1619" t="str">
            <v>FLPC(含奖金)</v>
          </cell>
          <cell r="O1619" t="str">
            <v>USD/小时</v>
          </cell>
          <cell r="P1619">
            <v>69.430000000000007</v>
          </cell>
        </row>
        <row r="1620">
          <cell r="A1620" t="str">
            <v>Uruguay - Local employees - L0</v>
          </cell>
          <cell r="B1620" t="str">
            <v>Current version</v>
          </cell>
          <cell r="C1620" t="str">
            <v>V2009R2</v>
          </cell>
          <cell r="D1620" t="str">
            <v>Labor Rate</v>
          </cell>
          <cell r="E1620" t="str">
            <v>LA</v>
          </cell>
          <cell r="F1620" t="str">
            <v>Southern South America Sub-Regional Division</v>
          </cell>
          <cell r="G1620" t="str">
            <v>Argentina Rep.O.</v>
          </cell>
          <cell r="H1620" t="str">
            <v>6010</v>
          </cell>
          <cell r="I1620" t="str">
            <v>乌拉圭</v>
          </cell>
          <cell r="J1620" t="str">
            <v>Uruguay</v>
          </cell>
          <cell r="K1620" t="str">
            <v>Local employees</v>
          </cell>
          <cell r="L1620" t="str">
            <v>L0</v>
          </cell>
          <cell r="M1620" t="str">
            <v>ALL</v>
          </cell>
          <cell r="N1620" t="str">
            <v>FLPC(含奖金)</v>
          </cell>
          <cell r="O1620" t="str">
            <v>USD/小时</v>
          </cell>
          <cell r="P1620">
            <v>34.950000000000003</v>
          </cell>
        </row>
        <row r="1621">
          <cell r="A1621" t="str">
            <v>Uruguay - Local employees - L1</v>
          </cell>
          <cell r="B1621" t="str">
            <v>Current version</v>
          </cell>
          <cell r="C1621" t="str">
            <v>V2009R2</v>
          </cell>
          <cell r="D1621" t="str">
            <v>Labor Rate</v>
          </cell>
          <cell r="E1621" t="str">
            <v>LA</v>
          </cell>
          <cell r="F1621" t="str">
            <v>Southern South America Sub-Regional Division</v>
          </cell>
          <cell r="G1621" t="str">
            <v>Argentina Rep.O.</v>
          </cell>
          <cell r="H1621" t="str">
            <v>6010</v>
          </cell>
          <cell r="I1621" t="str">
            <v>乌拉圭</v>
          </cell>
          <cell r="J1621" t="str">
            <v>Uruguay</v>
          </cell>
          <cell r="K1621" t="str">
            <v>Local employees</v>
          </cell>
          <cell r="L1621" t="str">
            <v>L1</v>
          </cell>
          <cell r="M1621" t="str">
            <v>ALL</v>
          </cell>
          <cell r="N1621" t="str">
            <v>FLPC(含奖金)</v>
          </cell>
          <cell r="O1621" t="str">
            <v>USD/小时</v>
          </cell>
          <cell r="P1621">
            <v>44.46</v>
          </cell>
        </row>
        <row r="1622">
          <cell r="A1622" t="str">
            <v>Uruguay - Local employees - L2</v>
          </cell>
          <cell r="B1622" t="str">
            <v>Current version</v>
          </cell>
          <cell r="C1622" t="str">
            <v>V2009R2</v>
          </cell>
          <cell r="D1622" t="str">
            <v>Labor Rate</v>
          </cell>
          <cell r="E1622" t="str">
            <v>LA</v>
          </cell>
          <cell r="F1622" t="str">
            <v>Southern South America Sub-Regional Division</v>
          </cell>
          <cell r="G1622" t="str">
            <v>Argentina Rep.O.</v>
          </cell>
          <cell r="H1622" t="str">
            <v>6010</v>
          </cell>
          <cell r="I1622" t="str">
            <v>乌拉圭</v>
          </cell>
          <cell r="J1622" t="str">
            <v>Uruguay</v>
          </cell>
          <cell r="K1622" t="str">
            <v>Local employees</v>
          </cell>
          <cell r="L1622" t="str">
            <v>L2</v>
          </cell>
          <cell r="M1622" t="str">
            <v>ALL</v>
          </cell>
          <cell r="N1622" t="str">
            <v>FLPC(含奖金)</v>
          </cell>
          <cell r="O1622" t="str">
            <v>USD/小时</v>
          </cell>
          <cell r="P1622">
            <v>55.72</v>
          </cell>
        </row>
        <row r="1623">
          <cell r="A1623" t="str">
            <v>Uruguay - Local employees - L3</v>
          </cell>
          <cell r="B1623" t="str">
            <v>Current version</v>
          </cell>
          <cell r="C1623" t="str">
            <v>V2009R2</v>
          </cell>
          <cell r="D1623" t="str">
            <v>Labor Rate</v>
          </cell>
          <cell r="E1623" t="str">
            <v>LA</v>
          </cell>
          <cell r="F1623" t="str">
            <v>Southern South America Sub-Regional Division</v>
          </cell>
          <cell r="G1623" t="str">
            <v>Argentina Rep.O.</v>
          </cell>
          <cell r="H1623" t="str">
            <v>6010</v>
          </cell>
          <cell r="I1623" t="str">
            <v>乌拉圭</v>
          </cell>
          <cell r="J1623" t="str">
            <v>Uruguay</v>
          </cell>
          <cell r="K1623" t="str">
            <v>Local employees</v>
          </cell>
          <cell r="L1623" t="str">
            <v>L3</v>
          </cell>
          <cell r="M1623" t="str">
            <v>ALL</v>
          </cell>
          <cell r="N1623" t="str">
            <v>FLPC(含奖金)</v>
          </cell>
          <cell r="O1623" t="str">
            <v>USD/小时</v>
          </cell>
          <cell r="P1623">
            <v>62.63</v>
          </cell>
        </row>
        <row r="1624">
          <cell r="A1624" t="str">
            <v>Uruguay - Local employees - L4</v>
          </cell>
          <cell r="B1624" t="str">
            <v>Current version</v>
          </cell>
          <cell r="C1624" t="str">
            <v>V2009R2</v>
          </cell>
          <cell r="D1624" t="str">
            <v>Labor Rate</v>
          </cell>
          <cell r="E1624" t="str">
            <v>LA</v>
          </cell>
          <cell r="F1624" t="str">
            <v>Southern South America Sub-Regional Division</v>
          </cell>
          <cell r="G1624" t="str">
            <v>Argentina Rep.O.</v>
          </cell>
          <cell r="H1624" t="str">
            <v>6010</v>
          </cell>
          <cell r="I1624" t="str">
            <v>乌拉圭</v>
          </cell>
          <cell r="J1624" t="str">
            <v>Uruguay</v>
          </cell>
          <cell r="K1624" t="str">
            <v>Local employees</v>
          </cell>
          <cell r="L1624" t="str">
            <v>L4</v>
          </cell>
          <cell r="M1624" t="str">
            <v>ALL</v>
          </cell>
          <cell r="N1624" t="str">
            <v>FLPC(含奖金)</v>
          </cell>
          <cell r="O1624" t="str">
            <v>USD/小时</v>
          </cell>
          <cell r="P1624">
            <v>70.930000000000007</v>
          </cell>
        </row>
        <row r="1625">
          <cell r="A1625" t="str">
            <v>Paraguay - Local employees - L0</v>
          </cell>
          <cell r="B1625" t="str">
            <v>Current version</v>
          </cell>
          <cell r="C1625" t="str">
            <v>V2009R2</v>
          </cell>
          <cell r="D1625" t="str">
            <v>Labor Rate</v>
          </cell>
          <cell r="E1625" t="str">
            <v>LA</v>
          </cell>
          <cell r="F1625" t="str">
            <v>Southern South America Sub-Regional Division</v>
          </cell>
          <cell r="G1625" t="str">
            <v>Argentina Rep.O.</v>
          </cell>
          <cell r="H1625" t="str">
            <v>6018</v>
          </cell>
          <cell r="I1625" t="str">
            <v>巴拉圭</v>
          </cell>
          <cell r="J1625" t="str">
            <v>Paraguay</v>
          </cell>
          <cell r="K1625" t="str">
            <v>Local employees</v>
          </cell>
          <cell r="L1625" t="str">
            <v>L0</v>
          </cell>
          <cell r="M1625" t="str">
            <v>ALL</v>
          </cell>
          <cell r="N1625" t="str">
            <v>FLPC(含奖金)</v>
          </cell>
          <cell r="O1625" t="str">
            <v>USD/小时</v>
          </cell>
          <cell r="P1625">
            <v>28.64</v>
          </cell>
        </row>
        <row r="1626">
          <cell r="A1626" t="str">
            <v>Paraguay - Local employees - L1</v>
          </cell>
          <cell r="B1626" t="str">
            <v>Current version</v>
          </cell>
          <cell r="C1626" t="str">
            <v>V2009R2</v>
          </cell>
          <cell r="D1626" t="str">
            <v>Labor Rate</v>
          </cell>
          <cell r="E1626" t="str">
            <v>LA</v>
          </cell>
          <cell r="F1626" t="str">
            <v>Southern South America Sub-Regional Division</v>
          </cell>
          <cell r="G1626" t="str">
            <v>Argentina Rep.O.</v>
          </cell>
          <cell r="H1626" t="str">
            <v>6018</v>
          </cell>
          <cell r="I1626" t="str">
            <v>巴拉圭</v>
          </cell>
          <cell r="J1626" t="str">
            <v>Paraguay</v>
          </cell>
          <cell r="K1626" t="str">
            <v>Local employees</v>
          </cell>
          <cell r="L1626" t="str">
            <v>L1</v>
          </cell>
          <cell r="M1626" t="str">
            <v>ALL</v>
          </cell>
          <cell r="N1626" t="str">
            <v>FLPC(含奖金)</v>
          </cell>
          <cell r="O1626" t="str">
            <v>USD/小时</v>
          </cell>
          <cell r="P1626">
            <v>32.39</v>
          </cell>
        </row>
        <row r="1627">
          <cell r="A1627" t="str">
            <v>Paraguay - Local employees - L2</v>
          </cell>
          <cell r="B1627" t="str">
            <v>Current version</v>
          </cell>
          <cell r="C1627" t="str">
            <v>V2009R2</v>
          </cell>
          <cell r="D1627" t="str">
            <v>Labor Rate</v>
          </cell>
          <cell r="E1627" t="str">
            <v>LA</v>
          </cell>
          <cell r="F1627" t="str">
            <v>Southern South America Sub-Regional Division</v>
          </cell>
          <cell r="G1627" t="str">
            <v>Argentina Rep.O.</v>
          </cell>
          <cell r="H1627" t="str">
            <v>6018</v>
          </cell>
          <cell r="I1627" t="str">
            <v>巴拉圭</v>
          </cell>
          <cell r="J1627" t="str">
            <v>Paraguay</v>
          </cell>
          <cell r="K1627" t="str">
            <v>Local employees</v>
          </cell>
          <cell r="L1627" t="str">
            <v>L2</v>
          </cell>
          <cell r="M1627" t="str">
            <v>ALL</v>
          </cell>
          <cell r="N1627" t="str">
            <v>FLPC(含奖金)</v>
          </cell>
          <cell r="O1627" t="str">
            <v>USD/小时</v>
          </cell>
          <cell r="P1627">
            <v>36.14</v>
          </cell>
        </row>
        <row r="1628">
          <cell r="A1628" t="str">
            <v>Paraguay - Local employees - L3</v>
          </cell>
          <cell r="B1628" t="str">
            <v>Current version</v>
          </cell>
          <cell r="C1628" t="str">
            <v>V2009R2</v>
          </cell>
          <cell r="D1628" t="str">
            <v>Labor Rate</v>
          </cell>
          <cell r="E1628" t="str">
            <v>LA</v>
          </cell>
          <cell r="F1628" t="str">
            <v>Southern South America Sub-Regional Division</v>
          </cell>
          <cell r="G1628" t="str">
            <v>Argentina Rep.O.</v>
          </cell>
          <cell r="H1628" t="str">
            <v>6018</v>
          </cell>
          <cell r="I1628" t="str">
            <v>巴拉圭</v>
          </cell>
          <cell r="J1628" t="str">
            <v>Paraguay</v>
          </cell>
          <cell r="K1628" t="str">
            <v>Local employees</v>
          </cell>
          <cell r="L1628" t="str">
            <v>L3</v>
          </cell>
          <cell r="M1628" t="str">
            <v>ALL</v>
          </cell>
          <cell r="N1628" t="str">
            <v>FLPC(含奖金)</v>
          </cell>
          <cell r="O1628" t="str">
            <v>USD/小时</v>
          </cell>
          <cell r="P1628">
            <v>40.64</v>
          </cell>
        </row>
        <row r="1629">
          <cell r="A1629" t="str">
            <v>Paraguay - Local employees - L4</v>
          </cell>
          <cell r="B1629" t="str">
            <v>Current version</v>
          </cell>
          <cell r="C1629" t="str">
            <v>V2009R2</v>
          </cell>
          <cell r="D1629" t="str">
            <v>Labor Rate</v>
          </cell>
          <cell r="E1629" t="str">
            <v>LA</v>
          </cell>
          <cell r="F1629" t="str">
            <v>Southern South America Sub-Regional Division</v>
          </cell>
          <cell r="G1629" t="str">
            <v>Argentina Rep.O.</v>
          </cell>
          <cell r="H1629" t="str">
            <v>6018</v>
          </cell>
          <cell r="I1629" t="str">
            <v>巴拉圭</v>
          </cell>
          <cell r="J1629" t="str">
            <v>Paraguay</v>
          </cell>
          <cell r="K1629" t="str">
            <v>Local employees</v>
          </cell>
          <cell r="L1629" t="str">
            <v>L4</v>
          </cell>
          <cell r="M1629" t="str">
            <v>ALL</v>
          </cell>
          <cell r="N1629" t="str">
            <v>FLPC(含奖金)</v>
          </cell>
          <cell r="O1629" t="str">
            <v>USD/小时</v>
          </cell>
          <cell r="P1629">
            <v>46.48</v>
          </cell>
        </row>
        <row r="1630">
          <cell r="A1630" t="str">
            <v>Cuba - Local employees - L0</v>
          </cell>
          <cell r="B1630" t="str">
            <v>Current version</v>
          </cell>
          <cell r="C1630" t="str">
            <v>V2009R2</v>
          </cell>
          <cell r="D1630" t="str">
            <v>Labor Rate</v>
          </cell>
          <cell r="E1630" t="str">
            <v>LA</v>
          </cell>
          <cell r="F1630" t="str">
            <v>Northern South America Sub-Regional Division</v>
          </cell>
          <cell r="G1630" t="str">
            <v>古巴代表处</v>
          </cell>
          <cell r="H1630" t="str">
            <v>6008</v>
          </cell>
          <cell r="I1630" t="str">
            <v>A6古巴</v>
          </cell>
          <cell r="J1630" t="str">
            <v>Cuba</v>
          </cell>
          <cell r="K1630" t="str">
            <v>Local employees</v>
          </cell>
          <cell r="L1630" t="str">
            <v>L0</v>
          </cell>
          <cell r="M1630" t="str">
            <v>ALL</v>
          </cell>
          <cell r="N1630" t="str">
            <v>FLPC(含奖金)</v>
          </cell>
          <cell r="O1630" t="str">
            <v>USD/小时</v>
          </cell>
          <cell r="P1630">
            <v>15.36</v>
          </cell>
        </row>
        <row r="1631">
          <cell r="A1631" t="str">
            <v>Cuba - Local employees - L1</v>
          </cell>
          <cell r="B1631" t="str">
            <v>Current version</v>
          </cell>
          <cell r="C1631" t="str">
            <v>V2009R2</v>
          </cell>
          <cell r="D1631" t="str">
            <v>Labor Rate</v>
          </cell>
          <cell r="E1631" t="str">
            <v>LA</v>
          </cell>
          <cell r="F1631" t="str">
            <v>Northern South America Sub-Regional Division</v>
          </cell>
          <cell r="G1631" t="str">
            <v>古巴代表处</v>
          </cell>
          <cell r="H1631" t="str">
            <v>6008</v>
          </cell>
          <cell r="I1631" t="str">
            <v>A6古巴</v>
          </cell>
          <cell r="J1631" t="str">
            <v>Cuba</v>
          </cell>
          <cell r="K1631" t="str">
            <v>Local employees</v>
          </cell>
          <cell r="L1631" t="str">
            <v>L1</v>
          </cell>
          <cell r="M1631" t="str">
            <v>ALL</v>
          </cell>
          <cell r="N1631" t="str">
            <v>FLPC(含奖金)</v>
          </cell>
          <cell r="O1631" t="str">
            <v>USD/小时</v>
          </cell>
          <cell r="P1631">
            <v>15.54</v>
          </cell>
        </row>
        <row r="1632">
          <cell r="A1632" t="str">
            <v>Cuba - Local employees - L2</v>
          </cell>
          <cell r="B1632" t="str">
            <v>Current version</v>
          </cell>
          <cell r="C1632" t="str">
            <v>V2009R2</v>
          </cell>
          <cell r="D1632" t="str">
            <v>Labor Rate</v>
          </cell>
          <cell r="E1632" t="str">
            <v>LA</v>
          </cell>
          <cell r="F1632" t="str">
            <v>Northern South America Sub-Regional Division</v>
          </cell>
          <cell r="G1632" t="str">
            <v>古巴代表处</v>
          </cell>
          <cell r="H1632" t="str">
            <v>6008</v>
          </cell>
          <cell r="I1632" t="str">
            <v>A6古巴</v>
          </cell>
          <cell r="J1632" t="str">
            <v>Cuba</v>
          </cell>
          <cell r="K1632" t="str">
            <v>Local employees</v>
          </cell>
          <cell r="L1632" t="str">
            <v>L2</v>
          </cell>
          <cell r="M1632" t="str">
            <v>ALL</v>
          </cell>
          <cell r="N1632" t="str">
            <v>FLPC(含奖金)</v>
          </cell>
          <cell r="O1632" t="str">
            <v>USD/小时</v>
          </cell>
          <cell r="P1632">
            <v>16.47</v>
          </cell>
        </row>
        <row r="1633">
          <cell r="A1633" t="str">
            <v>Cuba - Local employees - L3</v>
          </cell>
          <cell r="B1633" t="str">
            <v>Current version</v>
          </cell>
          <cell r="C1633" t="str">
            <v>V2009R2</v>
          </cell>
          <cell r="D1633" t="str">
            <v>Labor Rate</v>
          </cell>
          <cell r="E1633" t="str">
            <v>LA</v>
          </cell>
          <cell r="F1633" t="str">
            <v>Northern South America Sub-Regional Division</v>
          </cell>
          <cell r="G1633" t="str">
            <v>古巴代表处</v>
          </cell>
          <cell r="H1633" t="str">
            <v>6008</v>
          </cell>
          <cell r="I1633" t="str">
            <v>A6古巴</v>
          </cell>
          <cell r="J1633" t="str">
            <v>Cuba</v>
          </cell>
          <cell r="K1633" t="str">
            <v>Local employees</v>
          </cell>
          <cell r="L1633" t="str">
            <v>L3</v>
          </cell>
          <cell r="M1633" t="str">
            <v>ALL</v>
          </cell>
          <cell r="N1633" t="str">
            <v>FLPC(含奖金)</v>
          </cell>
          <cell r="O1633" t="str">
            <v>USD/小时</v>
          </cell>
          <cell r="P1633">
            <v>18.45</v>
          </cell>
        </row>
        <row r="1634">
          <cell r="A1634" t="str">
            <v>Cuba - Local employees - L4</v>
          </cell>
          <cell r="B1634" t="str">
            <v>Current version</v>
          </cell>
          <cell r="C1634" t="str">
            <v>V2009R2</v>
          </cell>
          <cell r="D1634" t="str">
            <v>Labor Rate</v>
          </cell>
          <cell r="E1634" t="str">
            <v>LA</v>
          </cell>
          <cell r="F1634" t="str">
            <v>Northern South America Sub-Regional Division</v>
          </cell>
          <cell r="G1634" t="str">
            <v>古巴代表处</v>
          </cell>
          <cell r="H1634" t="str">
            <v>6008</v>
          </cell>
          <cell r="I1634" t="str">
            <v>A6古巴</v>
          </cell>
          <cell r="J1634" t="str">
            <v>Cuba</v>
          </cell>
          <cell r="K1634" t="str">
            <v>Local employees</v>
          </cell>
          <cell r="L1634" t="str">
            <v>L4</v>
          </cell>
          <cell r="M1634" t="str">
            <v>ALL</v>
          </cell>
          <cell r="N1634" t="str">
            <v>FLPC(含奖金)</v>
          </cell>
          <cell r="O1634" t="str">
            <v>USD/小时</v>
          </cell>
          <cell r="P1634">
            <v>20.41</v>
          </cell>
        </row>
        <row r="1635">
          <cell r="A1635" t="str">
            <v>Venezuela - Local employees - L0</v>
          </cell>
          <cell r="B1635" t="str">
            <v>Current version</v>
          </cell>
          <cell r="C1635" t="str">
            <v>V2009R2</v>
          </cell>
          <cell r="D1635" t="str">
            <v>Labor Rate</v>
          </cell>
          <cell r="E1635" t="str">
            <v>LA</v>
          </cell>
          <cell r="F1635" t="str">
            <v>Northern South America Sub-Regional Division</v>
          </cell>
          <cell r="G1635" t="str">
            <v>Venezuela Rep.O.</v>
          </cell>
          <cell r="H1635" t="str">
            <v>6009</v>
          </cell>
          <cell r="I1635" t="str">
            <v>委内瑞拉</v>
          </cell>
          <cell r="J1635" t="str">
            <v>Venezuela</v>
          </cell>
          <cell r="K1635" t="str">
            <v>Local employees</v>
          </cell>
          <cell r="L1635" t="str">
            <v>L0</v>
          </cell>
          <cell r="M1635" t="str">
            <v>ALL</v>
          </cell>
          <cell r="N1635" t="str">
            <v>FLPC(含奖金)</v>
          </cell>
          <cell r="O1635" t="str">
            <v>USD/小时</v>
          </cell>
          <cell r="P1635">
            <v>38.01</v>
          </cell>
        </row>
        <row r="1636">
          <cell r="A1636" t="str">
            <v>Venezuela - Local employees - L1</v>
          </cell>
          <cell r="B1636" t="str">
            <v>Current version</v>
          </cell>
          <cell r="C1636" t="str">
            <v>V2009R2</v>
          </cell>
          <cell r="D1636" t="str">
            <v>Labor Rate</v>
          </cell>
          <cell r="E1636" t="str">
            <v>LA</v>
          </cell>
          <cell r="F1636" t="str">
            <v>Northern South America Sub-Regional Division</v>
          </cell>
          <cell r="G1636" t="str">
            <v>Venezuela Rep.O.</v>
          </cell>
          <cell r="H1636" t="str">
            <v>6009</v>
          </cell>
          <cell r="I1636" t="str">
            <v>委内瑞拉</v>
          </cell>
          <cell r="J1636" t="str">
            <v>Venezuela</v>
          </cell>
          <cell r="K1636" t="str">
            <v>Local employees</v>
          </cell>
          <cell r="L1636" t="str">
            <v>L1</v>
          </cell>
          <cell r="M1636" t="str">
            <v>ALL</v>
          </cell>
          <cell r="N1636" t="str">
            <v>FLPC(含奖金)</v>
          </cell>
          <cell r="O1636" t="str">
            <v>USD/小时</v>
          </cell>
          <cell r="P1636">
            <v>44.03</v>
          </cell>
        </row>
        <row r="1637">
          <cell r="A1637" t="str">
            <v>Venezuela - Local employees - L2</v>
          </cell>
          <cell r="B1637" t="str">
            <v>Current version</v>
          </cell>
          <cell r="C1637" t="str">
            <v>V2009R2</v>
          </cell>
          <cell r="D1637" t="str">
            <v>Labor Rate</v>
          </cell>
          <cell r="E1637" t="str">
            <v>LA</v>
          </cell>
          <cell r="F1637" t="str">
            <v>Northern South America Sub-Regional Division</v>
          </cell>
          <cell r="G1637" t="str">
            <v>Venezuela Rep.O.</v>
          </cell>
          <cell r="H1637" t="str">
            <v>6009</v>
          </cell>
          <cell r="I1637" t="str">
            <v>委内瑞拉</v>
          </cell>
          <cell r="J1637" t="str">
            <v>Venezuela</v>
          </cell>
          <cell r="K1637" t="str">
            <v>Local employees</v>
          </cell>
          <cell r="L1637" t="str">
            <v>L2</v>
          </cell>
          <cell r="M1637" t="str">
            <v>ALL</v>
          </cell>
          <cell r="N1637" t="str">
            <v>FLPC(含奖金)</v>
          </cell>
          <cell r="O1637" t="str">
            <v>USD/小时</v>
          </cell>
          <cell r="P1637">
            <v>58.56</v>
          </cell>
        </row>
        <row r="1638">
          <cell r="A1638" t="str">
            <v>Venezuela - Local employees - L3</v>
          </cell>
          <cell r="B1638" t="str">
            <v>Current version</v>
          </cell>
          <cell r="C1638" t="str">
            <v>V2009R2</v>
          </cell>
          <cell r="D1638" t="str">
            <v>Labor Rate</v>
          </cell>
          <cell r="E1638" t="str">
            <v>LA</v>
          </cell>
          <cell r="F1638" t="str">
            <v>Northern South America Sub-Regional Division</v>
          </cell>
          <cell r="G1638" t="str">
            <v>Venezuela Rep.O.</v>
          </cell>
          <cell r="H1638" t="str">
            <v>6009</v>
          </cell>
          <cell r="I1638" t="str">
            <v>委内瑞拉</v>
          </cell>
          <cell r="J1638" t="str">
            <v>Venezuela</v>
          </cell>
          <cell r="K1638" t="str">
            <v>Local employees</v>
          </cell>
          <cell r="L1638" t="str">
            <v>L3</v>
          </cell>
          <cell r="M1638" t="str">
            <v>ALL</v>
          </cell>
          <cell r="N1638" t="str">
            <v>FLPC(含奖金)</v>
          </cell>
          <cell r="O1638" t="str">
            <v>USD/小时</v>
          </cell>
          <cell r="P1638">
            <v>87.66</v>
          </cell>
        </row>
        <row r="1639">
          <cell r="A1639" t="str">
            <v>Venezuela - Local employees - L4</v>
          </cell>
          <cell r="B1639" t="str">
            <v>Current version</v>
          </cell>
          <cell r="C1639" t="str">
            <v>V2009R2</v>
          </cell>
          <cell r="D1639" t="str">
            <v>Labor Rate</v>
          </cell>
          <cell r="E1639" t="str">
            <v>LA</v>
          </cell>
          <cell r="F1639" t="str">
            <v>Northern South America Sub-Regional Division</v>
          </cell>
          <cell r="G1639" t="str">
            <v>Venezuela Rep.O.</v>
          </cell>
          <cell r="H1639" t="str">
            <v>6009</v>
          </cell>
          <cell r="I1639" t="str">
            <v>委内瑞拉</v>
          </cell>
          <cell r="J1639" t="str">
            <v>Venezuela</v>
          </cell>
          <cell r="K1639" t="str">
            <v>Local employees</v>
          </cell>
          <cell r="L1639" t="str">
            <v>L4</v>
          </cell>
          <cell r="M1639" t="str">
            <v>ALL</v>
          </cell>
          <cell r="N1639" t="str">
            <v>FLPC(含奖金)</v>
          </cell>
          <cell r="O1639" t="str">
            <v>USD/小时</v>
          </cell>
          <cell r="P1639">
            <v>129.58000000000001</v>
          </cell>
        </row>
        <row r="1640">
          <cell r="A1640" t="str">
            <v>Trinidad and Tobago - Local employees - L0</v>
          </cell>
          <cell r="B1640" t="str">
            <v>Current version</v>
          </cell>
          <cell r="C1640" t="str">
            <v>V2009R2</v>
          </cell>
          <cell r="D1640" t="str">
            <v>Labor Rate</v>
          </cell>
          <cell r="E1640" t="str">
            <v>LA</v>
          </cell>
          <cell r="F1640" t="str">
            <v>Northern South America Sub-Regional Division</v>
          </cell>
          <cell r="G1640" t="str">
            <v>Venezuela Rep.O.</v>
          </cell>
          <cell r="H1640" t="str">
            <v>6022</v>
          </cell>
          <cell r="I1640" t="str">
            <v>特立尼达和多巴哥</v>
          </cell>
          <cell r="J1640" t="str">
            <v>Trinidad and Tobago</v>
          </cell>
          <cell r="K1640" t="str">
            <v>Local employees</v>
          </cell>
          <cell r="L1640" t="str">
            <v>L0</v>
          </cell>
          <cell r="M1640" t="str">
            <v>ALL</v>
          </cell>
          <cell r="N1640" t="str">
            <v>FLPC(含奖金)</v>
          </cell>
          <cell r="O1640" t="str">
            <v>USD/小时</v>
          </cell>
          <cell r="P1640">
            <v>29.78</v>
          </cell>
        </row>
        <row r="1641">
          <cell r="A1641" t="str">
            <v>Trinidad and Tobago - Local employees - L1</v>
          </cell>
          <cell r="B1641" t="str">
            <v>Current version</v>
          </cell>
          <cell r="C1641" t="str">
            <v>V2009R2</v>
          </cell>
          <cell r="D1641" t="str">
            <v>Labor Rate</v>
          </cell>
          <cell r="E1641" t="str">
            <v>LA</v>
          </cell>
          <cell r="F1641" t="str">
            <v>Northern South America Sub-Regional Division</v>
          </cell>
          <cell r="G1641" t="str">
            <v>Venezuela Rep.O.</v>
          </cell>
          <cell r="H1641" t="str">
            <v>6022</v>
          </cell>
          <cell r="I1641" t="str">
            <v>特立尼达和多巴哥</v>
          </cell>
          <cell r="J1641" t="str">
            <v>Trinidad and Tobago</v>
          </cell>
          <cell r="K1641" t="str">
            <v>Local employees</v>
          </cell>
          <cell r="L1641" t="str">
            <v>L1</v>
          </cell>
          <cell r="M1641" t="str">
            <v>ALL</v>
          </cell>
          <cell r="N1641" t="str">
            <v>FLPC(含奖金)</v>
          </cell>
          <cell r="O1641" t="str">
            <v>USD/小时</v>
          </cell>
          <cell r="P1641">
            <v>31.64</v>
          </cell>
        </row>
        <row r="1642">
          <cell r="A1642" t="str">
            <v>Trinidad and Tobago - Local employees - L2</v>
          </cell>
          <cell r="B1642" t="str">
            <v>Current version</v>
          </cell>
          <cell r="C1642" t="str">
            <v>V2009R2</v>
          </cell>
          <cell r="D1642" t="str">
            <v>Labor Rate</v>
          </cell>
          <cell r="E1642" t="str">
            <v>LA</v>
          </cell>
          <cell r="F1642" t="str">
            <v>Northern South America Sub-Regional Division</v>
          </cell>
          <cell r="G1642" t="str">
            <v>Venezuela Rep.O.</v>
          </cell>
          <cell r="H1642" t="str">
            <v>6022</v>
          </cell>
          <cell r="I1642" t="str">
            <v>特立尼达和多巴哥</v>
          </cell>
          <cell r="J1642" t="str">
            <v>Trinidad and Tobago</v>
          </cell>
          <cell r="K1642" t="str">
            <v>Local employees</v>
          </cell>
          <cell r="L1642" t="str">
            <v>L2</v>
          </cell>
          <cell r="M1642" t="str">
            <v>ALL</v>
          </cell>
          <cell r="N1642" t="str">
            <v>FLPC(含奖金)</v>
          </cell>
          <cell r="O1642" t="str">
            <v>USD/小时</v>
          </cell>
          <cell r="P1642">
            <v>40.94</v>
          </cell>
        </row>
        <row r="1643">
          <cell r="A1643" t="str">
            <v>Trinidad and Tobago - Local employees - L3</v>
          </cell>
          <cell r="B1643" t="str">
            <v>Current version</v>
          </cell>
          <cell r="C1643" t="str">
            <v>V2009R2</v>
          </cell>
          <cell r="D1643" t="str">
            <v>Labor Rate</v>
          </cell>
          <cell r="E1643" t="str">
            <v>LA</v>
          </cell>
          <cell r="F1643" t="str">
            <v>Northern South America Sub-Regional Division</v>
          </cell>
          <cell r="G1643" t="str">
            <v>Venezuela Rep.O.</v>
          </cell>
          <cell r="H1643" t="str">
            <v>6022</v>
          </cell>
          <cell r="I1643" t="str">
            <v>特立尼达和多巴哥</v>
          </cell>
          <cell r="J1643" t="str">
            <v>Trinidad and Tobago</v>
          </cell>
          <cell r="K1643" t="str">
            <v>Local employees</v>
          </cell>
          <cell r="L1643" t="str">
            <v>L3</v>
          </cell>
          <cell r="M1643" t="str">
            <v>ALL</v>
          </cell>
          <cell r="N1643" t="str">
            <v>FLPC(含奖金)</v>
          </cell>
          <cell r="O1643" t="str">
            <v>USD/小时</v>
          </cell>
          <cell r="P1643">
            <v>51.64</v>
          </cell>
        </row>
        <row r="1644">
          <cell r="A1644" t="str">
            <v>Trinidad and Tobago - Local employees - L4</v>
          </cell>
          <cell r="B1644" t="str">
            <v>Current version</v>
          </cell>
          <cell r="C1644" t="str">
            <v>V2009R2</v>
          </cell>
          <cell r="D1644" t="str">
            <v>Labor Rate</v>
          </cell>
          <cell r="E1644" t="str">
            <v>LA</v>
          </cell>
          <cell r="F1644" t="str">
            <v>Northern South America Sub-Regional Division</v>
          </cell>
          <cell r="G1644" t="str">
            <v>Venezuela Rep.O.</v>
          </cell>
          <cell r="H1644" t="str">
            <v>6022</v>
          </cell>
          <cell r="I1644" t="str">
            <v>特立尼达和多巴哥</v>
          </cell>
          <cell r="J1644" t="str">
            <v>Trinidad and Tobago</v>
          </cell>
          <cell r="K1644" t="str">
            <v>Local employees</v>
          </cell>
          <cell r="L1644" t="str">
            <v>L4</v>
          </cell>
          <cell r="M1644" t="str">
            <v>ALL</v>
          </cell>
          <cell r="N1644" t="str">
            <v>FLPC(含奖金)</v>
          </cell>
          <cell r="O1644" t="str">
            <v>USD/小时</v>
          </cell>
          <cell r="P1644">
            <v>72.569999999999993</v>
          </cell>
        </row>
        <row r="1645">
          <cell r="A1645" t="str">
            <v>Peru - Local employees - L0</v>
          </cell>
          <cell r="B1645" t="str">
            <v>Current version</v>
          </cell>
          <cell r="C1645" t="str">
            <v>V2009R2</v>
          </cell>
          <cell r="D1645" t="str">
            <v>Labor Rate</v>
          </cell>
          <cell r="E1645" t="str">
            <v>LA</v>
          </cell>
          <cell r="F1645" t="str">
            <v>Northern South America Sub-Regional Division</v>
          </cell>
          <cell r="G1645" t="str">
            <v>Peru/Ecuador Rep.O.</v>
          </cell>
          <cell r="H1645" t="str">
            <v>6002</v>
          </cell>
          <cell r="I1645" t="str">
            <v>秘鲁</v>
          </cell>
          <cell r="J1645" t="str">
            <v>Peru</v>
          </cell>
          <cell r="K1645" t="str">
            <v>Local employees</v>
          </cell>
          <cell r="L1645" t="str">
            <v>L0</v>
          </cell>
          <cell r="M1645" t="str">
            <v>ALL</v>
          </cell>
          <cell r="N1645" t="str">
            <v>FLPC(含奖金)</v>
          </cell>
          <cell r="O1645" t="str">
            <v>USD/小时</v>
          </cell>
          <cell r="P1645">
            <v>31</v>
          </cell>
        </row>
        <row r="1646">
          <cell r="A1646" t="str">
            <v>Peru - Local employees - L1</v>
          </cell>
          <cell r="B1646" t="str">
            <v>Current version</v>
          </cell>
          <cell r="C1646" t="str">
            <v>V2009R2</v>
          </cell>
          <cell r="D1646" t="str">
            <v>Labor Rate</v>
          </cell>
          <cell r="E1646" t="str">
            <v>LA</v>
          </cell>
          <cell r="F1646" t="str">
            <v>Northern South America Sub-Regional Division</v>
          </cell>
          <cell r="G1646" t="str">
            <v>Peru/Ecuador Rep.O.</v>
          </cell>
          <cell r="H1646" t="str">
            <v>6002</v>
          </cell>
          <cell r="I1646" t="str">
            <v>秘鲁</v>
          </cell>
          <cell r="J1646" t="str">
            <v>Peru</v>
          </cell>
          <cell r="K1646" t="str">
            <v>Local employees</v>
          </cell>
          <cell r="L1646" t="str">
            <v>L1</v>
          </cell>
          <cell r="M1646" t="str">
            <v>ALL</v>
          </cell>
          <cell r="N1646" t="str">
            <v>FLPC(含奖金)</v>
          </cell>
          <cell r="O1646" t="str">
            <v>USD/小时</v>
          </cell>
          <cell r="P1646">
            <v>33.44</v>
          </cell>
        </row>
        <row r="1647">
          <cell r="A1647" t="str">
            <v>北欧地区部总部 - Chinese employees - L3</v>
          </cell>
          <cell r="B1647" t="str">
            <v>Current version</v>
          </cell>
          <cell r="C1647" t="str">
            <v>V2009R2</v>
          </cell>
          <cell r="D1647" t="str">
            <v>Labor Rate</v>
          </cell>
          <cell r="E1647" t="str">
            <v>EU</v>
          </cell>
          <cell r="F1647" t="str">
            <v>CEE&amp;Nordic European Sub-Regional Division</v>
          </cell>
          <cell r="G1647" t="str">
            <v>北欧地区部总部</v>
          </cell>
          <cell r="H1647" t="str">
            <v>3618</v>
          </cell>
          <cell r="I1647" t="str">
            <v>北欧地区部总部</v>
          </cell>
          <cell r="J1647" t="str">
            <v>北欧地区部总部</v>
          </cell>
          <cell r="K1647" t="str">
            <v>Chinese employees</v>
          </cell>
          <cell r="L1647" t="str">
            <v>L3</v>
          </cell>
          <cell r="M1647" t="str">
            <v>ALL</v>
          </cell>
          <cell r="N1647" t="str">
            <v>FLPC(含奖金)</v>
          </cell>
          <cell r="O1647" t="str">
            <v>USD/小时</v>
          </cell>
          <cell r="P1647">
            <v>88.13</v>
          </cell>
        </row>
        <row r="1648">
          <cell r="A1648" t="str">
            <v>A1(Afghanistan) - Local employees - L1</v>
          </cell>
          <cell r="B1648" t="str">
            <v>Current version</v>
          </cell>
          <cell r="C1648" t="str">
            <v>V2009R2</v>
          </cell>
          <cell r="D1648" t="str">
            <v>Labor Rate</v>
          </cell>
          <cell r="E1648" t="str">
            <v>MENA</v>
          </cell>
          <cell r="F1648" t="str">
            <v>Middle East Sub-Regional Division</v>
          </cell>
          <cell r="G1648" t="str">
            <v>Pakistan Rep.O.</v>
          </cell>
          <cell r="H1648" t="str">
            <v>1206</v>
          </cell>
          <cell r="I1648" t="str">
            <v>A1阿富汗</v>
          </cell>
          <cell r="J1648" t="str">
            <v>A1(Afghanistan)</v>
          </cell>
          <cell r="K1648" t="str">
            <v>Local employees</v>
          </cell>
          <cell r="L1648" t="str">
            <v>L1</v>
          </cell>
          <cell r="M1648" t="str">
            <v>ALL</v>
          </cell>
          <cell r="N1648" t="str">
            <v>FLPC(含奖金)</v>
          </cell>
          <cell r="O1648" t="str">
            <v>USD/小时</v>
          </cell>
          <cell r="P1648">
            <v>12.97</v>
          </cell>
        </row>
        <row r="1649">
          <cell r="A1649" t="str">
            <v>A1(Afghanistan) - Local employees - L2</v>
          </cell>
          <cell r="B1649" t="str">
            <v>Current version</v>
          </cell>
          <cell r="C1649" t="str">
            <v>V2009R2</v>
          </cell>
          <cell r="D1649" t="str">
            <v>Labor Rate</v>
          </cell>
          <cell r="E1649" t="str">
            <v>MENA</v>
          </cell>
          <cell r="F1649" t="str">
            <v>Middle East Sub-Regional Division</v>
          </cell>
          <cell r="G1649" t="str">
            <v>Pakistan Rep.O.</v>
          </cell>
          <cell r="H1649" t="str">
            <v>1206</v>
          </cell>
          <cell r="I1649" t="str">
            <v>A1阿富汗</v>
          </cell>
          <cell r="J1649" t="str">
            <v>A1(Afghanistan)</v>
          </cell>
          <cell r="K1649" t="str">
            <v>Local employees</v>
          </cell>
          <cell r="L1649" t="str">
            <v>L2</v>
          </cell>
          <cell r="M1649" t="str">
            <v>ALL</v>
          </cell>
          <cell r="N1649" t="str">
            <v>FLPC(含奖金)</v>
          </cell>
          <cell r="O1649" t="str">
            <v>USD/小时</v>
          </cell>
          <cell r="P1649">
            <v>19.98</v>
          </cell>
        </row>
        <row r="1650">
          <cell r="A1650" t="str">
            <v>A1(Afghanistan) - Local employees - L3</v>
          </cell>
          <cell r="B1650" t="str">
            <v>Current version</v>
          </cell>
          <cell r="C1650" t="str">
            <v>V2009R2</v>
          </cell>
          <cell r="D1650" t="str">
            <v>Labor Rate</v>
          </cell>
          <cell r="E1650" t="str">
            <v>MENA</v>
          </cell>
          <cell r="F1650" t="str">
            <v>Middle East Sub-Regional Division</v>
          </cell>
          <cell r="G1650" t="str">
            <v>Pakistan Rep.O.</v>
          </cell>
          <cell r="H1650" t="str">
            <v>1206</v>
          </cell>
          <cell r="I1650" t="str">
            <v>A1阿富汗</v>
          </cell>
          <cell r="J1650" t="str">
            <v>A1(Afghanistan)</v>
          </cell>
          <cell r="K1650" t="str">
            <v>Local employees</v>
          </cell>
          <cell r="L1650" t="str">
            <v>L3</v>
          </cell>
          <cell r="M1650" t="str">
            <v>ALL</v>
          </cell>
          <cell r="N1650" t="str">
            <v>FLPC(含奖金)</v>
          </cell>
          <cell r="O1650" t="str">
            <v>USD/小时</v>
          </cell>
          <cell r="P1650">
            <v>42.4</v>
          </cell>
        </row>
        <row r="1651">
          <cell r="A1651" t="str">
            <v>A1(Afghanistan) - Local employees - L4</v>
          </cell>
          <cell r="B1651" t="str">
            <v>Current version</v>
          </cell>
          <cell r="C1651" t="str">
            <v>V2009R2</v>
          </cell>
          <cell r="D1651" t="str">
            <v>Labor Rate</v>
          </cell>
          <cell r="E1651" t="str">
            <v>MENA</v>
          </cell>
          <cell r="F1651" t="str">
            <v>Middle East Sub-Regional Division</v>
          </cell>
          <cell r="G1651" t="str">
            <v>Pakistan Rep.O.</v>
          </cell>
          <cell r="H1651" t="str">
            <v>1206</v>
          </cell>
          <cell r="I1651" t="str">
            <v>A1阿富汗</v>
          </cell>
          <cell r="J1651" t="str">
            <v>A1(Afghanistan)</v>
          </cell>
          <cell r="K1651" t="str">
            <v>Local employees</v>
          </cell>
          <cell r="L1651" t="str">
            <v>L4</v>
          </cell>
          <cell r="M1651" t="str">
            <v>ALL</v>
          </cell>
          <cell r="N1651" t="str">
            <v>FLPC(含奖金)</v>
          </cell>
          <cell r="O1651" t="str">
            <v>USD/小时</v>
          </cell>
          <cell r="P1651">
            <v>60.62</v>
          </cell>
        </row>
        <row r="1652">
          <cell r="A1652" t="str">
            <v>Pakistan Lahore Office - Local employees - L0</v>
          </cell>
          <cell r="B1652" t="str">
            <v>Current version</v>
          </cell>
          <cell r="C1652" t="str">
            <v>V2009R2</v>
          </cell>
          <cell r="D1652" t="str">
            <v>Labor Rate</v>
          </cell>
          <cell r="E1652" t="str">
            <v>MENA</v>
          </cell>
          <cell r="F1652" t="str">
            <v>Middle East Sub-Regional Division</v>
          </cell>
          <cell r="G1652" t="str">
            <v>Pakistan Rep.O.</v>
          </cell>
          <cell r="H1652" t="str">
            <v>5027</v>
          </cell>
          <cell r="I1652" t="str">
            <v>巴基斯坦拉合尔办事处</v>
          </cell>
          <cell r="J1652" t="str">
            <v>Pakistan Lahore Office</v>
          </cell>
          <cell r="K1652" t="str">
            <v>Local employees</v>
          </cell>
          <cell r="L1652" t="str">
            <v>L0</v>
          </cell>
          <cell r="M1652" t="str">
            <v>ALL</v>
          </cell>
          <cell r="N1652" t="str">
            <v>FLPC(含奖金)</v>
          </cell>
          <cell r="O1652" t="str">
            <v>USD/小时</v>
          </cell>
          <cell r="P1652">
            <v>8.6</v>
          </cell>
        </row>
        <row r="1653">
          <cell r="A1653" t="str">
            <v>Pakistan Lahore Office - Local employees - L1</v>
          </cell>
          <cell r="B1653" t="str">
            <v>Current version</v>
          </cell>
          <cell r="C1653" t="str">
            <v>V2009R2</v>
          </cell>
          <cell r="D1653" t="str">
            <v>Labor Rate</v>
          </cell>
          <cell r="E1653" t="str">
            <v>MENA</v>
          </cell>
          <cell r="F1653" t="str">
            <v>Middle East Sub-Regional Division</v>
          </cell>
          <cell r="G1653" t="str">
            <v>Pakistan Rep.O.</v>
          </cell>
          <cell r="H1653" t="str">
            <v>5027</v>
          </cell>
          <cell r="I1653" t="str">
            <v>巴基斯坦拉合尔办事处</v>
          </cell>
          <cell r="J1653" t="str">
            <v>Pakistan Lahore Office</v>
          </cell>
          <cell r="K1653" t="str">
            <v>Local employees</v>
          </cell>
          <cell r="L1653" t="str">
            <v>L1</v>
          </cell>
          <cell r="M1653" t="str">
            <v>ALL</v>
          </cell>
          <cell r="N1653" t="str">
            <v>FLPC(含奖金)</v>
          </cell>
          <cell r="O1653" t="str">
            <v>USD/小时</v>
          </cell>
          <cell r="P1653">
            <v>9.17</v>
          </cell>
        </row>
        <row r="1654">
          <cell r="A1654" t="str">
            <v>Pakistan Lahore Office - Local employees - L2</v>
          </cell>
          <cell r="B1654" t="str">
            <v>Current version</v>
          </cell>
          <cell r="C1654" t="str">
            <v>V2009R2</v>
          </cell>
          <cell r="D1654" t="str">
            <v>Labor Rate</v>
          </cell>
          <cell r="E1654" t="str">
            <v>MENA</v>
          </cell>
          <cell r="F1654" t="str">
            <v>Middle East Sub-Regional Division</v>
          </cell>
          <cell r="G1654" t="str">
            <v>Pakistan Rep.O.</v>
          </cell>
          <cell r="H1654" t="str">
            <v>5027</v>
          </cell>
          <cell r="I1654" t="str">
            <v>巴基斯坦拉合尔办事处</v>
          </cell>
          <cell r="J1654" t="str">
            <v>Pakistan Lahore Office</v>
          </cell>
          <cell r="K1654" t="str">
            <v>Local employees</v>
          </cell>
          <cell r="L1654" t="str">
            <v>L2</v>
          </cell>
          <cell r="M1654" t="str">
            <v>ALL</v>
          </cell>
          <cell r="N1654" t="str">
            <v>FLPC(含奖金)</v>
          </cell>
          <cell r="O1654" t="str">
            <v>USD/小时</v>
          </cell>
          <cell r="P1654">
            <v>12.37</v>
          </cell>
        </row>
        <row r="1655">
          <cell r="A1655" t="str">
            <v>Pakistan Lahore Office - Local employees - L3</v>
          </cell>
          <cell r="B1655" t="str">
            <v>Current version</v>
          </cell>
          <cell r="C1655" t="str">
            <v>V2009R2</v>
          </cell>
          <cell r="D1655" t="str">
            <v>Labor Rate</v>
          </cell>
          <cell r="E1655" t="str">
            <v>MENA</v>
          </cell>
          <cell r="F1655" t="str">
            <v>Middle East Sub-Regional Division</v>
          </cell>
          <cell r="G1655" t="str">
            <v>Pakistan Rep.O.</v>
          </cell>
          <cell r="H1655" t="str">
            <v>5027</v>
          </cell>
          <cell r="I1655" t="str">
            <v>巴基斯坦拉合尔办事处</v>
          </cell>
          <cell r="J1655" t="str">
            <v>Pakistan Lahore Office</v>
          </cell>
          <cell r="K1655" t="str">
            <v>Local employees</v>
          </cell>
          <cell r="L1655" t="str">
            <v>L3</v>
          </cell>
          <cell r="M1655" t="str">
            <v>ALL</v>
          </cell>
          <cell r="N1655" t="str">
            <v>FLPC(含奖金)</v>
          </cell>
          <cell r="O1655" t="str">
            <v>USD/小时</v>
          </cell>
          <cell r="P1655">
            <v>22.6</v>
          </cell>
        </row>
        <row r="1656">
          <cell r="A1656" t="str">
            <v>Pakistan Lahore Office - Local employees - L4</v>
          </cell>
          <cell r="B1656" t="str">
            <v>Current version</v>
          </cell>
          <cell r="C1656" t="str">
            <v>V2009R2</v>
          </cell>
          <cell r="D1656" t="str">
            <v>Labor Rate</v>
          </cell>
          <cell r="E1656" t="str">
            <v>MENA</v>
          </cell>
          <cell r="F1656" t="str">
            <v>Middle East Sub-Regional Division</v>
          </cell>
          <cell r="G1656" t="str">
            <v>Pakistan Rep.O.</v>
          </cell>
          <cell r="H1656" t="str">
            <v>5027</v>
          </cell>
          <cell r="I1656" t="str">
            <v>巴基斯坦拉合尔办事处</v>
          </cell>
          <cell r="J1656" t="str">
            <v>Pakistan Lahore Office</v>
          </cell>
          <cell r="K1656" t="str">
            <v>Local employees</v>
          </cell>
          <cell r="L1656" t="str">
            <v>L4</v>
          </cell>
          <cell r="M1656" t="str">
            <v>ALL</v>
          </cell>
          <cell r="N1656" t="str">
            <v>FLPC(含奖金)</v>
          </cell>
          <cell r="O1656" t="str">
            <v>USD/小时</v>
          </cell>
          <cell r="P1656">
            <v>30.92</v>
          </cell>
        </row>
        <row r="1657">
          <cell r="A1657" t="str">
            <v>Oman - Local employees - L0</v>
          </cell>
          <cell r="B1657" t="str">
            <v>Current version</v>
          </cell>
          <cell r="C1657" t="str">
            <v>V2009R2</v>
          </cell>
          <cell r="D1657" t="str">
            <v>Labor Rate</v>
          </cell>
          <cell r="E1657" t="str">
            <v>MENA</v>
          </cell>
          <cell r="F1657" t="str">
            <v>Middle East Sub-Regional Division</v>
          </cell>
          <cell r="G1657" t="str">
            <v>Oman</v>
          </cell>
          <cell r="H1657" t="str">
            <v>5009</v>
          </cell>
          <cell r="I1657" t="str">
            <v>阿曼</v>
          </cell>
          <cell r="J1657" t="str">
            <v>Oman</v>
          </cell>
          <cell r="K1657" t="str">
            <v>Local employees</v>
          </cell>
          <cell r="L1657" t="str">
            <v>L0</v>
          </cell>
          <cell r="M1657" t="str">
            <v>ALL</v>
          </cell>
          <cell r="N1657" t="str">
            <v>FLPC(含奖金)</v>
          </cell>
          <cell r="O1657" t="str">
            <v>USD/小时</v>
          </cell>
          <cell r="P1657">
            <v>20.7</v>
          </cell>
        </row>
        <row r="1658">
          <cell r="A1658" t="str">
            <v>Oman - Local employees - L1</v>
          </cell>
          <cell r="B1658" t="str">
            <v>Current version</v>
          </cell>
          <cell r="C1658" t="str">
            <v>V2009R2</v>
          </cell>
          <cell r="D1658" t="str">
            <v>Labor Rate</v>
          </cell>
          <cell r="E1658" t="str">
            <v>MENA</v>
          </cell>
          <cell r="F1658" t="str">
            <v>Middle East Sub-Regional Division</v>
          </cell>
          <cell r="G1658" t="str">
            <v>Oman</v>
          </cell>
          <cell r="H1658" t="str">
            <v>5009</v>
          </cell>
          <cell r="I1658" t="str">
            <v>阿曼</v>
          </cell>
          <cell r="J1658" t="str">
            <v>Oman</v>
          </cell>
          <cell r="K1658" t="str">
            <v>Local employees</v>
          </cell>
          <cell r="L1658" t="str">
            <v>L1</v>
          </cell>
          <cell r="M1658" t="str">
            <v>ALL</v>
          </cell>
          <cell r="N1658" t="str">
            <v>FLPC(含奖金)</v>
          </cell>
          <cell r="O1658" t="str">
            <v>USD/小时</v>
          </cell>
          <cell r="P1658">
            <v>24.92</v>
          </cell>
        </row>
        <row r="1659">
          <cell r="A1659" t="str">
            <v>Oman - Local employees - L2</v>
          </cell>
          <cell r="B1659" t="str">
            <v>Current version</v>
          </cell>
          <cell r="C1659" t="str">
            <v>V2009R2</v>
          </cell>
          <cell r="D1659" t="str">
            <v>Labor Rate</v>
          </cell>
          <cell r="E1659" t="str">
            <v>MENA</v>
          </cell>
          <cell r="F1659" t="str">
            <v>Middle East Sub-Regional Division</v>
          </cell>
          <cell r="G1659" t="str">
            <v>Oman</v>
          </cell>
          <cell r="H1659" t="str">
            <v>5009</v>
          </cell>
          <cell r="I1659" t="str">
            <v>阿曼</v>
          </cell>
          <cell r="J1659" t="str">
            <v>Oman</v>
          </cell>
          <cell r="K1659" t="str">
            <v>Local employees</v>
          </cell>
          <cell r="L1659" t="str">
            <v>L2</v>
          </cell>
          <cell r="M1659" t="str">
            <v>ALL</v>
          </cell>
          <cell r="N1659" t="str">
            <v>FLPC(含奖金)</v>
          </cell>
          <cell r="O1659" t="str">
            <v>USD/小时</v>
          </cell>
          <cell r="P1659">
            <v>47.41</v>
          </cell>
        </row>
        <row r="1660">
          <cell r="A1660" t="str">
            <v>Oman - Local employees - L3</v>
          </cell>
          <cell r="B1660" t="str">
            <v>Current version</v>
          </cell>
          <cell r="C1660" t="str">
            <v>V2009R2</v>
          </cell>
          <cell r="D1660" t="str">
            <v>Labor Rate</v>
          </cell>
          <cell r="E1660" t="str">
            <v>MENA</v>
          </cell>
          <cell r="F1660" t="str">
            <v>Middle East Sub-Regional Division</v>
          </cell>
          <cell r="G1660" t="str">
            <v>Oman</v>
          </cell>
          <cell r="H1660" t="str">
            <v>5009</v>
          </cell>
          <cell r="I1660" t="str">
            <v>阿曼</v>
          </cell>
          <cell r="J1660" t="str">
            <v>Oman</v>
          </cell>
          <cell r="K1660" t="str">
            <v>Local employees</v>
          </cell>
          <cell r="L1660" t="str">
            <v>L3</v>
          </cell>
          <cell r="M1660" t="str">
            <v>ALL</v>
          </cell>
          <cell r="N1660" t="str">
            <v>FLPC(含奖金)</v>
          </cell>
          <cell r="O1660" t="str">
            <v>USD/小时</v>
          </cell>
          <cell r="P1660">
            <v>98.54</v>
          </cell>
        </row>
        <row r="1661">
          <cell r="A1661" t="str">
            <v>Oman - Local employees - L4</v>
          </cell>
          <cell r="B1661" t="str">
            <v>Current version</v>
          </cell>
          <cell r="C1661" t="str">
            <v>V2009R2</v>
          </cell>
          <cell r="D1661" t="str">
            <v>Labor Rate</v>
          </cell>
          <cell r="E1661" t="str">
            <v>MENA</v>
          </cell>
          <cell r="F1661" t="str">
            <v>Middle East Sub-Regional Division</v>
          </cell>
          <cell r="G1661" t="str">
            <v>Oman</v>
          </cell>
          <cell r="H1661" t="str">
            <v>5009</v>
          </cell>
          <cell r="I1661" t="str">
            <v>阿曼</v>
          </cell>
          <cell r="J1661" t="str">
            <v>Oman</v>
          </cell>
          <cell r="K1661" t="str">
            <v>Local employees</v>
          </cell>
          <cell r="L1661" t="str">
            <v>L4</v>
          </cell>
          <cell r="M1661" t="str">
            <v>ALL</v>
          </cell>
          <cell r="N1661" t="str">
            <v>FLPC(含奖金)</v>
          </cell>
          <cell r="O1661" t="str">
            <v>USD/小时</v>
          </cell>
          <cell r="P1661">
            <v>116.16</v>
          </cell>
        </row>
        <row r="1662">
          <cell r="A1662" t="str">
            <v>Kuwait - Local employees - L0</v>
          </cell>
          <cell r="B1662" t="str">
            <v>Current version</v>
          </cell>
          <cell r="C1662" t="str">
            <v>V2009R2</v>
          </cell>
          <cell r="D1662" t="str">
            <v>Labor Rate</v>
          </cell>
          <cell r="E1662" t="str">
            <v>MENA</v>
          </cell>
          <cell r="F1662" t="str">
            <v>Middle East Sub-Regional Division</v>
          </cell>
          <cell r="G1662" t="str">
            <v>Kuwait</v>
          </cell>
          <cell r="H1662" t="str">
            <v>5012</v>
          </cell>
          <cell r="I1662" t="str">
            <v>科威特</v>
          </cell>
          <cell r="J1662" t="str">
            <v>Kuwait</v>
          </cell>
          <cell r="K1662" t="str">
            <v>Local employees</v>
          </cell>
          <cell r="L1662" t="str">
            <v>L0</v>
          </cell>
          <cell r="M1662" t="str">
            <v>ALL</v>
          </cell>
          <cell r="N1662" t="str">
            <v>FLPC(含奖金)</v>
          </cell>
          <cell r="O1662" t="str">
            <v>USD/小时</v>
          </cell>
          <cell r="P1662">
            <v>22.33</v>
          </cell>
        </row>
        <row r="1663">
          <cell r="A1663" t="str">
            <v>Kuwait - Local employees - L1</v>
          </cell>
          <cell r="B1663" t="str">
            <v>Current version</v>
          </cell>
          <cell r="C1663" t="str">
            <v>V2009R2</v>
          </cell>
          <cell r="D1663" t="str">
            <v>Labor Rate</v>
          </cell>
          <cell r="E1663" t="str">
            <v>MENA</v>
          </cell>
          <cell r="F1663" t="str">
            <v>Middle East Sub-Regional Division</v>
          </cell>
          <cell r="G1663" t="str">
            <v>Kuwait</v>
          </cell>
          <cell r="H1663" t="str">
            <v>5012</v>
          </cell>
          <cell r="I1663" t="str">
            <v>科威特</v>
          </cell>
          <cell r="J1663" t="str">
            <v>Kuwait</v>
          </cell>
          <cell r="K1663" t="str">
            <v>Local employees</v>
          </cell>
          <cell r="L1663" t="str">
            <v>L1</v>
          </cell>
          <cell r="M1663" t="str">
            <v>ALL</v>
          </cell>
          <cell r="N1663" t="str">
            <v>FLPC(含奖金)</v>
          </cell>
          <cell r="O1663" t="str">
            <v>USD/小时</v>
          </cell>
          <cell r="P1663">
            <v>36.090000000000003</v>
          </cell>
        </row>
        <row r="1664">
          <cell r="A1664" t="str">
            <v>Kuwait - Local employees - L2</v>
          </cell>
          <cell r="B1664" t="str">
            <v>Current version</v>
          </cell>
          <cell r="C1664" t="str">
            <v>V2009R2</v>
          </cell>
          <cell r="D1664" t="str">
            <v>Labor Rate</v>
          </cell>
          <cell r="E1664" t="str">
            <v>MENA</v>
          </cell>
          <cell r="F1664" t="str">
            <v>Middle East Sub-Regional Division</v>
          </cell>
          <cell r="G1664" t="str">
            <v>Kuwait</v>
          </cell>
          <cell r="H1664" t="str">
            <v>5012</v>
          </cell>
          <cell r="I1664" t="str">
            <v>科威特</v>
          </cell>
          <cell r="J1664" t="str">
            <v>Kuwait</v>
          </cell>
          <cell r="K1664" t="str">
            <v>Local employees</v>
          </cell>
          <cell r="L1664" t="str">
            <v>L2</v>
          </cell>
          <cell r="M1664" t="str">
            <v>ALL</v>
          </cell>
          <cell r="N1664" t="str">
            <v>FLPC(含奖金)</v>
          </cell>
          <cell r="O1664" t="str">
            <v>USD/小时</v>
          </cell>
          <cell r="P1664">
            <v>53.41</v>
          </cell>
        </row>
        <row r="1665">
          <cell r="A1665" t="str">
            <v>Kuwait - Local employees - L3</v>
          </cell>
          <cell r="B1665" t="str">
            <v>Current version</v>
          </cell>
          <cell r="C1665" t="str">
            <v>V2009R2</v>
          </cell>
          <cell r="D1665" t="str">
            <v>Labor Rate</v>
          </cell>
          <cell r="E1665" t="str">
            <v>MENA</v>
          </cell>
          <cell r="F1665" t="str">
            <v>Middle East Sub-Regional Division</v>
          </cell>
          <cell r="G1665" t="str">
            <v>Kuwait</v>
          </cell>
          <cell r="H1665" t="str">
            <v>5012</v>
          </cell>
          <cell r="I1665" t="str">
            <v>科威特</v>
          </cell>
          <cell r="J1665" t="str">
            <v>Kuwait</v>
          </cell>
          <cell r="K1665" t="str">
            <v>Local employees</v>
          </cell>
          <cell r="L1665" t="str">
            <v>L3</v>
          </cell>
          <cell r="M1665" t="str">
            <v>ALL</v>
          </cell>
          <cell r="N1665" t="str">
            <v>FLPC(含奖金)</v>
          </cell>
          <cell r="O1665" t="str">
            <v>USD/小时</v>
          </cell>
          <cell r="P1665">
            <v>86.64</v>
          </cell>
        </row>
        <row r="1666">
          <cell r="A1666" t="str">
            <v>Kuwait - Local employees - L4</v>
          </cell>
          <cell r="B1666" t="str">
            <v>Current version</v>
          </cell>
          <cell r="C1666" t="str">
            <v>V2009R2</v>
          </cell>
          <cell r="D1666" t="str">
            <v>Labor Rate</v>
          </cell>
          <cell r="E1666" t="str">
            <v>MENA</v>
          </cell>
          <cell r="F1666" t="str">
            <v>Middle East Sub-Regional Division</v>
          </cell>
          <cell r="G1666" t="str">
            <v>Kuwait</v>
          </cell>
          <cell r="H1666" t="str">
            <v>5012</v>
          </cell>
          <cell r="I1666" t="str">
            <v>科威特</v>
          </cell>
          <cell r="J1666" t="str">
            <v>Kuwait</v>
          </cell>
          <cell r="K1666" t="str">
            <v>Local employees</v>
          </cell>
          <cell r="L1666" t="str">
            <v>L4</v>
          </cell>
          <cell r="M1666" t="str">
            <v>ALL</v>
          </cell>
          <cell r="N1666" t="str">
            <v>FLPC(含奖金)</v>
          </cell>
          <cell r="O1666" t="str">
            <v>USD/小时</v>
          </cell>
          <cell r="P1666">
            <v>123.96</v>
          </cell>
        </row>
        <row r="1667">
          <cell r="A1667" t="str">
            <v>Jordan - Local employees - L0</v>
          </cell>
          <cell r="B1667" t="str">
            <v>Current version</v>
          </cell>
          <cell r="C1667" t="str">
            <v>V2009R2</v>
          </cell>
          <cell r="D1667" t="str">
            <v>Labor Rate</v>
          </cell>
          <cell r="E1667" t="str">
            <v>MENA</v>
          </cell>
          <cell r="F1667" t="str">
            <v>Middle East Sub-Regional Division</v>
          </cell>
          <cell r="G1667" t="str">
            <v>Jordan Rep.O.</v>
          </cell>
          <cell r="H1667" t="str">
            <v>4994</v>
          </cell>
          <cell r="I1667" t="str">
            <v>约旦</v>
          </cell>
          <cell r="J1667" t="str">
            <v>Jordan</v>
          </cell>
          <cell r="K1667" t="str">
            <v>Local employees</v>
          </cell>
          <cell r="L1667" t="str">
            <v>L0</v>
          </cell>
          <cell r="M1667" t="str">
            <v>ALL</v>
          </cell>
          <cell r="N1667" t="str">
            <v>FLPC(含奖金)</v>
          </cell>
          <cell r="O1667" t="str">
            <v>USD/小时</v>
          </cell>
          <cell r="P1667">
            <v>19.739999999999998</v>
          </cell>
        </row>
        <row r="1668">
          <cell r="A1668" t="str">
            <v>Jordan - Local employees - L1</v>
          </cell>
          <cell r="B1668" t="str">
            <v>Current version</v>
          </cell>
          <cell r="C1668" t="str">
            <v>V2009R2</v>
          </cell>
          <cell r="D1668" t="str">
            <v>Labor Rate</v>
          </cell>
          <cell r="E1668" t="str">
            <v>MENA</v>
          </cell>
          <cell r="F1668" t="str">
            <v>Middle East Sub-Regional Division</v>
          </cell>
          <cell r="G1668" t="str">
            <v>Jordan Rep.O.</v>
          </cell>
          <cell r="H1668" t="str">
            <v>4994</v>
          </cell>
          <cell r="I1668" t="str">
            <v>约旦</v>
          </cell>
          <cell r="J1668" t="str">
            <v>Jordan</v>
          </cell>
          <cell r="K1668" t="str">
            <v>Local employees</v>
          </cell>
          <cell r="L1668" t="str">
            <v>L1</v>
          </cell>
          <cell r="M1668" t="str">
            <v>ALL</v>
          </cell>
          <cell r="N1668" t="str">
            <v>FLPC(含奖金)</v>
          </cell>
          <cell r="O1668" t="str">
            <v>USD/小时</v>
          </cell>
          <cell r="P1668">
            <v>25.09</v>
          </cell>
        </row>
        <row r="1669">
          <cell r="A1669" t="str">
            <v>Jordan - Local employees - L2</v>
          </cell>
          <cell r="B1669" t="str">
            <v>Current version</v>
          </cell>
          <cell r="C1669" t="str">
            <v>V2009R2</v>
          </cell>
          <cell r="D1669" t="str">
            <v>Labor Rate</v>
          </cell>
          <cell r="E1669" t="str">
            <v>MENA</v>
          </cell>
          <cell r="F1669" t="str">
            <v>Middle East Sub-Regional Division</v>
          </cell>
          <cell r="G1669" t="str">
            <v>Jordan Rep.O.</v>
          </cell>
          <cell r="H1669" t="str">
            <v>4994</v>
          </cell>
          <cell r="I1669" t="str">
            <v>约旦</v>
          </cell>
          <cell r="J1669" t="str">
            <v>Jordan</v>
          </cell>
          <cell r="K1669" t="str">
            <v>Local employees</v>
          </cell>
          <cell r="L1669" t="str">
            <v>L2</v>
          </cell>
          <cell r="M1669" t="str">
            <v>ALL</v>
          </cell>
          <cell r="N1669" t="str">
            <v>FLPC(含奖金)</v>
          </cell>
          <cell r="O1669" t="str">
            <v>USD/小时</v>
          </cell>
          <cell r="P1669">
            <v>36.86</v>
          </cell>
        </row>
        <row r="1670">
          <cell r="A1670" t="str">
            <v>Jordan - Local employees - L3</v>
          </cell>
          <cell r="B1670" t="str">
            <v>Current version</v>
          </cell>
          <cell r="C1670" t="str">
            <v>V2009R2</v>
          </cell>
          <cell r="D1670" t="str">
            <v>Labor Rate</v>
          </cell>
          <cell r="E1670" t="str">
            <v>MENA</v>
          </cell>
          <cell r="F1670" t="str">
            <v>Middle East Sub-Regional Division</v>
          </cell>
          <cell r="G1670" t="str">
            <v>Jordan Rep.O.</v>
          </cell>
          <cell r="H1670" t="str">
            <v>4994</v>
          </cell>
          <cell r="I1670" t="str">
            <v>约旦</v>
          </cell>
          <cell r="J1670" t="str">
            <v>Jordan</v>
          </cell>
          <cell r="K1670" t="str">
            <v>Local employees</v>
          </cell>
          <cell r="L1670" t="str">
            <v>L3</v>
          </cell>
          <cell r="M1670" t="str">
            <v>ALL</v>
          </cell>
          <cell r="N1670" t="str">
            <v>FLPC(含奖金)</v>
          </cell>
          <cell r="O1670" t="str">
            <v>USD/小时</v>
          </cell>
          <cell r="P1670">
            <v>53.86</v>
          </cell>
        </row>
        <row r="1671">
          <cell r="A1671" t="str">
            <v>Jordan - Local employees - L4</v>
          </cell>
          <cell r="B1671" t="str">
            <v>Current version</v>
          </cell>
          <cell r="C1671" t="str">
            <v>V2009R2</v>
          </cell>
          <cell r="D1671" t="str">
            <v>Labor Rate</v>
          </cell>
          <cell r="E1671" t="str">
            <v>MENA</v>
          </cell>
          <cell r="F1671" t="str">
            <v>Middle East Sub-Regional Division</v>
          </cell>
          <cell r="G1671" t="str">
            <v>Jordan Rep.O.</v>
          </cell>
          <cell r="H1671" t="str">
            <v>4994</v>
          </cell>
          <cell r="I1671" t="str">
            <v>约旦</v>
          </cell>
          <cell r="J1671" t="str">
            <v>Jordan</v>
          </cell>
          <cell r="K1671" t="str">
            <v>Local employees</v>
          </cell>
          <cell r="L1671" t="str">
            <v>L4</v>
          </cell>
          <cell r="M1671" t="str">
            <v>ALL</v>
          </cell>
          <cell r="N1671" t="str">
            <v>FLPC(含奖金)</v>
          </cell>
          <cell r="O1671" t="str">
            <v>USD/小时</v>
          </cell>
          <cell r="P1671">
            <v>77.37</v>
          </cell>
        </row>
        <row r="1672">
          <cell r="A1672" t="str">
            <v>Lebanon - Local employees - L0</v>
          </cell>
          <cell r="B1672" t="str">
            <v>Current version</v>
          </cell>
          <cell r="C1672" t="str">
            <v>V2009R2</v>
          </cell>
          <cell r="D1672" t="str">
            <v>Labor Rate</v>
          </cell>
          <cell r="E1672" t="str">
            <v>MENA</v>
          </cell>
          <cell r="F1672" t="str">
            <v>Middle East Sub-Regional Division</v>
          </cell>
          <cell r="G1672" t="str">
            <v>Jordan Rep.O.</v>
          </cell>
          <cell r="H1672" t="str">
            <v>5013</v>
          </cell>
          <cell r="I1672" t="str">
            <v>黎巴嫩</v>
          </cell>
          <cell r="J1672" t="str">
            <v>Lebanon</v>
          </cell>
          <cell r="K1672" t="str">
            <v>Local employees</v>
          </cell>
          <cell r="L1672" t="str">
            <v>L0</v>
          </cell>
          <cell r="M1672" t="str">
            <v>ALL</v>
          </cell>
          <cell r="N1672" t="str">
            <v>FLPC(含奖金)</v>
          </cell>
          <cell r="O1672" t="str">
            <v>USD/小时</v>
          </cell>
          <cell r="P1672">
            <v>29.83</v>
          </cell>
        </row>
        <row r="1673">
          <cell r="A1673" t="str">
            <v>Lebanon - Local employees - L1</v>
          </cell>
          <cell r="B1673" t="str">
            <v>Current version</v>
          </cell>
          <cell r="C1673" t="str">
            <v>V2009R2</v>
          </cell>
          <cell r="D1673" t="str">
            <v>Labor Rate</v>
          </cell>
          <cell r="E1673" t="str">
            <v>MENA</v>
          </cell>
          <cell r="F1673" t="str">
            <v>Middle East Sub-Regional Division</v>
          </cell>
          <cell r="G1673" t="str">
            <v>Jordan Rep.O.</v>
          </cell>
          <cell r="H1673" t="str">
            <v>5013</v>
          </cell>
          <cell r="I1673" t="str">
            <v>黎巴嫩</v>
          </cell>
          <cell r="J1673" t="str">
            <v>Lebanon</v>
          </cell>
          <cell r="K1673" t="str">
            <v>Local employees</v>
          </cell>
          <cell r="L1673" t="str">
            <v>L1</v>
          </cell>
          <cell r="M1673" t="str">
            <v>ALL</v>
          </cell>
          <cell r="N1673" t="str">
            <v>FLPC(含奖金)</v>
          </cell>
          <cell r="O1673" t="str">
            <v>USD/小时</v>
          </cell>
          <cell r="P1673">
            <v>37.18</v>
          </cell>
        </row>
        <row r="1674">
          <cell r="A1674" t="str">
            <v>Lebanon - Local employees - L2</v>
          </cell>
          <cell r="B1674" t="str">
            <v>Current version</v>
          </cell>
          <cell r="C1674" t="str">
            <v>V2009R2</v>
          </cell>
          <cell r="D1674" t="str">
            <v>Labor Rate</v>
          </cell>
          <cell r="E1674" t="str">
            <v>MENA</v>
          </cell>
          <cell r="F1674" t="str">
            <v>Middle East Sub-Regional Division</v>
          </cell>
          <cell r="G1674" t="str">
            <v>Jordan Rep.O.</v>
          </cell>
          <cell r="H1674" t="str">
            <v>5013</v>
          </cell>
          <cell r="I1674" t="str">
            <v>黎巴嫩</v>
          </cell>
          <cell r="J1674" t="str">
            <v>Lebanon</v>
          </cell>
          <cell r="K1674" t="str">
            <v>Local employees</v>
          </cell>
          <cell r="L1674" t="str">
            <v>L2</v>
          </cell>
          <cell r="M1674" t="str">
            <v>ALL</v>
          </cell>
          <cell r="N1674" t="str">
            <v>FLPC(含奖金)</v>
          </cell>
          <cell r="O1674" t="str">
            <v>USD/小时</v>
          </cell>
          <cell r="P1674">
            <v>52.65</v>
          </cell>
        </row>
        <row r="1675">
          <cell r="A1675" t="str">
            <v>Lebanon - Local employees - L3</v>
          </cell>
          <cell r="B1675" t="str">
            <v>Current version</v>
          </cell>
          <cell r="C1675" t="str">
            <v>V2009R2</v>
          </cell>
          <cell r="D1675" t="str">
            <v>Labor Rate</v>
          </cell>
          <cell r="E1675" t="str">
            <v>MENA</v>
          </cell>
          <cell r="F1675" t="str">
            <v>Middle East Sub-Regional Division</v>
          </cell>
          <cell r="G1675" t="str">
            <v>Jordan Rep.O.</v>
          </cell>
          <cell r="H1675" t="str">
            <v>5013</v>
          </cell>
          <cell r="I1675" t="str">
            <v>黎巴嫩</v>
          </cell>
          <cell r="J1675" t="str">
            <v>Lebanon</v>
          </cell>
          <cell r="K1675" t="str">
            <v>Local employees</v>
          </cell>
          <cell r="L1675" t="str">
            <v>L3</v>
          </cell>
          <cell r="M1675" t="str">
            <v>ALL</v>
          </cell>
          <cell r="N1675" t="str">
            <v>FLPC(含奖金)</v>
          </cell>
          <cell r="O1675" t="str">
            <v>USD/小时</v>
          </cell>
          <cell r="P1675">
            <v>68.03</v>
          </cell>
        </row>
        <row r="1676">
          <cell r="A1676" t="str">
            <v>Lebanon - Local employees - L4</v>
          </cell>
          <cell r="B1676" t="str">
            <v>Current version</v>
          </cell>
          <cell r="C1676" t="str">
            <v>V2009R2</v>
          </cell>
          <cell r="D1676" t="str">
            <v>Labor Rate</v>
          </cell>
          <cell r="E1676" t="str">
            <v>MENA</v>
          </cell>
          <cell r="F1676" t="str">
            <v>Middle East Sub-Regional Division</v>
          </cell>
          <cell r="G1676" t="str">
            <v>Jordan Rep.O.</v>
          </cell>
          <cell r="H1676" t="str">
            <v>5013</v>
          </cell>
          <cell r="I1676" t="str">
            <v>黎巴嫩</v>
          </cell>
          <cell r="J1676" t="str">
            <v>Lebanon</v>
          </cell>
          <cell r="K1676" t="str">
            <v>Local employees</v>
          </cell>
          <cell r="L1676" t="str">
            <v>L4</v>
          </cell>
          <cell r="M1676" t="str">
            <v>ALL</v>
          </cell>
          <cell r="N1676" t="str">
            <v>FLPC(含奖金)</v>
          </cell>
          <cell r="O1676" t="str">
            <v>USD/小时</v>
          </cell>
          <cell r="P1676">
            <v>85.78</v>
          </cell>
        </row>
        <row r="1677">
          <cell r="A1677" t="str">
            <v>Palestin - Local employees - L0</v>
          </cell>
          <cell r="B1677" t="str">
            <v>Current version</v>
          </cell>
          <cell r="C1677" t="str">
            <v>V2009R2</v>
          </cell>
          <cell r="D1677" t="str">
            <v>Labor Rate</v>
          </cell>
          <cell r="E1677" t="str">
            <v>MENA</v>
          </cell>
          <cell r="F1677" t="str">
            <v>Middle East Sub-Regional Division</v>
          </cell>
          <cell r="G1677" t="str">
            <v>Jordan Rep.O.</v>
          </cell>
          <cell r="H1677" t="str">
            <v>5024</v>
          </cell>
          <cell r="I1677" t="str">
            <v>巴勒斯坦</v>
          </cell>
          <cell r="J1677" t="str">
            <v>Palestin</v>
          </cell>
          <cell r="K1677" t="str">
            <v>Local employees</v>
          </cell>
          <cell r="L1677" t="str">
            <v>L0</v>
          </cell>
          <cell r="M1677" t="str">
            <v>ALL</v>
          </cell>
          <cell r="N1677" t="str">
            <v>FLPC(含奖金)</v>
          </cell>
          <cell r="O1677" t="str">
            <v>USD/小时</v>
          </cell>
          <cell r="P1677">
            <v>29.83</v>
          </cell>
        </row>
        <row r="1678">
          <cell r="A1678" t="str">
            <v>Palestin - Local employees - L1</v>
          </cell>
          <cell r="B1678" t="str">
            <v>Current version</v>
          </cell>
          <cell r="C1678" t="str">
            <v>V2009R2</v>
          </cell>
          <cell r="D1678" t="str">
            <v>Labor Rate</v>
          </cell>
          <cell r="E1678" t="str">
            <v>MENA</v>
          </cell>
          <cell r="F1678" t="str">
            <v>Middle East Sub-Regional Division</v>
          </cell>
          <cell r="G1678" t="str">
            <v>Jordan Rep.O.</v>
          </cell>
          <cell r="H1678" t="str">
            <v>5024</v>
          </cell>
          <cell r="I1678" t="str">
            <v>巴勒斯坦</v>
          </cell>
          <cell r="J1678" t="str">
            <v>Palestin</v>
          </cell>
          <cell r="K1678" t="str">
            <v>Local employees</v>
          </cell>
          <cell r="L1678" t="str">
            <v>L1</v>
          </cell>
          <cell r="M1678" t="str">
            <v>ALL</v>
          </cell>
          <cell r="N1678" t="str">
            <v>FLPC(含奖金)</v>
          </cell>
          <cell r="O1678" t="str">
            <v>USD/小时</v>
          </cell>
          <cell r="P1678">
            <v>37.18</v>
          </cell>
        </row>
        <row r="1679">
          <cell r="A1679" t="str">
            <v>Palestin - Local employees - L2</v>
          </cell>
          <cell r="B1679" t="str">
            <v>Current version</v>
          </cell>
          <cell r="C1679" t="str">
            <v>V2009R2</v>
          </cell>
          <cell r="D1679" t="str">
            <v>Labor Rate</v>
          </cell>
          <cell r="E1679" t="str">
            <v>MENA</v>
          </cell>
          <cell r="F1679" t="str">
            <v>Middle East Sub-Regional Division</v>
          </cell>
          <cell r="G1679" t="str">
            <v>Jordan Rep.O.</v>
          </cell>
          <cell r="H1679" t="str">
            <v>5024</v>
          </cell>
          <cell r="I1679" t="str">
            <v>巴勒斯坦</v>
          </cell>
          <cell r="J1679" t="str">
            <v>Palestin</v>
          </cell>
          <cell r="K1679" t="str">
            <v>Local employees</v>
          </cell>
          <cell r="L1679" t="str">
            <v>L2</v>
          </cell>
          <cell r="M1679" t="str">
            <v>ALL</v>
          </cell>
          <cell r="N1679" t="str">
            <v>FLPC(含奖金)</v>
          </cell>
          <cell r="O1679" t="str">
            <v>USD/小时</v>
          </cell>
          <cell r="P1679">
            <v>52.65</v>
          </cell>
        </row>
        <row r="1680">
          <cell r="A1680" t="str">
            <v>Palestin - Local employees - L3</v>
          </cell>
          <cell r="B1680" t="str">
            <v>Current version</v>
          </cell>
          <cell r="C1680" t="str">
            <v>V2009R2</v>
          </cell>
          <cell r="D1680" t="str">
            <v>Labor Rate</v>
          </cell>
          <cell r="E1680" t="str">
            <v>MENA</v>
          </cell>
          <cell r="F1680" t="str">
            <v>Middle East Sub-Regional Division</v>
          </cell>
          <cell r="G1680" t="str">
            <v>Jordan Rep.O.</v>
          </cell>
          <cell r="H1680" t="str">
            <v>5024</v>
          </cell>
          <cell r="I1680" t="str">
            <v>巴勒斯坦</v>
          </cell>
          <cell r="J1680" t="str">
            <v>Palestin</v>
          </cell>
          <cell r="K1680" t="str">
            <v>Local employees</v>
          </cell>
          <cell r="L1680" t="str">
            <v>L3</v>
          </cell>
          <cell r="M1680" t="str">
            <v>ALL</v>
          </cell>
          <cell r="N1680" t="str">
            <v>FLPC(含奖金)</v>
          </cell>
          <cell r="O1680" t="str">
            <v>USD/小时</v>
          </cell>
          <cell r="P1680">
            <v>68.03</v>
          </cell>
        </row>
        <row r="1681">
          <cell r="A1681" t="str">
            <v>Palestin - Local employees - L4</v>
          </cell>
          <cell r="B1681" t="str">
            <v>Current version</v>
          </cell>
          <cell r="C1681" t="str">
            <v>V2009R2</v>
          </cell>
          <cell r="D1681" t="str">
            <v>Labor Rate</v>
          </cell>
          <cell r="E1681" t="str">
            <v>MENA</v>
          </cell>
          <cell r="F1681" t="str">
            <v>Middle East Sub-Regional Division</v>
          </cell>
          <cell r="G1681" t="str">
            <v>Jordan Rep.O.</v>
          </cell>
          <cell r="H1681" t="str">
            <v>5024</v>
          </cell>
          <cell r="I1681" t="str">
            <v>巴勒斯坦</v>
          </cell>
          <cell r="J1681" t="str">
            <v>Palestin</v>
          </cell>
          <cell r="K1681" t="str">
            <v>Local employees</v>
          </cell>
          <cell r="L1681" t="str">
            <v>L4</v>
          </cell>
          <cell r="M1681" t="str">
            <v>ALL</v>
          </cell>
          <cell r="N1681" t="str">
            <v>FLPC(含奖金)</v>
          </cell>
          <cell r="O1681" t="str">
            <v>USD/小时</v>
          </cell>
          <cell r="P1681">
            <v>85.78</v>
          </cell>
        </row>
        <row r="1682">
          <cell r="A1682" t="str">
            <v>Iran - Local employees - L0</v>
          </cell>
          <cell r="B1682" t="str">
            <v>Current version</v>
          </cell>
          <cell r="C1682" t="str">
            <v>V2009R2</v>
          </cell>
          <cell r="D1682" t="str">
            <v>Labor Rate</v>
          </cell>
          <cell r="E1682" t="str">
            <v>MENA</v>
          </cell>
          <cell r="F1682" t="str">
            <v>Middle East Sub-Regional Division</v>
          </cell>
          <cell r="G1682" t="str">
            <v>Iran</v>
          </cell>
          <cell r="H1682" t="str">
            <v>5005</v>
          </cell>
          <cell r="I1682" t="str">
            <v>A2伊朗</v>
          </cell>
          <cell r="J1682" t="str">
            <v>Iran</v>
          </cell>
          <cell r="K1682" t="str">
            <v>Local employees</v>
          </cell>
          <cell r="L1682" t="str">
            <v>L0</v>
          </cell>
          <cell r="M1682" t="str">
            <v>ALL</v>
          </cell>
          <cell r="N1682" t="str">
            <v>FLPC(含奖金)</v>
          </cell>
          <cell r="O1682" t="str">
            <v>USD/小时</v>
          </cell>
          <cell r="P1682">
            <v>18.05</v>
          </cell>
        </row>
        <row r="1683">
          <cell r="A1683" t="str">
            <v>Iran - Local employees - L1</v>
          </cell>
          <cell r="B1683" t="str">
            <v>Current version</v>
          </cell>
          <cell r="C1683" t="str">
            <v>V2009R2</v>
          </cell>
          <cell r="D1683" t="str">
            <v>Labor Rate</v>
          </cell>
          <cell r="E1683" t="str">
            <v>MENA</v>
          </cell>
          <cell r="F1683" t="str">
            <v>Middle East Sub-Regional Division</v>
          </cell>
          <cell r="G1683" t="str">
            <v>Iran</v>
          </cell>
          <cell r="H1683" t="str">
            <v>5005</v>
          </cell>
          <cell r="I1683" t="str">
            <v>A2伊朗</v>
          </cell>
          <cell r="J1683" t="str">
            <v>Iran</v>
          </cell>
          <cell r="K1683" t="str">
            <v>Local employees</v>
          </cell>
          <cell r="L1683" t="str">
            <v>L1</v>
          </cell>
          <cell r="M1683" t="str">
            <v>ALL</v>
          </cell>
          <cell r="N1683" t="str">
            <v>FLPC(含奖金)</v>
          </cell>
          <cell r="O1683" t="str">
            <v>USD/小时</v>
          </cell>
          <cell r="P1683">
            <v>22.61</v>
          </cell>
        </row>
        <row r="1684">
          <cell r="A1684" t="str">
            <v>Iran - Local employees - L2</v>
          </cell>
          <cell r="B1684" t="str">
            <v>Current version</v>
          </cell>
          <cell r="C1684" t="str">
            <v>V2009R2</v>
          </cell>
          <cell r="D1684" t="str">
            <v>Labor Rate</v>
          </cell>
          <cell r="E1684" t="str">
            <v>MENA</v>
          </cell>
          <cell r="F1684" t="str">
            <v>Middle East Sub-Regional Division</v>
          </cell>
          <cell r="G1684" t="str">
            <v>Iran</v>
          </cell>
          <cell r="H1684" t="str">
            <v>5005</v>
          </cell>
          <cell r="I1684" t="str">
            <v>A2伊朗</v>
          </cell>
          <cell r="J1684" t="str">
            <v>Iran</v>
          </cell>
          <cell r="K1684" t="str">
            <v>Local employees</v>
          </cell>
          <cell r="L1684" t="str">
            <v>L2</v>
          </cell>
          <cell r="M1684" t="str">
            <v>ALL</v>
          </cell>
          <cell r="N1684" t="str">
            <v>FLPC(含奖金)</v>
          </cell>
          <cell r="O1684" t="str">
            <v>USD/小时</v>
          </cell>
          <cell r="P1684">
            <v>29.98</v>
          </cell>
        </row>
        <row r="1685">
          <cell r="A1685" t="str">
            <v>Iran - Local employees - L3</v>
          </cell>
          <cell r="B1685" t="str">
            <v>Current version</v>
          </cell>
          <cell r="C1685" t="str">
            <v>V2009R2</v>
          </cell>
          <cell r="D1685" t="str">
            <v>Labor Rate</v>
          </cell>
          <cell r="E1685" t="str">
            <v>MENA</v>
          </cell>
          <cell r="F1685" t="str">
            <v>Middle East Sub-Regional Division</v>
          </cell>
          <cell r="G1685" t="str">
            <v>Iran</v>
          </cell>
          <cell r="H1685" t="str">
            <v>5005</v>
          </cell>
          <cell r="I1685" t="str">
            <v>A2伊朗</v>
          </cell>
          <cell r="J1685" t="str">
            <v>Iran</v>
          </cell>
          <cell r="K1685" t="str">
            <v>Local employees</v>
          </cell>
          <cell r="L1685" t="str">
            <v>L3</v>
          </cell>
          <cell r="M1685" t="str">
            <v>ALL</v>
          </cell>
          <cell r="N1685" t="str">
            <v>FLPC(含奖金)</v>
          </cell>
          <cell r="O1685" t="str">
            <v>USD/小时</v>
          </cell>
          <cell r="P1685">
            <v>35.049999999999997</v>
          </cell>
        </row>
        <row r="1686">
          <cell r="A1686" t="str">
            <v>Iran - Local employees - L4</v>
          </cell>
          <cell r="B1686" t="str">
            <v>Current version</v>
          </cell>
          <cell r="C1686" t="str">
            <v>V2009R2</v>
          </cell>
          <cell r="D1686" t="str">
            <v>Labor Rate</v>
          </cell>
          <cell r="E1686" t="str">
            <v>MENA</v>
          </cell>
          <cell r="F1686" t="str">
            <v>Middle East Sub-Regional Division</v>
          </cell>
          <cell r="G1686" t="str">
            <v>Iran</v>
          </cell>
          <cell r="H1686" t="str">
            <v>5005</v>
          </cell>
          <cell r="I1686" t="str">
            <v>A2伊朗</v>
          </cell>
          <cell r="J1686" t="str">
            <v>Iran</v>
          </cell>
          <cell r="K1686" t="str">
            <v>Local employees</v>
          </cell>
          <cell r="L1686" t="str">
            <v>L4</v>
          </cell>
          <cell r="M1686" t="str">
            <v>ALL</v>
          </cell>
          <cell r="N1686" t="str">
            <v>FLPC(含奖金)</v>
          </cell>
          <cell r="O1686" t="str">
            <v>USD/小时</v>
          </cell>
          <cell r="P1686">
            <v>53.42</v>
          </cell>
        </row>
        <row r="1687">
          <cell r="A1687" t="str">
            <v>Bahrain - Local employees - L0</v>
          </cell>
          <cell r="B1687" t="str">
            <v>Current version</v>
          </cell>
          <cell r="C1687" t="str">
            <v>V2009R2</v>
          </cell>
          <cell r="D1687" t="str">
            <v>Labor Rate</v>
          </cell>
          <cell r="E1687" t="str">
            <v>MENA</v>
          </cell>
          <cell r="F1687" t="str">
            <v>Middle East Sub-Regional Division</v>
          </cell>
          <cell r="G1687" t="str">
            <v>Bahrain</v>
          </cell>
          <cell r="H1687" t="str">
            <v>5014</v>
          </cell>
          <cell r="I1687" t="str">
            <v>巴林</v>
          </cell>
          <cell r="J1687" t="str">
            <v>Bahrain</v>
          </cell>
          <cell r="K1687" t="str">
            <v>Local employees</v>
          </cell>
          <cell r="L1687" t="str">
            <v>L0</v>
          </cell>
          <cell r="M1687" t="str">
            <v>ALL</v>
          </cell>
          <cell r="N1687" t="str">
            <v>FLPC(含奖金)</v>
          </cell>
          <cell r="O1687" t="str">
            <v>USD/小时</v>
          </cell>
          <cell r="P1687">
            <v>20.79</v>
          </cell>
        </row>
        <row r="1688">
          <cell r="A1688" t="str">
            <v>Bahrain - Local employees - L1</v>
          </cell>
          <cell r="B1688" t="str">
            <v>Current version</v>
          </cell>
          <cell r="C1688" t="str">
            <v>V2009R2</v>
          </cell>
          <cell r="D1688" t="str">
            <v>Labor Rate</v>
          </cell>
          <cell r="E1688" t="str">
            <v>MENA</v>
          </cell>
          <cell r="F1688" t="str">
            <v>Middle East Sub-Regional Division</v>
          </cell>
          <cell r="G1688" t="str">
            <v>Bahrain</v>
          </cell>
          <cell r="H1688" t="str">
            <v>5014</v>
          </cell>
          <cell r="I1688" t="str">
            <v>巴林</v>
          </cell>
          <cell r="J1688" t="str">
            <v>Bahrain</v>
          </cell>
          <cell r="K1688" t="str">
            <v>Local employees</v>
          </cell>
          <cell r="L1688" t="str">
            <v>L1</v>
          </cell>
          <cell r="M1688" t="str">
            <v>ALL</v>
          </cell>
          <cell r="N1688" t="str">
            <v>FLPC(含奖金)</v>
          </cell>
          <cell r="O1688" t="str">
            <v>USD/小时</v>
          </cell>
          <cell r="P1688">
            <v>30.26</v>
          </cell>
        </row>
        <row r="1689">
          <cell r="A1689" t="str">
            <v>Peru - Local employees - L2</v>
          </cell>
          <cell r="B1689" t="str">
            <v>Current version</v>
          </cell>
          <cell r="C1689" t="str">
            <v>V2009R2</v>
          </cell>
          <cell r="D1689" t="str">
            <v>Labor Rate</v>
          </cell>
          <cell r="E1689" t="str">
            <v>LA</v>
          </cell>
          <cell r="F1689" t="str">
            <v>Northern South America Sub-Regional Division</v>
          </cell>
          <cell r="G1689" t="str">
            <v>Peru/Ecuador Rep.O.</v>
          </cell>
          <cell r="H1689" t="str">
            <v>6002</v>
          </cell>
          <cell r="I1689" t="str">
            <v>秘鲁</v>
          </cell>
          <cell r="J1689" t="str">
            <v>Peru</v>
          </cell>
          <cell r="K1689" t="str">
            <v>Local employees</v>
          </cell>
          <cell r="L1689" t="str">
            <v>L2</v>
          </cell>
          <cell r="M1689" t="str">
            <v>ALL</v>
          </cell>
          <cell r="N1689" t="str">
            <v>FLPC(含奖金)</v>
          </cell>
          <cell r="O1689" t="str">
            <v>USD/小时</v>
          </cell>
          <cell r="P1689">
            <v>51.77</v>
          </cell>
        </row>
        <row r="1690">
          <cell r="A1690" t="str">
            <v>Peru - Local employees - L3</v>
          </cell>
          <cell r="B1690" t="str">
            <v>Current version</v>
          </cell>
          <cell r="C1690" t="str">
            <v>V2009R2</v>
          </cell>
          <cell r="D1690" t="str">
            <v>Labor Rate</v>
          </cell>
          <cell r="E1690" t="str">
            <v>LA</v>
          </cell>
          <cell r="F1690" t="str">
            <v>Northern South America Sub-Regional Division</v>
          </cell>
          <cell r="G1690" t="str">
            <v>Peru/Ecuador Rep.O.</v>
          </cell>
          <cell r="H1690" t="str">
            <v>6002</v>
          </cell>
          <cell r="I1690" t="str">
            <v>秘鲁</v>
          </cell>
          <cell r="J1690" t="str">
            <v>Peru</v>
          </cell>
          <cell r="K1690" t="str">
            <v>Local employees</v>
          </cell>
          <cell r="L1690" t="str">
            <v>L3</v>
          </cell>
          <cell r="M1690" t="str">
            <v>ALL</v>
          </cell>
          <cell r="N1690" t="str">
            <v>FLPC(含奖金)</v>
          </cell>
          <cell r="O1690" t="str">
            <v>USD/小时</v>
          </cell>
          <cell r="P1690">
            <v>77.47</v>
          </cell>
        </row>
        <row r="1691">
          <cell r="A1691" t="str">
            <v>Peru - Local employees - L4</v>
          </cell>
          <cell r="B1691" t="str">
            <v>Current version</v>
          </cell>
          <cell r="C1691" t="str">
            <v>V2009R2</v>
          </cell>
          <cell r="D1691" t="str">
            <v>Labor Rate</v>
          </cell>
          <cell r="E1691" t="str">
            <v>LA</v>
          </cell>
          <cell r="F1691" t="str">
            <v>Northern South America Sub-Regional Division</v>
          </cell>
          <cell r="G1691" t="str">
            <v>Peru/Ecuador Rep.O.</v>
          </cell>
          <cell r="H1691" t="str">
            <v>6002</v>
          </cell>
          <cell r="I1691" t="str">
            <v>秘鲁</v>
          </cell>
          <cell r="J1691" t="str">
            <v>Peru</v>
          </cell>
          <cell r="K1691" t="str">
            <v>Local employees</v>
          </cell>
          <cell r="L1691" t="str">
            <v>L4</v>
          </cell>
          <cell r="M1691" t="str">
            <v>ALL</v>
          </cell>
          <cell r="N1691" t="str">
            <v>FLPC(含奖金)</v>
          </cell>
          <cell r="O1691" t="str">
            <v>USD/小时</v>
          </cell>
          <cell r="P1691">
            <v>89.52</v>
          </cell>
        </row>
        <row r="1692">
          <cell r="A1692" t="str">
            <v>Ecuador - Local employees - L0</v>
          </cell>
          <cell r="B1692" t="str">
            <v>Current version</v>
          </cell>
          <cell r="C1692" t="str">
            <v>V2009R2</v>
          </cell>
          <cell r="D1692" t="str">
            <v>Labor Rate</v>
          </cell>
          <cell r="E1692" t="str">
            <v>LA</v>
          </cell>
          <cell r="F1692" t="str">
            <v>Northern South America Sub-Regional Division</v>
          </cell>
          <cell r="G1692" t="str">
            <v>Peru/Ecuador Rep.O.</v>
          </cell>
          <cell r="H1692" t="str">
            <v>6006</v>
          </cell>
          <cell r="I1692" t="str">
            <v>厄瓜多尔</v>
          </cell>
          <cell r="J1692" t="str">
            <v>Ecuador</v>
          </cell>
          <cell r="K1692" t="str">
            <v>Local employees</v>
          </cell>
          <cell r="L1692" t="str">
            <v>L0</v>
          </cell>
          <cell r="M1692" t="str">
            <v>ALL</v>
          </cell>
          <cell r="N1692" t="str">
            <v>FLPC(含奖金)</v>
          </cell>
          <cell r="O1692" t="str">
            <v>USD/小时</v>
          </cell>
          <cell r="P1692">
            <v>28.33</v>
          </cell>
        </row>
        <row r="1693">
          <cell r="A1693" t="str">
            <v>Ecuador - Local employees - L1</v>
          </cell>
          <cell r="B1693" t="str">
            <v>Current version</v>
          </cell>
          <cell r="C1693" t="str">
            <v>V2009R2</v>
          </cell>
          <cell r="D1693" t="str">
            <v>Labor Rate</v>
          </cell>
          <cell r="E1693" t="str">
            <v>LA</v>
          </cell>
          <cell r="F1693" t="str">
            <v>Northern South America Sub-Regional Division</v>
          </cell>
          <cell r="G1693" t="str">
            <v>Peru/Ecuador Rep.O.</v>
          </cell>
          <cell r="H1693" t="str">
            <v>6006</v>
          </cell>
          <cell r="I1693" t="str">
            <v>厄瓜多尔</v>
          </cell>
          <cell r="J1693" t="str">
            <v>Ecuador</v>
          </cell>
          <cell r="K1693" t="str">
            <v>Local employees</v>
          </cell>
          <cell r="L1693" t="str">
            <v>L1</v>
          </cell>
          <cell r="M1693" t="str">
            <v>ALL</v>
          </cell>
          <cell r="N1693" t="str">
            <v>FLPC(含奖金)</v>
          </cell>
          <cell r="O1693" t="str">
            <v>USD/小时</v>
          </cell>
          <cell r="P1693">
            <v>30.11</v>
          </cell>
        </row>
        <row r="1694">
          <cell r="A1694" t="str">
            <v>Ecuador - Local employees - L2</v>
          </cell>
          <cell r="B1694" t="str">
            <v>Current version</v>
          </cell>
          <cell r="C1694" t="str">
            <v>V2009R2</v>
          </cell>
          <cell r="D1694" t="str">
            <v>Labor Rate</v>
          </cell>
          <cell r="E1694" t="str">
            <v>LA</v>
          </cell>
          <cell r="F1694" t="str">
            <v>Northern South America Sub-Regional Division</v>
          </cell>
          <cell r="G1694" t="str">
            <v>Peru/Ecuador Rep.O.</v>
          </cell>
          <cell r="H1694" t="str">
            <v>6006</v>
          </cell>
          <cell r="I1694" t="str">
            <v>厄瓜多尔</v>
          </cell>
          <cell r="J1694" t="str">
            <v>Ecuador</v>
          </cell>
          <cell r="K1694" t="str">
            <v>Local employees</v>
          </cell>
          <cell r="L1694" t="str">
            <v>L2</v>
          </cell>
          <cell r="M1694" t="str">
            <v>ALL</v>
          </cell>
          <cell r="N1694" t="str">
            <v>FLPC(含奖金)</v>
          </cell>
          <cell r="O1694" t="str">
            <v>USD/小时</v>
          </cell>
          <cell r="P1694">
            <v>39.9</v>
          </cell>
        </row>
        <row r="1695">
          <cell r="A1695" t="str">
            <v>Ecuador - Local employees - L3</v>
          </cell>
          <cell r="B1695" t="str">
            <v>Current version</v>
          </cell>
          <cell r="C1695" t="str">
            <v>V2009R2</v>
          </cell>
          <cell r="D1695" t="str">
            <v>Labor Rate</v>
          </cell>
          <cell r="E1695" t="str">
            <v>LA</v>
          </cell>
          <cell r="F1695" t="str">
            <v>Northern South America Sub-Regional Division</v>
          </cell>
          <cell r="G1695" t="str">
            <v>Peru/Ecuador Rep.O.</v>
          </cell>
          <cell r="H1695" t="str">
            <v>6006</v>
          </cell>
          <cell r="I1695" t="str">
            <v>厄瓜多尔</v>
          </cell>
          <cell r="J1695" t="str">
            <v>Ecuador</v>
          </cell>
          <cell r="K1695" t="str">
            <v>Local employees</v>
          </cell>
          <cell r="L1695" t="str">
            <v>L3</v>
          </cell>
          <cell r="M1695" t="str">
            <v>ALL</v>
          </cell>
          <cell r="N1695" t="str">
            <v>FLPC(含奖金)</v>
          </cell>
          <cell r="O1695" t="str">
            <v>USD/小时</v>
          </cell>
          <cell r="P1695">
            <v>54.22</v>
          </cell>
        </row>
        <row r="1696">
          <cell r="A1696" t="str">
            <v>Ecuador - Local employees - L4</v>
          </cell>
          <cell r="B1696" t="str">
            <v>Current version</v>
          </cell>
          <cell r="C1696" t="str">
            <v>V2009R2</v>
          </cell>
          <cell r="D1696" t="str">
            <v>Labor Rate</v>
          </cell>
          <cell r="E1696" t="str">
            <v>LA</v>
          </cell>
          <cell r="F1696" t="str">
            <v>Northern South America Sub-Regional Division</v>
          </cell>
          <cell r="G1696" t="str">
            <v>Peru/Ecuador Rep.O.</v>
          </cell>
          <cell r="H1696" t="str">
            <v>6006</v>
          </cell>
          <cell r="I1696" t="str">
            <v>厄瓜多尔</v>
          </cell>
          <cell r="J1696" t="str">
            <v>Ecuador</v>
          </cell>
          <cell r="K1696" t="str">
            <v>Local employees</v>
          </cell>
          <cell r="L1696" t="str">
            <v>L4</v>
          </cell>
          <cell r="M1696" t="str">
            <v>ALL</v>
          </cell>
          <cell r="N1696" t="str">
            <v>FLPC(含奖金)</v>
          </cell>
          <cell r="O1696" t="str">
            <v>USD/小时</v>
          </cell>
          <cell r="P1696">
            <v>76.709999999999994</v>
          </cell>
        </row>
        <row r="1697">
          <cell r="A1697" t="str">
            <v>Bolivia - Local employees - L0</v>
          </cell>
          <cell r="B1697" t="str">
            <v>Current version</v>
          </cell>
          <cell r="C1697" t="str">
            <v>V2009R2</v>
          </cell>
          <cell r="D1697" t="str">
            <v>Labor Rate</v>
          </cell>
          <cell r="E1697" t="str">
            <v>LA</v>
          </cell>
          <cell r="F1697" t="str">
            <v>Northern South America Sub-Regional Division</v>
          </cell>
          <cell r="G1697" t="str">
            <v>Peru/Ecuador Rep.O.</v>
          </cell>
          <cell r="H1697" t="str">
            <v>6017</v>
          </cell>
          <cell r="I1697" t="str">
            <v>玻利维亚</v>
          </cell>
          <cell r="J1697" t="str">
            <v>Bolivia</v>
          </cell>
          <cell r="K1697" t="str">
            <v>Local employees</v>
          </cell>
          <cell r="L1697" t="str">
            <v>L0</v>
          </cell>
          <cell r="M1697" t="str">
            <v>ALL</v>
          </cell>
          <cell r="N1697" t="str">
            <v>FLPC(含奖金)</v>
          </cell>
          <cell r="O1697" t="str">
            <v>USD/小时</v>
          </cell>
          <cell r="P1697">
            <v>34.130000000000003</v>
          </cell>
        </row>
        <row r="1698">
          <cell r="A1698" t="str">
            <v>Bolivia - Local employees - L1</v>
          </cell>
          <cell r="B1698" t="str">
            <v>Current version</v>
          </cell>
          <cell r="C1698" t="str">
            <v>V2009R2</v>
          </cell>
          <cell r="D1698" t="str">
            <v>Labor Rate</v>
          </cell>
          <cell r="E1698" t="str">
            <v>LA</v>
          </cell>
          <cell r="F1698" t="str">
            <v>Northern South America Sub-Regional Division</v>
          </cell>
          <cell r="G1698" t="str">
            <v>Peru/Ecuador Rep.O.</v>
          </cell>
          <cell r="H1698" t="str">
            <v>6017</v>
          </cell>
          <cell r="I1698" t="str">
            <v>玻利维亚</v>
          </cell>
          <cell r="J1698" t="str">
            <v>Bolivia</v>
          </cell>
          <cell r="K1698" t="str">
            <v>Local employees</v>
          </cell>
          <cell r="L1698" t="str">
            <v>L1</v>
          </cell>
          <cell r="M1698" t="str">
            <v>ALL</v>
          </cell>
          <cell r="N1698" t="str">
            <v>FLPC(含奖金)</v>
          </cell>
          <cell r="O1698" t="str">
            <v>USD/小时</v>
          </cell>
          <cell r="P1698">
            <v>35.520000000000003</v>
          </cell>
        </row>
        <row r="1699">
          <cell r="A1699" t="str">
            <v>Bolivia - Local employees - L2</v>
          </cell>
          <cell r="B1699" t="str">
            <v>Current version</v>
          </cell>
          <cell r="C1699" t="str">
            <v>V2009R2</v>
          </cell>
          <cell r="D1699" t="str">
            <v>Labor Rate</v>
          </cell>
          <cell r="E1699" t="str">
            <v>LA</v>
          </cell>
          <cell r="F1699" t="str">
            <v>Northern South America Sub-Regional Division</v>
          </cell>
          <cell r="G1699" t="str">
            <v>Peru/Ecuador Rep.O.</v>
          </cell>
          <cell r="H1699" t="str">
            <v>6017</v>
          </cell>
          <cell r="I1699" t="str">
            <v>玻利维亚</v>
          </cell>
          <cell r="J1699" t="str">
            <v>Bolivia</v>
          </cell>
          <cell r="K1699" t="str">
            <v>Local employees</v>
          </cell>
          <cell r="L1699" t="str">
            <v>L2</v>
          </cell>
          <cell r="M1699" t="str">
            <v>ALL</v>
          </cell>
          <cell r="N1699" t="str">
            <v>FLPC(含奖金)</v>
          </cell>
          <cell r="O1699" t="str">
            <v>USD/小时</v>
          </cell>
          <cell r="P1699">
            <v>43.96</v>
          </cell>
        </row>
        <row r="1700">
          <cell r="A1700" t="str">
            <v>Bolivia - Local employees - L3</v>
          </cell>
          <cell r="B1700" t="str">
            <v>Current version</v>
          </cell>
          <cell r="C1700" t="str">
            <v>V2009R2</v>
          </cell>
          <cell r="D1700" t="str">
            <v>Labor Rate</v>
          </cell>
          <cell r="E1700" t="str">
            <v>LA</v>
          </cell>
          <cell r="F1700" t="str">
            <v>Northern South America Sub-Regional Division</v>
          </cell>
          <cell r="G1700" t="str">
            <v>Peru/Ecuador Rep.O.</v>
          </cell>
          <cell r="H1700" t="str">
            <v>6017</v>
          </cell>
          <cell r="I1700" t="str">
            <v>玻利维亚</v>
          </cell>
          <cell r="J1700" t="str">
            <v>Bolivia</v>
          </cell>
          <cell r="K1700" t="str">
            <v>Local employees</v>
          </cell>
          <cell r="L1700" t="str">
            <v>L3</v>
          </cell>
          <cell r="M1700" t="str">
            <v>ALL</v>
          </cell>
          <cell r="N1700" t="str">
            <v>FLPC(含奖金)</v>
          </cell>
          <cell r="O1700" t="str">
            <v>USD/小时</v>
          </cell>
          <cell r="P1700">
            <v>49.08</v>
          </cell>
        </row>
        <row r="1701">
          <cell r="A1701" t="str">
            <v>Bolivia - Local employees - L4</v>
          </cell>
          <cell r="B1701" t="str">
            <v>Current version</v>
          </cell>
          <cell r="C1701" t="str">
            <v>V2009R2</v>
          </cell>
          <cell r="D1701" t="str">
            <v>Labor Rate</v>
          </cell>
          <cell r="E1701" t="str">
            <v>LA</v>
          </cell>
          <cell r="F1701" t="str">
            <v>Northern South America Sub-Regional Division</v>
          </cell>
          <cell r="G1701" t="str">
            <v>Peru/Ecuador Rep.O.</v>
          </cell>
          <cell r="H1701" t="str">
            <v>6017</v>
          </cell>
          <cell r="I1701" t="str">
            <v>玻利维亚</v>
          </cell>
          <cell r="J1701" t="str">
            <v>Bolivia</v>
          </cell>
          <cell r="K1701" t="str">
            <v>Local employees</v>
          </cell>
          <cell r="L1701" t="str">
            <v>L4</v>
          </cell>
          <cell r="M1701" t="str">
            <v>ALL</v>
          </cell>
          <cell r="N1701" t="str">
            <v>FLPC(含奖金)</v>
          </cell>
          <cell r="O1701" t="str">
            <v>USD/小时</v>
          </cell>
          <cell r="P1701">
            <v>55.66</v>
          </cell>
        </row>
        <row r="1702">
          <cell r="A1702" t="str">
            <v>Colombia - Local employees - L0</v>
          </cell>
          <cell r="B1702" t="str">
            <v>Current version</v>
          </cell>
          <cell r="C1702" t="str">
            <v>V2009R2</v>
          </cell>
          <cell r="D1702" t="str">
            <v>Labor Rate</v>
          </cell>
          <cell r="E1702" t="str">
            <v>LA</v>
          </cell>
          <cell r="F1702" t="str">
            <v>Northern South America Sub-Regional Division</v>
          </cell>
          <cell r="G1702" t="str">
            <v>Colombia Rep.O.</v>
          </cell>
          <cell r="H1702" t="str">
            <v>6005</v>
          </cell>
          <cell r="I1702" t="str">
            <v>哥伦比亚</v>
          </cell>
          <cell r="J1702" t="str">
            <v>Colombia</v>
          </cell>
          <cell r="K1702" t="str">
            <v>Local employees</v>
          </cell>
          <cell r="L1702" t="str">
            <v>L0</v>
          </cell>
          <cell r="M1702" t="str">
            <v>ALL</v>
          </cell>
          <cell r="N1702" t="str">
            <v>FLPC(含奖金)</v>
          </cell>
          <cell r="O1702" t="str">
            <v>USD/小时</v>
          </cell>
          <cell r="P1702">
            <v>36.32</v>
          </cell>
        </row>
        <row r="1703">
          <cell r="A1703" t="str">
            <v>Colombia - Local employees - L1</v>
          </cell>
          <cell r="B1703" t="str">
            <v>Current version</v>
          </cell>
          <cell r="C1703" t="str">
            <v>V2009R2</v>
          </cell>
          <cell r="D1703" t="str">
            <v>Labor Rate</v>
          </cell>
          <cell r="E1703" t="str">
            <v>LA</v>
          </cell>
          <cell r="F1703" t="str">
            <v>Northern South America Sub-Regional Division</v>
          </cell>
          <cell r="G1703" t="str">
            <v>Colombia Rep.O.</v>
          </cell>
          <cell r="H1703" t="str">
            <v>6005</v>
          </cell>
          <cell r="I1703" t="str">
            <v>哥伦比亚</v>
          </cell>
          <cell r="J1703" t="str">
            <v>Colombia</v>
          </cell>
          <cell r="K1703" t="str">
            <v>Local employees</v>
          </cell>
          <cell r="L1703" t="str">
            <v>L1</v>
          </cell>
          <cell r="M1703" t="str">
            <v>ALL</v>
          </cell>
          <cell r="N1703" t="str">
            <v>FLPC(含奖金)</v>
          </cell>
          <cell r="O1703" t="str">
            <v>USD/小时</v>
          </cell>
          <cell r="P1703">
            <v>39.21</v>
          </cell>
        </row>
        <row r="1704">
          <cell r="A1704" t="str">
            <v>Colombia - Local employees - L2</v>
          </cell>
          <cell r="B1704" t="str">
            <v>Current version</v>
          </cell>
          <cell r="C1704" t="str">
            <v>V2009R2</v>
          </cell>
          <cell r="D1704" t="str">
            <v>Labor Rate</v>
          </cell>
          <cell r="E1704" t="str">
            <v>LA</v>
          </cell>
          <cell r="F1704" t="str">
            <v>Northern South America Sub-Regional Division</v>
          </cell>
          <cell r="G1704" t="str">
            <v>Colombia Rep.O.</v>
          </cell>
          <cell r="H1704" t="str">
            <v>6005</v>
          </cell>
          <cell r="I1704" t="str">
            <v>哥伦比亚</v>
          </cell>
          <cell r="J1704" t="str">
            <v>Colombia</v>
          </cell>
          <cell r="K1704" t="str">
            <v>Local employees</v>
          </cell>
          <cell r="L1704" t="str">
            <v>L2</v>
          </cell>
          <cell r="M1704" t="str">
            <v>ALL</v>
          </cell>
          <cell r="N1704" t="str">
            <v>FLPC(含奖金)</v>
          </cell>
          <cell r="O1704" t="str">
            <v>USD/小时</v>
          </cell>
          <cell r="P1704">
            <v>49.02</v>
          </cell>
        </row>
        <row r="1705">
          <cell r="A1705" t="str">
            <v>Colombia - Local employees - L3</v>
          </cell>
          <cell r="B1705" t="str">
            <v>Current version</v>
          </cell>
          <cell r="C1705" t="str">
            <v>V2009R2</v>
          </cell>
          <cell r="D1705" t="str">
            <v>Labor Rate</v>
          </cell>
          <cell r="E1705" t="str">
            <v>LA</v>
          </cell>
          <cell r="F1705" t="str">
            <v>Northern South America Sub-Regional Division</v>
          </cell>
          <cell r="G1705" t="str">
            <v>Colombia Rep.O.</v>
          </cell>
          <cell r="H1705" t="str">
            <v>6005</v>
          </cell>
          <cell r="I1705" t="str">
            <v>哥伦比亚</v>
          </cell>
          <cell r="J1705" t="str">
            <v>Colombia</v>
          </cell>
          <cell r="K1705" t="str">
            <v>Local employees</v>
          </cell>
          <cell r="L1705" t="str">
            <v>L3</v>
          </cell>
          <cell r="M1705" t="str">
            <v>ALL</v>
          </cell>
          <cell r="N1705" t="str">
            <v>FLPC(含奖金)</v>
          </cell>
          <cell r="O1705" t="str">
            <v>USD/小时</v>
          </cell>
          <cell r="P1705">
            <v>68.62</v>
          </cell>
        </row>
        <row r="1706">
          <cell r="A1706" t="str">
            <v>Colombia - Local employees - L4</v>
          </cell>
          <cell r="B1706" t="str">
            <v>Current version</v>
          </cell>
          <cell r="C1706" t="str">
            <v>V2009R2</v>
          </cell>
          <cell r="D1706" t="str">
            <v>Labor Rate</v>
          </cell>
          <cell r="E1706" t="str">
            <v>LA</v>
          </cell>
          <cell r="F1706" t="str">
            <v>Northern South America Sub-Regional Division</v>
          </cell>
          <cell r="G1706" t="str">
            <v>Colombia Rep.O.</v>
          </cell>
          <cell r="H1706" t="str">
            <v>6005</v>
          </cell>
          <cell r="I1706" t="str">
            <v>哥伦比亚</v>
          </cell>
          <cell r="J1706" t="str">
            <v>Colombia</v>
          </cell>
          <cell r="K1706" t="str">
            <v>Local employees</v>
          </cell>
          <cell r="L1706" t="str">
            <v>L4</v>
          </cell>
          <cell r="M1706" t="str">
            <v>ALL</v>
          </cell>
          <cell r="N1706" t="str">
            <v>FLPC(含奖金)</v>
          </cell>
          <cell r="O1706" t="str">
            <v>USD/小时</v>
          </cell>
          <cell r="P1706">
            <v>115.57</v>
          </cell>
        </row>
        <row r="1707">
          <cell r="A1707" t="str">
            <v>Salvador - Local employees - L0</v>
          </cell>
          <cell r="B1707" t="str">
            <v>Current version</v>
          </cell>
          <cell r="C1707" t="str">
            <v>V2009R2</v>
          </cell>
          <cell r="D1707" t="str">
            <v>Labor Rate</v>
          </cell>
          <cell r="E1707" t="str">
            <v>LA</v>
          </cell>
          <cell r="F1707" t="str">
            <v>Mexico Rep.O.</v>
          </cell>
          <cell r="G1707" t="str">
            <v>Salvador</v>
          </cell>
          <cell r="H1707" t="str">
            <v>6029</v>
          </cell>
          <cell r="I1707" t="str">
            <v>萨尔瓦多</v>
          </cell>
          <cell r="J1707" t="str">
            <v>Salvador</v>
          </cell>
          <cell r="K1707" t="str">
            <v>Local employees</v>
          </cell>
          <cell r="L1707" t="str">
            <v>L0</v>
          </cell>
          <cell r="M1707" t="str">
            <v>ALL</v>
          </cell>
          <cell r="N1707" t="str">
            <v>FLPC(含奖金)</v>
          </cell>
          <cell r="O1707" t="str">
            <v>USD/小时</v>
          </cell>
          <cell r="P1707">
            <v>44.58</v>
          </cell>
        </row>
        <row r="1708">
          <cell r="A1708" t="str">
            <v>Salvador - Local employees - L1</v>
          </cell>
          <cell r="B1708" t="str">
            <v>Current version</v>
          </cell>
          <cell r="C1708" t="str">
            <v>V2009R2</v>
          </cell>
          <cell r="D1708" t="str">
            <v>Labor Rate</v>
          </cell>
          <cell r="E1708" t="str">
            <v>LA</v>
          </cell>
          <cell r="F1708" t="str">
            <v>Mexico Rep.O.</v>
          </cell>
          <cell r="G1708" t="str">
            <v>Salvador</v>
          </cell>
          <cell r="H1708" t="str">
            <v>6029</v>
          </cell>
          <cell r="I1708" t="str">
            <v>萨尔瓦多</v>
          </cell>
          <cell r="J1708" t="str">
            <v>Salvador</v>
          </cell>
          <cell r="K1708" t="str">
            <v>Local employees</v>
          </cell>
          <cell r="L1708" t="str">
            <v>L1</v>
          </cell>
          <cell r="M1708" t="str">
            <v>ALL</v>
          </cell>
          <cell r="N1708" t="str">
            <v>FLPC(含奖金)</v>
          </cell>
          <cell r="O1708" t="str">
            <v>USD/小时</v>
          </cell>
          <cell r="P1708">
            <v>45.78</v>
          </cell>
        </row>
        <row r="1709">
          <cell r="A1709" t="str">
            <v>Salvador - Local employees - L2</v>
          </cell>
          <cell r="B1709" t="str">
            <v>Current version</v>
          </cell>
          <cell r="C1709" t="str">
            <v>V2009R2</v>
          </cell>
          <cell r="D1709" t="str">
            <v>Labor Rate</v>
          </cell>
          <cell r="E1709" t="str">
            <v>LA</v>
          </cell>
          <cell r="F1709" t="str">
            <v>Mexico Rep.O.</v>
          </cell>
          <cell r="G1709" t="str">
            <v>Salvador</v>
          </cell>
          <cell r="H1709" t="str">
            <v>6029</v>
          </cell>
          <cell r="I1709" t="str">
            <v>萨尔瓦多</v>
          </cell>
          <cell r="J1709" t="str">
            <v>Salvador</v>
          </cell>
          <cell r="K1709" t="str">
            <v>Local employees</v>
          </cell>
          <cell r="L1709" t="str">
            <v>L2</v>
          </cell>
          <cell r="M1709" t="str">
            <v>ALL</v>
          </cell>
          <cell r="N1709" t="str">
            <v>FLPC(含奖金)</v>
          </cell>
          <cell r="O1709" t="str">
            <v>USD/小时</v>
          </cell>
          <cell r="P1709">
            <v>56.64</v>
          </cell>
        </row>
        <row r="1710">
          <cell r="A1710" t="str">
            <v>Salvador - Local employees - L3</v>
          </cell>
          <cell r="B1710" t="str">
            <v>Current version</v>
          </cell>
          <cell r="C1710" t="str">
            <v>V2009R2</v>
          </cell>
          <cell r="D1710" t="str">
            <v>Labor Rate</v>
          </cell>
          <cell r="E1710" t="str">
            <v>LA</v>
          </cell>
          <cell r="F1710" t="str">
            <v>Mexico Rep.O.</v>
          </cell>
          <cell r="G1710" t="str">
            <v>Salvador</v>
          </cell>
          <cell r="H1710" t="str">
            <v>6029</v>
          </cell>
          <cell r="I1710" t="str">
            <v>萨尔瓦多</v>
          </cell>
          <cell r="J1710" t="str">
            <v>Salvador</v>
          </cell>
          <cell r="K1710" t="str">
            <v>Local employees</v>
          </cell>
          <cell r="L1710" t="str">
            <v>L3</v>
          </cell>
          <cell r="M1710" t="str">
            <v>ALL</v>
          </cell>
          <cell r="N1710" t="str">
            <v>FLPC(含奖金)</v>
          </cell>
          <cell r="O1710" t="str">
            <v>USD/小时</v>
          </cell>
          <cell r="P1710">
            <v>63.87</v>
          </cell>
        </row>
        <row r="1711">
          <cell r="A1711" t="str">
            <v>Salvador - Local employees - L4</v>
          </cell>
          <cell r="B1711" t="str">
            <v>Current version</v>
          </cell>
          <cell r="C1711" t="str">
            <v>V2009R2</v>
          </cell>
          <cell r="D1711" t="str">
            <v>Labor Rate</v>
          </cell>
          <cell r="E1711" t="str">
            <v>LA</v>
          </cell>
          <cell r="F1711" t="str">
            <v>Mexico Rep.O.</v>
          </cell>
          <cell r="G1711" t="str">
            <v>Salvador</v>
          </cell>
          <cell r="H1711" t="str">
            <v>6029</v>
          </cell>
          <cell r="I1711" t="str">
            <v>萨尔瓦多</v>
          </cell>
          <cell r="J1711" t="str">
            <v>Salvador</v>
          </cell>
          <cell r="K1711" t="str">
            <v>Local employees</v>
          </cell>
          <cell r="L1711" t="str">
            <v>L4</v>
          </cell>
          <cell r="M1711" t="str">
            <v>ALL</v>
          </cell>
          <cell r="N1711" t="str">
            <v>FLPC(含奖金)</v>
          </cell>
          <cell r="O1711" t="str">
            <v>USD/小时</v>
          </cell>
          <cell r="P1711">
            <v>73.98</v>
          </cell>
        </row>
        <row r="1712">
          <cell r="A1712" t="str">
            <v>Panama - Local employees - L0</v>
          </cell>
          <cell r="B1712" t="str">
            <v>Current version</v>
          </cell>
          <cell r="C1712" t="str">
            <v>V2009R2</v>
          </cell>
          <cell r="D1712" t="str">
            <v>Labor Rate</v>
          </cell>
          <cell r="E1712" t="str">
            <v>LA</v>
          </cell>
          <cell r="F1712" t="str">
            <v>Mexico Rep.O.</v>
          </cell>
          <cell r="G1712" t="str">
            <v>Panama</v>
          </cell>
          <cell r="H1712" t="str">
            <v>6014</v>
          </cell>
          <cell r="I1712" t="str">
            <v>巴拿马</v>
          </cell>
          <cell r="J1712" t="str">
            <v>Panama</v>
          </cell>
          <cell r="K1712" t="str">
            <v>Local employees</v>
          </cell>
          <cell r="L1712" t="str">
            <v>L0</v>
          </cell>
          <cell r="M1712" t="str">
            <v>ALL</v>
          </cell>
          <cell r="N1712" t="str">
            <v>FLPC(含奖金)</v>
          </cell>
          <cell r="O1712" t="str">
            <v>USD/小时</v>
          </cell>
          <cell r="P1712">
            <v>45.75</v>
          </cell>
        </row>
        <row r="1713">
          <cell r="A1713" t="str">
            <v>Panama - Local employees - L1</v>
          </cell>
          <cell r="B1713" t="str">
            <v>Current version</v>
          </cell>
          <cell r="C1713" t="str">
            <v>V2009R2</v>
          </cell>
          <cell r="D1713" t="str">
            <v>Labor Rate</v>
          </cell>
          <cell r="E1713" t="str">
            <v>LA</v>
          </cell>
          <cell r="F1713" t="str">
            <v>Mexico Rep.O.</v>
          </cell>
          <cell r="G1713" t="str">
            <v>Panama</v>
          </cell>
          <cell r="H1713" t="str">
            <v>6014</v>
          </cell>
          <cell r="I1713" t="str">
            <v>巴拿马</v>
          </cell>
          <cell r="J1713" t="str">
            <v>Panama</v>
          </cell>
          <cell r="K1713" t="str">
            <v>Local employees</v>
          </cell>
          <cell r="L1713" t="str">
            <v>L1</v>
          </cell>
          <cell r="M1713" t="str">
            <v>ALL</v>
          </cell>
          <cell r="N1713" t="str">
            <v>FLPC(含奖金)</v>
          </cell>
          <cell r="O1713" t="str">
            <v>USD/小时</v>
          </cell>
          <cell r="P1713">
            <v>47.42</v>
          </cell>
        </row>
        <row r="1714">
          <cell r="A1714" t="str">
            <v>Panama - Local employees - L2</v>
          </cell>
          <cell r="B1714" t="str">
            <v>Current version</v>
          </cell>
          <cell r="C1714" t="str">
            <v>V2009R2</v>
          </cell>
          <cell r="D1714" t="str">
            <v>Labor Rate</v>
          </cell>
          <cell r="E1714" t="str">
            <v>LA</v>
          </cell>
          <cell r="F1714" t="str">
            <v>Mexico Rep.O.</v>
          </cell>
          <cell r="G1714" t="str">
            <v>Panama</v>
          </cell>
          <cell r="H1714" t="str">
            <v>6014</v>
          </cell>
          <cell r="I1714" t="str">
            <v>巴拿马</v>
          </cell>
          <cell r="J1714" t="str">
            <v>Panama</v>
          </cell>
          <cell r="K1714" t="str">
            <v>Local employees</v>
          </cell>
          <cell r="L1714" t="str">
            <v>L2</v>
          </cell>
          <cell r="M1714" t="str">
            <v>ALL</v>
          </cell>
          <cell r="N1714" t="str">
            <v>FLPC(含奖金)</v>
          </cell>
          <cell r="O1714" t="str">
            <v>USD/小时</v>
          </cell>
          <cell r="P1714">
            <v>53.3</v>
          </cell>
        </row>
        <row r="1715">
          <cell r="A1715" t="str">
            <v>Panama - Local employees - L3</v>
          </cell>
          <cell r="B1715" t="str">
            <v>Current version</v>
          </cell>
          <cell r="C1715" t="str">
            <v>V2009R2</v>
          </cell>
          <cell r="D1715" t="str">
            <v>Labor Rate</v>
          </cell>
          <cell r="E1715" t="str">
            <v>LA</v>
          </cell>
          <cell r="F1715" t="str">
            <v>Mexico Rep.O.</v>
          </cell>
          <cell r="G1715" t="str">
            <v>Panama</v>
          </cell>
          <cell r="H1715" t="str">
            <v>6014</v>
          </cell>
          <cell r="I1715" t="str">
            <v>巴拿马</v>
          </cell>
          <cell r="J1715" t="str">
            <v>Panama</v>
          </cell>
          <cell r="K1715" t="str">
            <v>Local employees</v>
          </cell>
          <cell r="L1715" t="str">
            <v>L3</v>
          </cell>
          <cell r="M1715" t="str">
            <v>ALL</v>
          </cell>
          <cell r="N1715" t="str">
            <v>FLPC(含奖金)</v>
          </cell>
          <cell r="O1715" t="str">
            <v>USD/小时</v>
          </cell>
          <cell r="P1715">
            <v>58.93</v>
          </cell>
        </row>
        <row r="1716">
          <cell r="A1716" t="str">
            <v>Panama - Local employees - L4</v>
          </cell>
          <cell r="B1716" t="str">
            <v>Current version</v>
          </cell>
          <cell r="C1716" t="str">
            <v>V2009R2</v>
          </cell>
          <cell r="D1716" t="str">
            <v>Labor Rate</v>
          </cell>
          <cell r="E1716" t="str">
            <v>LA</v>
          </cell>
          <cell r="F1716" t="str">
            <v>Mexico Rep.O.</v>
          </cell>
          <cell r="G1716" t="str">
            <v>Panama</v>
          </cell>
          <cell r="H1716" t="str">
            <v>6014</v>
          </cell>
          <cell r="I1716" t="str">
            <v>巴拿马</v>
          </cell>
          <cell r="J1716" t="str">
            <v>Panama</v>
          </cell>
          <cell r="K1716" t="str">
            <v>Local employees</v>
          </cell>
          <cell r="L1716" t="str">
            <v>L4</v>
          </cell>
          <cell r="M1716" t="str">
            <v>ALL</v>
          </cell>
          <cell r="N1716" t="str">
            <v>FLPC(含奖金)</v>
          </cell>
          <cell r="O1716" t="str">
            <v>USD/小时</v>
          </cell>
          <cell r="P1716">
            <v>66.81</v>
          </cell>
        </row>
        <row r="1717">
          <cell r="A1717" t="str">
            <v>North Mexico - Local employees - L0</v>
          </cell>
          <cell r="B1717" t="str">
            <v>Current version</v>
          </cell>
          <cell r="C1717" t="str">
            <v>V2009R2</v>
          </cell>
          <cell r="D1717" t="str">
            <v>Labor Rate</v>
          </cell>
          <cell r="E1717" t="str">
            <v>LA</v>
          </cell>
          <cell r="F1717" t="str">
            <v>Mexico Rep.O.</v>
          </cell>
          <cell r="G1717" t="str">
            <v>North Mexico</v>
          </cell>
          <cell r="H1717" t="str">
            <v>6028</v>
          </cell>
          <cell r="I1717" t="str">
            <v>墨西哥北区</v>
          </cell>
          <cell r="J1717" t="str">
            <v>North Mexico</v>
          </cell>
          <cell r="K1717" t="str">
            <v>Local employees</v>
          </cell>
          <cell r="L1717" t="str">
            <v>L0</v>
          </cell>
          <cell r="M1717" t="str">
            <v>ALL</v>
          </cell>
          <cell r="N1717" t="str">
            <v>FLPC(含奖金)</v>
          </cell>
          <cell r="O1717" t="str">
            <v>USD/小时</v>
          </cell>
          <cell r="P1717">
            <v>43.89</v>
          </cell>
        </row>
        <row r="1718">
          <cell r="A1718" t="str">
            <v>North Mexico - Local employees - L1</v>
          </cell>
          <cell r="B1718" t="str">
            <v>Current version</v>
          </cell>
          <cell r="C1718" t="str">
            <v>V2009R2</v>
          </cell>
          <cell r="D1718" t="str">
            <v>Labor Rate</v>
          </cell>
          <cell r="E1718" t="str">
            <v>LA</v>
          </cell>
          <cell r="F1718" t="str">
            <v>Mexico Rep.O.</v>
          </cell>
          <cell r="G1718" t="str">
            <v>North Mexico</v>
          </cell>
          <cell r="H1718" t="str">
            <v>6028</v>
          </cell>
          <cell r="I1718" t="str">
            <v>墨西哥北区</v>
          </cell>
          <cell r="J1718" t="str">
            <v>North Mexico</v>
          </cell>
          <cell r="K1718" t="str">
            <v>Local employees</v>
          </cell>
          <cell r="L1718" t="str">
            <v>L1</v>
          </cell>
          <cell r="M1718" t="str">
            <v>ALL</v>
          </cell>
          <cell r="N1718" t="str">
            <v>FLPC(含奖金)</v>
          </cell>
          <cell r="O1718" t="str">
            <v>USD/小时</v>
          </cell>
          <cell r="P1718">
            <v>52</v>
          </cell>
        </row>
        <row r="1719">
          <cell r="A1719" t="str">
            <v>North Mexico - Local employees - L2</v>
          </cell>
          <cell r="B1719" t="str">
            <v>Current version</v>
          </cell>
          <cell r="C1719" t="str">
            <v>V2009R2</v>
          </cell>
          <cell r="D1719" t="str">
            <v>Labor Rate</v>
          </cell>
          <cell r="E1719" t="str">
            <v>LA</v>
          </cell>
          <cell r="F1719" t="str">
            <v>Mexico Rep.O.</v>
          </cell>
          <cell r="G1719" t="str">
            <v>North Mexico</v>
          </cell>
          <cell r="H1719" t="str">
            <v>6028</v>
          </cell>
          <cell r="I1719" t="str">
            <v>墨西哥北区</v>
          </cell>
          <cell r="J1719" t="str">
            <v>North Mexico</v>
          </cell>
          <cell r="K1719" t="str">
            <v>Local employees</v>
          </cell>
          <cell r="L1719" t="str">
            <v>L2</v>
          </cell>
          <cell r="M1719" t="str">
            <v>ALL</v>
          </cell>
          <cell r="N1719" t="str">
            <v>FLPC(含奖金)</v>
          </cell>
          <cell r="O1719" t="str">
            <v>USD/小时</v>
          </cell>
          <cell r="P1719">
            <v>61.8</v>
          </cell>
        </row>
        <row r="1720">
          <cell r="A1720" t="str">
            <v>North Mexico - Local employees - L3</v>
          </cell>
          <cell r="B1720" t="str">
            <v>Current version</v>
          </cell>
          <cell r="C1720" t="str">
            <v>V2009R2</v>
          </cell>
          <cell r="D1720" t="str">
            <v>Labor Rate</v>
          </cell>
          <cell r="E1720" t="str">
            <v>LA</v>
          </cell>
          <cell r="F1720" t="str">
            <v>Mexico Rep.O.</v>
          </cell>
          <cell r="G1720" t="str">
            <v>North Mexico</v>
          </cell>
          <cell r="H1720" t="str">
            <v>6028</v>
          </cell>
          <cell r="I1720" t="str">
            <v>墨西哥北区</v>
          </cell>
          <cell r="J1720" t="str">
            <v>North Mexico</v>
          </cell>
          <cell r="K1720" t="str">
            <v>Local employees</v>
          </cell>
          <cell r="L1720" t="str">
            <v>L3</v>
          </cell>
          <cell r="M1720" t="str">
            <v>ALL</v>
          </cell>
          <cell r="N1720" t="str">
            <v>FLPC(含奖金)</v>
          </cell>
          <cell r="O1720" t="str">
            <v>USD/小时</v>
          </cell>
          <cell r="P1720">
            <v>71.84</v>
          </cell>
        </row>
        <row r="1721">
          <cell r="A1721" t="str">
            <v>North Mexico - Local employees - L4</v>
          </cell>
          <cell r="B1721" t="str">
            <v>Current version</v>
          </cell>
          <cell r="C1721" t="str">
            <v>V2009R2</v>
          </cell>
          <cell r="D1721" t="str">
            <v>Labor Rate</v>
          </cell>
          <cell r="E1721" t="str">
            <v>LA</v>
          </cell>
          <cell r="F1721" t="str">
            <v>Mexico Rep.O.</v>
          </cell>
          <cell r="G1721" t="str">
            <v>North Mexico</v>
          </cell>
          <cell r="H1721" t="str">
            <v>6028</v>
          </cell>
          <cell r="I1721" t="str">
            <v>墨西哥北区</v>
          </cell>
          <cell r="J1721" t="str">
            <v>North Mexico</v>
          </cell>
          <cell r="K1721" t="str">
            <v>Local employees</v>
          </cell>
          <cell r="L1721" t="str">
            <v>L4</v>
          </cell>
          <cell r="M1721" t="str">
            <v>ALL</v>
          </cell>
          <cell r="N1721" t="str">
            <v>FLPC(含奖金)</v>
          </cell>
          <cell r="O1721" t="str">
            <v>USD/小时</v>
          </cell>
          <cell r="P1721">
            <v>95.62</v>
          </cell>
        </row>
        <row r="1722">
          <cell r="A1722" t="str">
            <v>Mexico - Local employees - L0</v>
          </cell>
          <cell r="B1722" t="str">
            <v>Current version</v>
          </cell>
          <cell r="C1722" t="str">
            <v>V2009R2</v>
          </cell>
          <cell r="D1722" t="str">
            <v>Labor Rate</v>
          </cell>
          <cell r="E1722" t="str">
            <v>LA</v>
          </cell>
          <cell r="F1722" t="str">
            <v>Mexico Rep.O.</v>
          </cell>
          <cell r="G1722" t="str">
            <v>Mexico</v>
          </cell>
          <cell r="H1722" t="str">
            <v>6007</v>
          </cell>
          <cell r="I1722" t="str">
            <v>墨西哥</v>
          </cell>
          <cell r="J1722" t="str">
            <v>Mexico</v>
          </cell>
          <cell r="K1722" t="str">
            <v>Local employees</v>
          </cell>
          <cell r="L1722" t="str">
            <v>L0</v>
          </cell>
          <cell r="M1722" t="str">
            <v>ALL</v>
          </cell>
          <cell r="N1722" t="str">
            <v>FLPC(含奖金)</v>
          </cell>
          <cell r="O1722" t="str">
            <v>USD/小时</v>
          </cell>
          <cell r="P1722">
            <v>43.89</v>
          </cell>
        </row>
        <row r="1723">
          <cell r="A1723" t="str">
            <v>Mexico - Local employees - L1</v>
          </cell>
          <cell r="B1723" t="str">
            <v>Current version</v>
          </cell>
          <cell r="C1723" t="str">
            <v>V2009R2</v>
          </cell>
          <cell r="D1723" t="str">
            <v>Labor Rate</v>
          </cell>
          <cell r="E1723" t="str">
            <v>LA</v>
          </cell>
          <cell r="F1723" t="str">
            <v>Mexico Rep.O.</v>
          </cell>
          <cell r="G1723" t="str">
            <v>Mexico</v>
          </cell>
          <cell r="H1723" t="str">
            <v>6007</v>
          </cell>
          <cell r="I1723" t="str">
            <v>墨西哥</v>
          </cell>
          <cell r="J1723" t="str">
            <v>Mexico</v>
          </cell>
          <cell r="K1723" t="str">
            <v>Local employees</v>
          </cell>
          <cell r="L1723" t="str">
            <v>L1</v>
          </cell>
          <cell r="M1723" t="str">
            <v>ALL</v>
          </cell>
          <cell r="N1723" t="str">
            <v>FLPC(含奖金)</v>
          </cell>
          <cell r="O1723" t="str">
            <v>USD/小时</v>
          </cell>
          <cell r="P1723">
            <v>52</v>
          </cell>
        </row>
        <row r="1724">
          <cell r="A1724" t="str">
            <v>Mexico - Local employees - L2</v>
          </cell>
          <cell r="B1724" t="str">
            <v>Current version</v>
          </cell>
          <cell r="C1724" t="str">
            <v>V2009R2</v>
          </cell>
          <cell r="D1724" t="str">
            <v>Labor Rate</v>
          </cell>
          <cell r="E1724" t="str">
            <v>LA</v>
          </cell>
          <cell r="F1724" t="str">
            <v>Mexico Rep.O.</v>
          </cell>
          <cell r="G1724" t="str">
            <v>Mexico</v>
          </cell>
          <cell r="H1724" t="str">
            <v>6007</v>
          </cell>
          <cell r="I1724" t="str">
            <v>墨西哥</v>
          </cell>
          <cell r="J1724" t="str">
            <v>Mexico</v>
          </cell>
          <cell r="K1724" t="str">
            <v>Local employees</v>
          </cell>
          <cell r="L1724" t="str">
            <v>L2</v>
          </cell>
          <cell r="M1724" t="str">
            <v>ALL</v>
          </cell>
          <cell r="N1724" t="str">
            <v>FLPC(含奖金)</v>
          </cell>
          <cell r="O1724" t="str">
            <v>USD/小时</v>
          </cell>
          <cell r="P1724">
            <v>61.8</v>
          </cell>
        </row>
        <row r="1725">
          <cell r="A1725" t="str">
            <v>Mexico - Local employees - L3</v>
          </cell>
          <cell r="B1725" t="str">
            <v>Current version</v>
          </cell>
          <cell r="C1725" t="str">
            <v>V2009R2</v>
          </cell>
          <cell r="D1725" t="str">
            <v>Labor Rate</v>
          </cell>
          <cell r="E1725" t="str">
            <v>LA</v>
          </cell>
          <cell r="F1725" t="str">
            <v>Mexico Rep.O.</v>
          </cell>
          <cell r="G1725" t="str">
            <v>Mexico</v>
          </cell>
          <cell r="H1725" t="str">
            <v>6007</v>
          </cell>
          <cell r="I1725" t="str">
            <v>墨西哥</v>
          </cell>
          <cell r="J1725" t="str">
            <v>Mexico</v>
          </cell>
          <cell r="K1725" t="str">
            <v>Local employees</v>
          </cell>
          <cell r="L1725" t="str">
            <v>L3</v>
          </cell>
          <cell r="M1725" t="str">
            <v>ALL</v>
          </cell>
          <cell r="N1725" t="str">
            <v>FLPC(含奖金)</v>
          </cell>
          <cell r="O1725" t="str">
            <v>USD/小时</v>
          </cell>
          <cell r="P1725">
            <v>71.84</v>
          </cell>
        </row>
        <row r="1726">
          <cell r="A1726" t="str">
            <v>Mexico - Local employees - L4</v>
          </cell>
          <cell r="B1726" t="str">
            <v>Current version</v>
          </cell>
          <cell r="C1726" t="str">
            <v>V2009R2</v>
          </cell>
          <cell r="D1726" t="str">
            <v>Labor Rate</v>
          </cell>
          <cell r="E1726" t="str">
            <v>LA</v>
          </cell>
          <cell r="F1726" t="str">
            <v>Mexico Rep.O.</v>
          </cell>
          <cell r="G1726" t="str">
            <v>Mexico</v>
          </cell>
          <cell r="H1726" t="str">
            <v>6007</v>
          </cell>
          <cell r="I1726" t="str">
            <v>墨西哥</v>
          </cell>
          <cell r="J1726" t="str">
            <v>Mexico</v>
          </cell>
          <cell r="K1726" t="str">
            <v>Local employees</v>
          </cell>
          <cell r="L1726" t="str">
            <v>L4</v>
          </cell>
          <cell r="M1726" t="str">
            <v>ALL</v>
          </cell>
          <cell r="N1726" t="str">
            <v>FLPC(含奖金)</v>
          </cell>
          <cell r="O1726" t="str">
            <v>USD/小时</v>
          </cell>
          <cell r="P1726">
            <v>95.62</v>
          </cell>
        </row>
        <row r="1727">
          <cell r="A1727" t="str">
            <v>Jamaica - Local employees - L0</v>
          </cell>
          <cell r="B1727" t="str">
            <v>Current version</v>
          </cell>
          <cell r="C1727" t="str">
            <v>V2009R2</v>
          </cell>
          <cell r="D1727" t="str">
            <v>Labor Rate</v>
          </cell>
          <cell r="E1727" t="str">
            <v>LA</v>
          </cell>
          <cell r="F1727" t="str">
            <v>Mexico Rep.O.</v>
          </cell>
          <cell r="G1727" t="str">
            <v>Jamaica</v>
          </cell>
          <cell r="H1727" t="str">
            <v>6026</v>
          </cell>
          <cell r="I1727" t="str">
            <v>牙买加</v>
          </cell>
          <cell r="J1727" t="str">
            <v>Jamaica</v>
          </cell>
          <cell r="K1727" t="str">
            <v>Local employees</v>
          </cell>
          <cell r="L1727" t="str">
            <v>L0</v>
          </cell>
          <cell r="M1727" t="str">
            <v>ALL</v>
          </cell>
          <cell r="N1727" t="str">
            <v>FLPC(含奖金)</v>
          </cell>
          <cell r="O1727" t="str">
            <v>USD/小时</v>
          </cell>
          <cell r="P1727">
            <v>46.32</v>
          </cell>
        </row>
        <row r="1728">
          <cell r="A1728" t="str">
            <v>Jamaica - Local employees - L1</v>
          </cell>
          <cell r="B1728" t="str">
            <v>Current version</v>
          </cell>
          <cell r="C1728" t="str">
            <v>V2009R2</v>
          </cell>
          <cell r="D1728" t="str">
            <v>Labor Rate</v>
          </cell>
          <cell r="E1728" t="str">
            <v>LA</v>
          </cell>
          <cell r="F1728" t="str">
            <v>Mexico Rep.O.</v>
          </cell>
          <cell r="G1728" t="str">
            <v>Jamaica</v>
          </cell>
          <cell r="H1728" t="str">
            <v>6026</v>
          </cell>
          <cell r="I1728" t="str">
            <v>牙买加</v>
          </cell>
          <cell r="J1728" t="str">
            <v>Jamaica</v>
          </cell>
          <cell r="K1728" t="str">
            <v>Local employees</v>
          </cell>
          <cell r="L1728" t="str">
            <v>L1</v>
          </cell>
          <cell r="M1728" t="str">
            <v>ALL</v>
          </cell>
          <cell r="N1728" t="str">
            <v>FLPC(含奖金)</v>
          </cell>
          <cell r="O1728" t="str">
            <v>USD/小时</v>
          </cell>
          <cell r="P1728">
            <v>47.93</v>
          </cell>
        </row>
        <row r="1729">
          <cell r="A1729" t="str">
            <v>Jamaica - Local employees - L2</v>
          </cell>
          <cell r="B1729" t="str">
            <v>Current version</v>
          </cell>
          <cell r="C1729" t="str">
            <v>V2009R2</v>
          </cell>
          <cell r="D1729" t="str">
            <v>Labor Rate</v>
          </cell>
          <cell r="E1729" t="str">
            <v>LA</v>
          </cell>
          <cell r="F1729" t="str">
            <v>Mexico Rep.O.</v>
          </cell>
          <cell r="G1729" t="str">
            <v>Jamaica</v>
          </cell>
          <cell r="H1729" t="str">
            <v>6026</v>
          </cell>
          <cell r="I1729" t="str">
            <v>牙买加</v>
          </cell>
          <cell r="J1729" t="str">
            <v>Jamaica</v>
          </cell>
          <cell r="K1729" t="str">
            <v>Local employees</v>
          </cell>
          <cell r="L1729" t="str">
            <v>L2</v>
          </cell>
          <cell r="M1729" t="str">
            <v>ALL</v>
          </cell>
          <cell r="N1729" t="str">
            <v>FLPC(含奖金)</v>
          </cell>
          <cell r="O1729" t="str">
            <v>USD/小时</v>
          </cell>
          <cell r="P1729">
            <v>58.44</v>
          </cell>
        </row>
        <row r="1730">
          <cell r="A1730" t="str">
            <v>Jamaica - Local employees - L3</v>
          </cell>
          <cell r="B1730" t="str">
            <v>Current version</v>
          </cell>
          <cell r="C1730" t="str">
            <v>V2009R2</v>
          </cell>
          <cell r="D1730" t="str">
            <v>Labor Rate</v>
          </cell>
          <cell r="E1730" t="str">
            <v>LA</v>
          </cell>
          <cell r="F1730" t="str">
            <v>Mexico Rep.O.</v>
          </cell>
          <cell r="G1730" t="str">
            <v>Jamaica</v>
          </cell>
          <cell r="H1730" t="str">
            <v>6026</v>
          </cell>
          <cell r="I1730" t="str">
            <v>牙买加</v>
          </cell>
          <cell r="J1730" t="str">
            <v>Jamaica</v>
          </cell>
          <cell r="K1730" t="str">
            <v>Local employees</v>
          </cell>
          <cell r="L1730" t="str">
            <v>L3</v>
          </cell>
          <cell r="M1730" t="str">
            <v>ALL</v>
          </cell>
          <cell r="N1730" t="str">
            <v>FLPC(含奖金)</v>
          </cell>
          <cell r="O1730" t="str">
            <v>USD/小时</v>
          </cell>
          <cell r="P1730">
            <v>76.14</v>
          </cell>
        </row>
        <row r="1731">
          <cell r="A1731" t="str">
            <v>Bahrain - Local employees - L2</v>
          </cell>
          <cell r="B1731" t="str">
            <v>Current version</v>
          </cell>
          <cell r="C1731" t="str">
            <v>V2009R2</v>
          </cell>
          <cell r="D1731" t="str">
            <v>Labor Rate</v>
          </cell>
          <cell r="E1731" t="str">
            <v>MENA</v>
          </cell>
          <cell r="F1731" t="str">
            <v>Middle East Sub-Regional Division</v>
          </cell>
          <cell r="G1731" t="str">
            <v>Bahrain</v>
          </cell>
          <cell r="H1731" t="str">
            <v>5014</v>
          </cell>
          <cell r="I1731" t="str">
            <v>巴林</v>
          </cell>
          <cell r="J1731" t="str">
            <v>Bahrain</v>
          </cell>
          <cell r="K1731" t="str">
            <v>Local employees</v>
          </cell>
          <cell r="L1731" t="str">
            <v>L2</v>
          </cell>
          <cell r="M1731" t="str">
            <v>ALL</v>
          </cell>
          <cell r="N1731" t="str">
            <v>FLPC(含奖金)</v>
          </cell>
          <cell r="O1731" t="str">
            <v>USD/小时</v>
          </cell>
          <cell r="P1731">
            <v>41.25</v>
          </cell>
        </row>
        <row r="1732">
          <cell r="A1732" t="str">
            <v>Bahrain - Local employees - L3</v>
          </cell>
          <cell r="B1732" t="str">
            <v>Current version</v>
          </cell>
          <cell r="C1732" t="str">
            <v>V2009R2</v>
          </cell>
          <cell r="D1732" t="str">
            <v>Labor Rate</v>
          </cell>
          <cell r="E1732" t="str">
            <v>MENA</v>
          </cell>
          <cell r="F1732" t="str">
            <v>Middle East Sub-Regional Division</v>
          </cell>
          <cell r="G1732" t="str">
            <v>Bahrain</v>
          </cell>
          <cell r="H1732" t="str">
            <v>5014</v>
          </cell>
          <cell r="I1732" t="str">
            <v>巴林</v>
          </cell>
          <cell r="J1732" t="str">
            <v>Bahrain</v>
          </cell>
          <cell r="K1732" t="str">
            <v>Local employees</v>
          </cell>
          <cell r="L1732" t="str">
            <v>L3</v>
          </cell>
          <cell r="M1732" t="str">
            <v>ALL</v>
          </cell>
          <cell r="N1732" t="str">
            <v>FLPC(含奖金)</v>
          </cell>
          <cell r="O1732" t="str">
            <v>USD/小时</v>
          </cell>
          <cell r="P1732">
            <v>61.61</v>
          </cell>
        </row>
        <row r="1733">
          <cell r="A1733" t="str">
            <v>Bahrain - Local employees - L4</v>
          </cell>
          <cell r="B1733" t="str">
            <v>Current version</v>
          </cell>
          <cell r="C1733" t="str">
            <v>V2009R2</v>
          </cell>
          <cell r="D1733" t="str">
            <v>Labor Rate</v>
          </cell>
          <cell r="E1733" t="str">
            <v>MENA</v>
          </cell>
          <cell r="F1733" t="str">
            <v>Middle East Sub-Regional Division</v>
          </cell>
          <cell r="G1733" t="str">
            <v>Bahrain</v>
          </cell>
          <cell r="H1733" t="str">
            <v>5014</v>
          </cell>
          <cell r="I1733" t="str">
            <v>巴林</v>
          </cell>
          <cell r="J1733" t="str">
            <v>Bahrain</v>
          </cell>
          <cell r="K1733" t="str">
            <v>Local employees</v>
          </cell>
          <cell r="L1733" t="str">
            <v>L4</v>
          </cell>
          <cell r="M1733" t="str">
            <v>ALL</v>
          </cell>
          <cell r="N1733" t="str">
            <v>FLPC(含奖金)</v>
          </cell>
          <cell r="O1733" t="str">
            <v>USD/小时</v>
          </cell>
          <cell r="P1733">
            <v>100.23</v>
          </cell>
        </row>
        <row r="1734">
          <cell r="A1734" t="str">
            <v>Iraq - Local employees - L0</v>
          </cell>
          <cell r="B1734" t="str">
            <v>Current version</v>
          </cell>
          <cell r="C1734" t="str">
            <v>V2009R2</v>
          </cell>
          <cell r="D1734" t="str">
            <v>Labor Rate</v>
          </cell>
          <cell r="E1734" t="str">
            <v>MENA</v>
          </cell>
          <cell r="F1734" t="str">
            <v>Middle East Sub-Regional Division</v>
          </cell>
          <cell r="G1734" t="str">
            <v>A3代表处</v>
          </cell>
          <cell r="H1734" t="str">
            <v>5011</v>
          </cell>
          <cell r="I1734" t="str">
            <v>A3伊拉克</v>
          </cell>
          <cell r="J1734" t="str">
            <v>Iraq</v>
          </cell>
          <cell r="K1734" t="str">
            <v>Local employees</v>
          </cell>
          <cell r="L1734" t="str">
            <v>L0</v>
          </cell>
          <cell r="M1734" t="str">
            <v>ALL</v>
          </cell>
          <cell r="N1734" t="str">
            <v>FLPC(含奖金)</v>
          </cell>
          <cell r="O1734" t="str">
            <v>USD/小时</v>
          </cell>
          <cell r="P1734">
            <v>21.15</v>
          </cell>
        </row>
        <row r="1735">
          <cell r="A1735" t="str">
            <v>Iraq - Local employees - L1</v>
          </cell>
          <cell r="B1735" t="str">
            <v>Current version</v>
          </cell>
          <cell r="C1735" t="str">
            <v>V2009R2</v>
          </cell>
          <cell r="D1735" t="str">
            <v>Labor Rate</v>
          </cell>
          <cell r="E1735" t="str">
            <v>MENA</v>
          </cell>
          <cell r="F1735" t="str">
            <v>Middle East Sub-Regional Division</v>
          </cell>
          <cell r="G1735" t="str">
            <v>A3代表处</v>
          </cell>
          <cell r="H1735" t="str">
            <v>5011</v>
          </cell>
          <cell r="I1735" t="str">
            <v>A3伊拉克</v>
          </cell>
          <cell r="J1735" t="str">
            <v>Iraq</v>
          </cell>
          <cell r="K1735" t="str">
            <v>Local employees</v>
          </cell>
          <cell r="L1735" t="str">
            <v>L1</v>
          </cell>
          <cell r="M1735" t="str">
            <v>ALL</v>
          </cell>
          <cell r="N1735" t="str">
            <v>FLPC(含奖金)</v>
          </cell>
          <cell r="O1735" t="str">
            <v>USD/小时</v>
          </cell>
          <cell r="P1735">
            <v>22.68</v>
          </cell>
        </row>
        <row r="1736">
          <cell r="A1736" t="str">
            <v>Iraq - Local employees - L2</v>
          </cell>
          <cell r="B1736" t="str">
            <v>Current version</v>
          </cell>
          <cell r="C1736" t="str">
            <v>V2009R2</v>
          </cell>
          <cell r="D1736" t="str">
            <v>Labor Rate</v>
          </cell>
          <cell r="E1736" t="str">
            <v>MENA</v>
          </cell>
          <cell r="F1736" t="str">
            <v>Middle East Sub-Regional Division</v>
          </cell>
          <cell r="G1736" t="str">
            <v>A3代表处</v>
          </cell>
          <cell r="H1736" t="str">
            <v>5011</v>
          </cell>
          <cell r="I1736" t="str">
            <v>A3伊拉克</v>
          </cell>
          <cell r="J1736" t="str">
            <v>Iraq</v>
          </cell>
          <cell r="K1736" t="str">
            <v>Local employees</v>
          </cell>
          <cell r="L1736" t="str">
            <v>L2</v>
          </cell>
          <cell r="M1736" t="str">
            <v>ALL</v>
          </cell>
          <cell r="N1736" t="str">
            <v>FLPC(含奖金)</v>
          </cell>
          <cell r="O1736" t="str">
            <v>USD/小时</v>
          </cell>
          <cell r="P1736">
            <v>33.21</v>
          </cell>
        </row>
        <row r="1737">
          <cell r="A1737" t="str">
            <v>Iraq - Local employees - L3</v>
          </cell>
          <cell r="B1737" t="str">
            <v>Current version</v>
          </cell>
          <cell r="C1737" t="str">
            <v>V2009R2</v>
          </cell>
          <cell r="D1737" t="str">
            <v>Labor Rate</v>
          </cell>
          <cell r="E1737" t="str">
            <v>MENA</v>
          </cell>
          <cell r="F1737" t="str">
            <v>Middle East Sub-Regional Division</v>
          </cell>
          <cell r="G1737" t="str">
            <v>A3代表处</v>
          </cell>
          <cell r="H1737" t="str">
            <v>5011</v>
          </cell>
          <cell r="I1737" t="str">
            <v>A3伊拉克</v>
          </cell>
          <cell r="J1737" t="str">
            <v>Iraq</v>
          </cell>
          <cell r="K1737" t="str">
            <v>Local employees</v>
          </cell>
          <cell r="L1737" t="str">
            <v>L3</v>
          </cell>
          <cell r="M1737" t="str">
            <v>ALL</v>
          </cell>
          <cell r="N1737" t="str">
            <v>FLPC(含奖金)</v>
          </cell>
          <cell r="O1737" t="str">
            <v>USD/小时</v>
          </cell>
          <cell r="P1737">
            <v>42.79</v>
          </cell>
        </row>
        <row r="1738">
          <cell r="A1738" t="str">
            <v>Iraq - Local employees - L4</v>
          </cell>
          <cell r="B1738" t="str">
            <v>Current version</v>
          </cell>
          <cell r="C1738" t="str">
            <v>V2009R2</v>
          </cell>
          <cell r="D1738" t="str">
            <v>Labor Rate</v>
          </cell>
          <cell r="E1738" t="str">
            <v>MENA</v>
          </cell>
          <cell r="F1738" t="str">
            <v>Middle East Sub-Regional Division</v>
          </cell>
          <cell r="G1738" t="str">
            <v>A3代表处</v>
          </cell>
          <cell r="H1738" t="str">
            <v>5011</v>
          </cell>
          <cell r="I1738" t="str">
            <v>A3伊拉克</v>
          </cell>
          <cell r="J1738" t="str">
            <v>Iraq</v>
          </cell>
          <cell r="K1738" t="str">
            <v>Local employees</v>
          </cell>
          <cell r="L1738" t="str">
            <v>L4</v>
          </cell>
          <cell r="M1738" t="str">
            <v>ALL</v>
          </cell>
          <cell r="N1738" t="str">
            <v>FLPC(含奖金)</v>
          </cell>
          <cell r="O1738" t="str">
            <v>USD/小时</v>
          </cell>
          <cell r="P1738">
            <v>59.56</v>
          </cell>
        </row>
        <row r="1739">
          <cell r="A1739" t="str">
            <v>Baghdad - Local employees - L0</v>
          </cell>
          <cell r="B1739" t="str">
            <v>Current version</v>
          </cell>
          <cell r="C1739" t="str">
            <v>V2009R2</v>
          </cell>
          <cell r="D1739" t="str">
            <v>Labor Rate</v>
          </cell>
          <cell r="E1739" t="str">
            <v>MENA</v>
          </cell>
          <cell r="F1739" t="str">
            <v>Middle East Sub-Regional Division</v>
          </cell>
          <cell r="G1739" t="str">
            <v>A3代表处</v>
          </cell>
          <cell r="H1739" t="str">
            <v>5025</v>
          </cell>
          <cell r="I1739" t="str">
            <v>巴格达</v>
          </cell>
          <cell r="J1739" t="str">
            <v>Baghdad</v>
          </cell>
          <cell r="K1739" t="str">
            <v>Local employees</v>
          </cell>
          <cell r="L1739" t="str">
            <v>L0</v>
          </cell>
          <cell r="M1739" t="str">
            <v>ALL</v>
          </cell>
          <cell r="N1739" t="str">
            <v>FLPC(含奖金)</v>
          </cell>
          <cell r="O1739" t="str">
            <v>USD/小时</v>
          </cell>
          <cell r="P1739">
            <v>21.15</v>
          </cell>
        </row>
        <row r="1740">
          <cell r="A1740" t="str">
            <v>Baghdad - Local employees - L1</v>
          </cell>
          <cell r="B1740" t="str">
            <v>Current version</v>
          </cell>
          <cell r="C1740" t="str">
            <v>V2009R2</v>
          </cell>
          <cell r="D1740" t="str">
            <v>Labor Rate</v>
          </cell>
          <cell r="E1740" t="str">
            <v>MENA</v>
          </cell>
          <cell r="F1740" t="str">
            <v>Middle East Sub-Regional Division</v>
          </cell>
          <cell r="G1740" t="str">
            <v>A3代表处</v>
          </cell>
          <cell r="H1740" t="str">
            <v>5025</v>
          </cell>
          <cell r="I1740" t="str">
            <v>巴格达</v>
          </cell>
          <cell r="J1740" t="str">
            <v>Baghdad</v>
          </cell>
          <cell r="K1740" t="str">
            <v>Local employees</v>
          </cell>
          <cell r="L1740" t="str">
            <v>L1</v>
          </cell>
          <cell r="M1740" t="str">
            <v>ALL</v>
          </cell>
          <cell r="N1740" t="str">
            <v>FLPC(含奖金)</v>
          </cell>
          <cell r="O1740" t="str">
            <v>USD/小时</v>
          </cell>
          <cell r="P1740">
            <v>22.68</v>
          </cell>
        </row>
        <row r="1741">
          <cell r="A1741" t="str">
            <v>Baghdad - Local employees - L2</v>
          </cell>
          <cell r="B1741" t="str">
            <v>Current version</v>
          </cell>
          <cell r="C1741" t="str">
            <v>V2009R2</v>
          </cell>
          <cell r="D1741" t="str">
            <v>Labor Rate</v>
          </cell>
          <cell r="E1741" t="str">
            <v>MENA</v>
          </cell>
          <cell r="F1741" t="str">
            <v>Middle East Sub-Regional Division</v>
          </cell>
          <cell r="G1741" t="str">
            <v>A3代表处</v>
          </cell>
          <cell r="H1741" t="str">
            <v>5025</v>
          </cell>
          <cell r="I1741" t="str">
            <v>巴格达</v>
          </cell>
          <cell r="J1741" t="str">
            <v>Baghdad</v>
          </cell>
          <cell r="K1741" t="str">
            <v>Local employees</v>
          </cell>
          <cell r="L1741" t="str">
            <v>L2</v>
          </cell>
          <cell r="M1741" t="str">
            <v>ALL</v>
          </cell>
          <cell r="N1741" t="str">
            <v>FLPC(含奖金)</v>
          </cell>
          <cell r="O1741" t="str">
            <v>USD/小时</v>
          </cell>
          <cell r="P1741">
            <v>33.21</v>
          </cell>
        </row>
        <row r="1742">
          <cell r="A1742" t="str">
            <v>Baghdad - Local employees - L3</v>
          </cell>
          <cell r="B1742" t="str">
            <v>Current version</v>
          </cell>
          <cell r="C1742" t="str">
            <v>V2009R2</v>
          </cell>
          <cell r="D1742" t="str">
            <v>Labor Rate</v>
          </cell>
          <cell r="E1742" t="str">
            <v>MENA</v>
          </cell>
          <cell r="F1742" t="str">
            <v>Middle East Sub-Regional Division</v>
          </cell>
          <cell r="G1742" t="str">
            <v>A3代表处</v>
          </cell>
          <cell r="H1742" t="str">
            <v>5025</v>
          </cell>
          <cell r="I1742" t="str">
            <v>巴格达</v>
          </cell>
          <cell r="J1742" t="str">
            <v>Baghdad</v>
          </cell>
          <cell r="K1742" t="str">
            <v>Local employees</v>
          </cell>
          <cell r="L1742" t="str">
            <v>L3</v>
          </cell>
          <cell r="M1742" t="str">
            <v>ALL</v>
          </cell>
          <cell r="N1742" t="str">
            <v>FLPC(含奖金)</v>
          </cell>
          <cell r="O1742" t="str">
            <v>USD/小时</v>
          </cell>
          <cell r="P1742">
            <v>42.79</v>
          </cell>
        </row>
        <row r="1743">
          <cell r="A1743" t="str">
            <v>Baghdad - Local employees - L4</v>
          </cell>
          <cell r="B1743" t="str">
            <v>Current version</v>
          </cell>
          <cell r="C1743" t="str">
            <v>V2009R2</v>
          </cell>
          <cell r="D1743" t="str">
            <v>Labor Rate</v>
          </cell>
          <cell r="E1743" t="str">
            <v>MENA</v>
          </cell>
          <cell r="F1743" t="str">
            <v>Middle East Sub-Regional Division</v>
          </cell>
          <cell r="G1743" t="str">
            <v>A3代表处</v>
          </cell>
          <cell r="H1743" t="str">
            <v>5025</v>
          </cell>
          <cell r="I1743" t="str">
            <v>巴格达</v>
          </cell>
          <cell r="J1743" t="str">
            <v>Baghdad</v>
          </cell>
          <cell r="K1743" t="str">
            <v>Local employees</v>
          </cell>
          <cell r="L1743" t="str">
            <v>L4</v>
          </cell>
          <cell r="M1743" t="str">
            <v>ALL</v>
          </cell>
          <cell r="N1743" t="str">
            <v>FLPC(含奖金)</v>
          </cell>
          <cell r="O1743" t="str">
            <v>USD/小时</v>
          </cell>
          <cell r="P1743">
            <v>59.56</v>
          </cell>
        </row>
        <row r="1744">
          <cell r="A1744" t="str">
            <v>Tunis - Local employees - L0</v>
          </cell>
          <cell r="B1744" t="str">
            <v>Current version</v>
          </cell>
          <cell r="C1744" t="str">
            <v>V2009R2</v>
          </cell>
          <cell r="D1744" t="str">
            <v>Labor Rate</v>
          </cell>
          <cell r="E1744" t="str">
            <v>MENA</v>
          </cell>
          <cell r="F1744" t="str">
            <v>Northern Africa Sub-Regional Division</v>
          </cell>
          <cell r="G1744" t="str">
            <v>Tunis Rep.O.</v>
          </cell>
          <cell r="H1744" t="str">
            <v>4997</v>
          </cell>
          <cell r="I1744" t="str">
            <v>突尼斯</v>
          </cell>
          <cell r="J1744" t="str">
            <v>Tunis</v>
          </cell>
          <cell r="K1744" t="str">
            <v>Local employees</v>
          </cell>
          <cell r="L1744" t="str">
            <v>L0</v>
          </cell>
          <cell r="M1744" t="str">
            <v>ALL</v>
          </cell>
          <cell r="N1744" t="str">
            <v>FLPC(含奖金)</v>
          </cell>
          <cell r="O1744" t="str">
            <v>USD/小时</v>
          </cell>
          <cell r="P1744">
            <v>15.13</v>
          </cell>
        </row>
        <row r="1745">
          <cell r="A1745" t="str">
            <v>Tunis - Local employees - L1</v>
          </cell>
          <cell r="B1745" t="str">
            <v>Current version</v>
          </cell>
          <cell r="C1745" t="str">
            <v>V2009R2</v>
          </cell>
          <cell r="D1745" t="str">
            <v>Labor Rate</v>
          </cell>
          <cell r="E1745" t="str">
            <v>MENA</v>
          </cell>
          <cell r="F1745" t="str">
            <v>Northern Africa Sub-Regional Division</v>
          </cell>
          <cell r="G1745" t="str">
            <v>Tunis Rep.O.</v>
          </cell>
          <cell r="H1745" t="str">
            <v>4997</v>
          </cell>
          <cell r="I1745" t="str">
            <v>突尼斯</v>
          </cell>
          <cell r="J1745" t="str">
            <v>Tunis</v>
          </cell>
          <cell r="K1745" t="str">
            <v>Local employees</v>
          </cell>
          <cell r="L1745" t="str">
            <v>L1</v>
          </cell>
          <cell r="M1745" t="str">
            <v>ALL</v>
          </cell>
          <cell r="N1745" t="str">
            <v>FLPC(含奖金)</v>
          </cell>
          <cell r="O1745" t="str">
            <v>USD/小时</v>
          </cell>
          <cell r="P1745">
            <v>32.590000000000003</v>
          </cell>
        </row>
        <row r="1746">
          <cell r="A1746" t="str">
            <v>Tunis - Local employees - L2</v>
          </cell>
          <cell r="B1746" t="str">
            <v>Current version</v>
          </cell>
          <cell r="C1746" t="str">
            <v>V2009R2</v>
          </cell>
          <cell r="D1746" t="str">
            <v>Labor Rate</v>
          </cell>
          <cell r="E1746" t="str">
            <v>MENA</v>
          </cell>
          <cell r="F1746" t="str">
            <v>Northern Africa Sub-Regional Division</v>
          </cell>
          <cell r="G1746" t="str">
            <v>Tunis Rep.O.</v>
          </cell>
          <cell r="H1746" t="str">
            <v>4997</v>
          </cell>
          <cell r="I1746" t="str">
            <v>突尼斯</v>
          </cell>
          <cell r="J1746" t="str">
            <v>Tunis</v>
          </cell>
          <cell r="K1746" t="str">
            <v>Local employees</v>
          </cell>
          <cell r="L1746" t="str">
            <v>L2</v>
          </cell>
          <cell r="M1746" t="str">
            <v>ALL</v>
          </cell>
          <cell r="N1746" t="str">
            <v>FLPC(含奖金)</v>
          </cell>
          <cell r="O1746" t="str">
            <v>USD/小时</v>
          </cell>
          <cell r="P1746">
            <v>63.02</v>
          </cell>
        </row>
        <row r="1747">
          <cell r="A1747" t="str">
            <v>Chad - Local employees - L1</v>
          </cell>
          <cell r="B1747" t="str">
            <v>Current version</v>
          </cell>
          <cell r="C1747" t="str">
            <v>V2009R2</v>
          </cell>
          <cell r="D1747" t="str">
            <v>Labor Rate</v>
          </cell>
          <cell r="E1747" t="str">
            <v>MENA</v>
          </cell>
          <cell r="F1747" t="str">
            <v>Northern Africa Sub-Regional Division</v>
          </cell>
          <cell r="G1747" t="str">
            <v>Tunis Rep.O.</v>
          </cell>
          <cell r="H1747" t="str">
            <v>4021</v>
          </cell>
          <cell r="I1747" t="str">
            <v>乍得</v>
          </cell>
          <cell r="J1747" t="str">
            <v>Chad</v>
          </cell>
          <cell r="K1747" t="str">
            <v>Local employees</v>
          </cell>
          <cell r="L1747" t="str">
            <v>L1</v>
          </cell>
          <cell r="M1747" t="str">
            <v>ALL</v>
          </cell>
          <cell r="N1747" t="str">
            <v>FLPC(含奖金)</v>
          </cell>
          <cell r="O1747" t="str">
            <v>USD/小时</v>
          </cell>
          <cell r="P1747">
            <v>25.98</v>
          </cell>
        </row>
        <row r="1748">
          <cell r="A1748" t="str">
            <v>Niger - Local employees - L1</v>
          </cell>
          <cell r="B1748" t="str">
            <v>Current version</v>
          </cell>
          <cell r="C1748" t="str">
            <v>V2009R2</v>
          </cell>
          <cell r="D1748" t="str">
            <v>Labor Rate</v>
          </cell>
          <cell r="E1748" t="str">
            <v>MENA</v>
          </cell>
          <cell r="F1748" t="str">
            <v>Northern Africa Sub-Regional Division</v>
          </cell>
          <cell r="G1748" t="str">
            <v>Tunis Rep.O.</v>
          </cell>
          <cell r="H1748" t="str">
            <v>4024</v>
          </cell>
          <cell r="I1748" t="str">
            <v>尼日尔</v>
          </cell>
          <cell r="J1748" t="str">
            <v>Niger</v>
          </cell>
          <cell r="K1748" t="str">
            <v>Local employees</v>
          </cell>
          <cell r="L1748" t="str">
            <v>L1</v>
          </cell>
          <cell r="M1748" t="str">
            <v>ALL</v>
          </cell>
          <cell r="N1748" t="str">
            <v>FLPC(含奖金)</v>
          </cell>
          <cell r="O1748" t="str">
            <v>USD/小时</v>
          </cell>
          <cell r="P1748">
            <v>19.64</v>
          </cell>
        </row>
        <row r="1749">
          <cell r="A1749" t="str">
            <v>Senegal - Local employees - L0</v>
          </cell>
          <cell r="B1749" t="str">
            <v>Current version</v>
          </cell>
          <cell r="C1749" t="str">
            <v>V2009R2</v>
          </cell>
          <cell r="D1749" t="str">
            <v>Labor Rate</v>
          </cell>
          <cell r="E1749" t="str">
            <v>MENA</v>
          </cell>
          <cell r="F1749" t="str">
            <v>Northern Africa Sub-Regional Division</v>
          </cell>
          <cell r="G1749" t="str">
            <v>Senegal Rep.O.</v>
          </cell>
          <cell r="H1749" t="str">
            <v>4025</v>
          </cell>
          <cell r="I1749" t="str">
            <v>塞内加尔</v>
          </cell>
          <cell r="J1749" t="str">
            <v>Senegal</v>
          </cell>
          <cell r="K1749" t="str">
            <v>Local employees</v>
          </cell>
          <cell r="L1749" t="str">
            <v>L0</v>
          </cell>
          <cell r="M1749" t="str">
            <v>ALL</v>
          </cell>
          <cell r="N1749" t="str">
            <v>FLPC(含奖金)</v>
          </cell>
          <cell r="O1749" t="str">
            <v>USD/小时</v>
          </cell>
          <cell r="P1749">
            <v>23.29</v>
          </cell>
        </row>
        <row r="1750">
          <cell r="A1750" t="str">
            <v>Senegal - Local employees - L1</v>
          </cell>
          <cell r="B1750" t="str">
            <v>Current version</v>
          </cell>
          <cell r="C1750" t="str">
            <v>V2009R2</v>
          </cell>
          <cell r="D1750" t="str">
            <v>Labor Rate</v>
          </cell>
          <cell r="E1750" t="str">
            <v>MENA</v>
          </cell>
          <cell r="F1750" t="str">
            <v>Northern Africa Sub-Regional Division</v>
          </cell>
          <cell r="G1750" t="str">
            <v>Senegal Rep.O.</v>
          </cell>
          <cell r="H1750" t="str">
            <v>4025</v>
          </cell>
          <cell r="I1750" t="str">
            <v>塞内加尔</v>
          </cell>
          <cell r="J1750" t="str">
            <v>Senegal</v>
          </cell>
          <cell r="K1750" t="str">
            <v>Local employees</v>
          </cell>
          <cell r="L1750" t="str">
            <v>L1</v>
          </cell>
          <cell r="M1750" t="str">
            <v>ALL</v>
          </cell>
          <cell r="N1750" t="str">
            <v>FLPC(含奖金)</v>
          </cell>
          <cell r="O1750" t="str">
            <v>USD/小时</v>
          </cell>
          <cell r="P1750">
            <v>28.72</v>
          </cell>
        </row>
        <row r="1751">
          <cell r="A1751" t="str">
            <v>Senegal - Local employees - L2</v>
          </cell>
          <cell r="B1751" t="str">
            <v>Current version</v>
          </cell>
          <cell r="C1751" t="str">
            <v>V2009R2</v>
          </cell>
          <cell r="D1751" t="str">
            <v>Labor Rate</v>
          </cell>
          <cell r="E1751" t="str">
            <v>MENA</v>
          </cell>
          <cell r="F1751" t="str">
            <v>Northern Africa Sub-Regional Division</v>
          </cell>
          <cell r="G1751" t="str">
            <v>Senegal Rep.O.</v>
          </cell>
          <cell r="H1751" t="str">
            <v>4025</v>
          </cell>
          <cell r="I1751" t="str">
            <v>塞内加尔</v>
          </cell>
          <cell r="J1751" t="str">
            <v>Senegal</v>
          </cell>
          <cell r="K1751" t="str">
            <v>Local employees</v>
          </cell>
          <cell r="L1751" t="str">
            <v>L2</v>
          </cell>
          <cell r="M1751" t="str">
            <v>ALL</v>
          </cell>
          <cell r="N1751" t="str">
            <v>FLPC(含奖金)</v>
          </cell>
          <cell r="O1751" t="str">
            <v>USD/小时</v>
          </cell>
          <cell r="P1751">
            <v>53.23</v>
          </cell>
        </row>
        <row r="1752">
          <cell r="A1752" t="str">
            <v>Gambia - Local employees - L0</v>
          </cell>
          <cell r="B1752" t="str">
            <v>Current version</v>
          </cell>
          <cell r="C1752" t="str">
            <v>V2009R2</v>
          </cell>
          <cell r="D1752" t="str">
            <v>Labor Rate</v>
          </cell>
          <cell r="E1752" t="str">
            <v>MENA</v>
          </cell>
          <cell r="F1752" t="str">
            <v>Northern Africa Sub-Regional Division</v>
          </cell>
          <cell r="G1752" t="str">
            <v>Senegal Rep.O.</v>
          </cell>
          <cell r="H1752" t="str">
            <v>4990</v>
          </cell>
          <cell r="I1752" t="str">
            <v>冈比亚</v>
          </cell>
          <cell r="J1752" t="str">
            <v>Gambia</v>
          </cell>
          <cell r="K1752" t="str">
            <v>Local employees</v>
          </cell>
          <cell r="L1752" t="str">
            <v>L0</v>
          </cell>
          <cell r="M1752" t="str">
            <v>ALL</v>
          </cell>
          <cell r="N1752" t="str">
            <v>FLPC(含奖金)</v>
          </cell>
          <cell r="O1752" t="str">
            <v>USD/小时</v>
          </cell>
          <cell r="P1752">
            <v>13.17</v>
          </cell>
        </row>
        <row r="1753">
          <cell r="A1753" t="str">
            <v>Mali - Local employees - L0</v>
          </cell>
          <cell r="B1753" t="str">
            <v>Current version</v>
          </cell>
          <cell r="C1753" t="str">
            <v>V2009R2</v>
          </cell>
          <cell r="D1753" t="str">
            <v>Labor Rate</v>
          </cell>
          <cell r="E1753" t="str">
            <v>MENA</v>
          </cell>
          <cell r="F1753" t="str">
            <v>Northern Africa Sub-Regional Division</v>
          </cell>
          <cell r="G1753" t="str">
            <v>Senegal Rep.O.</v>
          </cell>
          <cell r="H1753" t="str">
            <v>4023</v>
          </cell>
          <cell r="I1753" t="str">
            <v>马里</v>
          </cell>
          <cell r="J1753" t="str">
            <v>Mali</v>
          </cell>
          <cell r="K1753" t="str">
            <v>Local employees</v>
          </cell>
          <cell r="L1753" t="str">
            <v>L0</v>
          </cell>
          <cell r="M1753" t="str">
            <v>ALL</v>
          </cell>
          <cell r="N1753" t="str">
            <v>FLPC(含奖金)</v>
          </cell>
          <cell r="O1753" t="str">
            <v>USD/小时</v>
          </cell>
          <cell r="P1753">
            <v>10.9</v>
          </cell>
        </row>
        <row r="1754">
          <cell r="A1754" t="str">
            <v>Mali - Local employees - L1</v>
          </cell>
          <cell r="B1754" t="str">
            <v>Current version</v>
          </cell>
          <cell r="C1754" t="str">
            <v>V2009R2</v>
          </cell>
          <cell r="D1754" t="str">
            <v>Labor Rate</v>
          </cell>
          <cell r="E1754" t="str">
            <v>MENA</v>
          </cell>
          <cell r="F1754" t="str">
            <v>Northern Africa Sub-Regional Division</v>
          </cell>
          <cell r="G1754" t="str">
            <v>Senegal Rep.O.</v>
          </cell>
          <cell r="H1754" t="str">
            <v>4023</v>
          </cell>
          <cell r="I1754" t="str">
            <v>马里</v>
          </cell>
          <cell r="J1754" t="str">
            <v>Mali</v>
          </cell>
          <cell r="K1754" t="str">
            <v>Local employees</v>
          </cell>
          <cell r="L1754" t="str">
            <v>L1</v>
          </cell>
          <cell r="M1754" t="str">
            <v>ALL</v>
          </cell>
          <cell r="N1754" t="str">
            <v>FLPC(含奖金)</v>
          </cell>
          <cell r="O1754" t="str">
            <v>USD/小时</v>
          </cell>
          <cell r="P1754">
            <v>24.19</v>
          </cell>
        </row>
        <row r="1755">
          <cell r="A1755" t="str">
            <v>Mauritania - Local employees - L2</v>
          </cell>
          <cell r="B1755" t="str">
            <v>Current version</v>
          </cell>
          <cell r="C1755" t="str">
            <v>V2009R2</v>
          </cell>
          <cell r="D1755" t="str">
            <v>Labor Rate</v>
          </cell>
          <cell r="E1755" t="str">
            <v>MENA</v>
          </cell>
          <cell r="F1755" t="str">
            <v>Northern Africa Sub-Regional Division</v>
          </cell>
          <cell r="G1755" t="str">
            <v>Morocco Rep.O.</v>
          </cell>
          <cell r="H1755" t="str">
            <v>4995</v>
          </cell>
          <cell r="I1755" t="str">
            <v>毛里塔尼亚</v>
          </cell>
          <cell r="J1755" t="str">
            <v>Mauritania</v>
          </cell>
          <cell r="K1755" t="str">
            <v>Local employees</v>
          </cell>
          <cell r="L1755" t="str">
            <v>L2</v>
          </cell>
          <cell r="M1755" t="str">
            <v>ALL</v>
          </cell>
          <cell r="N1755" t="str">
            <v>FLPC(含奖金)</v>
          </cell>
          <cell r="O1755" t="str">
            <v>USD/小时</v>
          </cell>
          <cell r="P1755">
            <v>21.59</v>
          </cell>
        </row>
        <row r="1756">
          <cell r="A1756" t="str">
            <v>Morocco - Local employees - L0</v>
          </cell>
          <cell r="B1756" t="str">
            <v>Current version</v>
          </cell>
          <cell r="C1756" t="str">
            <v>V2009R2</v>
          </cell>
          <cell r="D1756" t="str">
            <v>Labor Rate</v>
          </cell>
          <cell r="E1756" t="str">
            <v>MENA</v>
          </cell>
          <cell r="F1756" t="str">
            <v>Northern Africa Sub-Regional Division</v>
          </cell>
          <cell r="G1756" t="str">
            <v>Morocco Rep.O.</v>
          </cell>
          <cell r="H1756" t="str">
            <v>4996</v>
          </cell>
          <cell r="I1756" t="str">
            <v>摩洛哥</v>
          </cell>
          <cell r="J1756" t="str">
            <v>Morocco</v>
          </cell>
          <cell r="K1756" t="str">
            <v>Local employees</v>
          </cell>
          <cell r="L1756" t="str">
            <v>L0</v>
          </cell>
          <cell r="M1756" t="str">
            <v>ALL</v>
          </cell>
          <cell r="N1756" t="str">
            <v>FLPC(含奖金)</v>
          </cell>
          <cell r="O1756" t="str">
            <v>USD/小时</v>
          </cell>
          <cell r="P1756">
            <v>23.34</v>
          </cell>
        </row>
        <row r="1757">
          <cell r="A1757" t="str">
            <v>Morocco - Local employees - L1</v>
          </cell>
          <cell r="B1757" t="str">
            <v>Current version</v>
          </cell>
          <cell r="C1757" t="str">
            <v>V2009R2</v>
          </cell>
          <cell r="D1757" t="str">
            <v>Labor Rate</v>
          </cell>
          <cell r="E1757" t="str">
            <v>MENA</v>
          </cell>
          <cell r="F1757" t="str">
            <v>Northern Africa Sub-Regional Division</v>
          </cell>
          <cell r="G1757" t="str">
            <v>Morocco Rep.O.</v>
          </cell>
          <cell r="H1757" t="str">
            <v>4996</v>
          </cell>
          <cell r="I1757" t="str">
            <v>摩洛哥</v>
          </cell>
          <cell r="J1757" t="str">
            <v>Morocco</v>
          </cell>
          <cell r="K1757" t="str">
            <v>Local employees</v>
          </cell>
          <cell r="L1757" t="str">
            <v>L1</v>
          </cell>
          <cell r="M1757" t="str">
            <v>ALL</v>
          </cell>
          <cell r="N1757" t="str">
            <v>FLPC(含奖金)</v>
          </cell>
          <cell r="O1757" t="str">
            <v>USD/小时</v>
          </cell>
          <cell r="P1757">
            <v>42.32</v>
          </cell>
        </row>
        <row r="1758">
          <cell r="A1758" t="str">
            <v>Morocco - Local employees - L2</v>
          </cell>
          <cell r="B1758" t="str">
            <v>Current version</v>
          </cell>
          <cell r="C1758" t="str">
            <v>V2009R2</v>
          </cell>
          <cell r="D1758" t="str">
            <v>Labor Rate</v>
          </cell>
          <cell r="E1758" t="str">
            <v>MENA</v>
          </cell>
          <cell r="F1758" t="str">
            <v>Northern Africa Sub-Regional Division</v>
          </cell>
          <cell r="G1758" t="str">
            <v>Morocco Rep.O.</v>
          </cell>
          <cell r="H1758" t="str">
            <v>4996</v>
          </cell>
          <cell r="I1758" t="str">
            <v>摩洛哥</v>
          </cell>
          <cell r="J1758" t="str">
            <v>Morocco</v>
          </cell>
          <cell r="K1758" t="str">
            <v>Local employees</v>
          </cell>
          <cell r="L1758" t="str">
            <v>L2</v>
          </cell>
          <cell r="M1758" t="str">
            <v>ALL</v>
          </cell>
          <cell r="N1758" t="str">
            <v>FLPC(含奖金)</v>
          </cell>
          <cell r="O1758" t="str">
            <v>USD/小时</v>
          </cell>
          <cell r="P1758">
            <v>50.26</v>
          </cell>
        </row>
        <row r="1759">
          <cell r="A1759" t="str">
            <v>Morocco - Local employees - L3</v>
          </cell>
          <cell r="B1759" t="str">
            <v>Current version</v>
          </cell>
          <cell r="C1759" t="str">
            <v>V2009R2</v>
          </cell>
          <cell r="D1759" t="str">
            <v>Labor Rate</v>
          </cell>
          <cell r="E1759" t="str">
            <v>MENA</v>
          </cell>
          <cell r="F1759" t="str">
            <v>Northern Africa Sub-Regional Division</v>
          </cell>
          <cell r="G1759" t="str">
            <v>Morocco Rep.O.</v>
          </cell>
          <cell r="H1759" t="str">
            <v>4996</v>
          </cell>
          <cell r="I1759" t="str">
            <v>摩洛哥</v>
          </cell>
          <cell r="J1759" t="str">
            <v>Morocco</v>
          </cell>
          <cell r="K1759" t="str">
            <v>Local employees</v>
          </cell>
          <cell r="L1759" t="str">
            <v>L3</v>
          </cell>
          <cell r="M1759" t="str">
            <v>ALL</v>
          </cell>
          <cell r="N1759" t="str">
            <v>FLPC(含奖金)</v>
          </cell>
          <cell r="O1759" t="str">
            <v>USD/小时</v>
          </cell>
          <cell r="P1759">
            <v>81.099999999999994</v>
          </cell>
        </row>
        <row r="1760">
          <cell r="A1760" t="str">
            <v>Algeria - Local employees - L0</v>
          </cell>
          <cell r="B1760" t="str">
            <v>Current version</v>
          </cell>
          <cell r="C1760" t="str">
            <v>V2009R2</v>
          </cell>
          <cell r="D1760" t="str">
            <v>Labor Rate</v>
          </cell>
          <cell r="E1760" t="str">
            <v>MENA</v>
          </cell>
          <cell r="F1760" t="str">
            <v>Northern Africa Sub-Regional Division</v>
          </cell>
          <cell r="G1760" t="str">
            <v>Algeria</v>
          </cell>
          <cell r="H1760" t="str">
            <v>4998</v>
          </cell>
          <cell r="I1760" t="str">
            <v>阿尔及利亚</v>
          </cell>
          <cell r="J1760" t="str">
            <v>Algeria</v>
          </cell>
          <cell r="K1760" t="str">
            <v>Local employees</v>
          </cell>
          <cell r="L1760" t="str">
            <v>L0</v>
          </cell>
          <cell r="M1760" t="str">
            <v>ALL</v>
          </cell>
          <cell r="N1760" t="str">
            <v>FLPC(含奖金)</v>
          </cell>
          <cell r="O1760" t="str">
            <v>USD/小时</v>
          </cell>
          <cell r="P1760">
            <v>16.88</v>
          </cell>
        </row>
        <row r="1761">
          <cell r="A1761" t="str">
            <v>Algeria - Local employees - L1</v>
          </cell>
          <cell r="B1761" t="str">
            <v>Current version</v>
          </cell>
          <cell r="C1761" t="str">
            <v>V2009R2</v>
          </cell>
          <cell r="D1761" t="str">
            <v>Labor Rate</v>
          </cell>
          <cell r="E1761" t="str">
            <v>MENA</v>
          </cell>
          <cell r="F1761" t="str">
            <v>Northern Africa Sub-Regional Division</v>
          </cell>
          <cell r="G1761" t="str">
            <v>Algeria</v>
          </cell>
          <cell r="H1761" t="str">
            <v>4998</v>
          </cell>
          <cell r="I1761" t="str">
            <v>阿尔及利亚</v>
          </cell>
          <cell r="J1761" t="str">
            <v>Algeria</v>
          </cell>
          <cell r="K1761" t="str">
            <v>Local employees</v>
          </cell>
          <cell r="L1761" t="str">
            <v>L1</v>
          </cell>
          <cell r="M1761" t="str">
            <v>ALL</v>
          </cell>
          <cell r="N1761" t="str">
            <v>FLPC(含奖金)</v>
          </cell>
          <cell r="O1761" t="str">
            <v>USD/小时</v>
          </cell>
          <cell r="P1761">
            <v>25.89</v>
          </cell>
        </row>
        <row r="1762">
          <cell r="A1762" t="str">
            <v>Algeria - Local employees - L2</v>
          </cell>
          <cell r="B1762" t="str">
            <v>Current version</v>
          </cell>
          <cell r="C1762" t="str">
            <v>V2009R2</v>
          </cell>
          <cell r="D1762" t="str">
            <v>Labor Rate</v>
          </cell>
          <cell r="E1762" t="str">
            <v>MENA</v>
          </cell>
          <cell r="F1762" t="str">
            <v>Northern Africa Sub-Regional Division</v>
          </cell>
          <cell r="G1762" t="str">
            <v>Algeria</v>
          </cell>
          <cell r="H1762" t="str">
            <v>4998</v>
          </cell>
          <cell r="I1762" t="str">
            <v>阿尔及利亚</v>
          </cell>
          <cell r="J1762" t="str">
            <v>Algeria</v>
          </cell>
          <cell r="K1762" t="str">
            <v>Local employees</v>
          </cell>
          <cell r="L1762" t="str">
            <v>L2</v>
          </cell>
          <cell r="M1762" t="str">
            <v>ALL</v>
          </cell>
          <cell r="N1762" t="str">
            <v>FLPC(含奖金)</v>
          </cell>
          <cell r="O1762" t="str">
            <v>USD/小时</v>
          </cell>
          <cell r="P1762">
            <v>53.15</v>
          </cell>
        </row>
        <row r="1763">
          <cell r="A1763" t="str">
            <v>Yemen - Local employees - L1</v>
          </cell>
          <cell r="B1763" t="str">
            <v>Current version</v>
          </cell>
          <cell r="C1763" t="str">
            <v>V2009R2</v>
          </cell>
          <cell r="D1763" t="str">
            <v>Labor Rate</v>
          </cell>
          <cell r="E1763" t="str">
            <v>MENA</v>
          </cell>
          <cell r="F1763" t="str">
            <v>Northern Africa Sub-Regional Division</v>
          </cell>
          <cell r="G1763" t="str">
            <v>Yemen Rep.O.</v>
          </cell>
          <cell r="H1763" t="str">
            <v>5007</v>
          </cell>
          <cell r="I1763" t="str">
            <v>也门</v>
          </cell>
          <cell r="J1763" t="str">
            <v>Yemen</v>
          </cell>
          <cell r="K1763" t="str">
            <v>Local employees</v>
          </cell>
          <cell r="L1763" t="str">
            <v>L1</v>
          </cell>
          <cell r="M1763" t="str">
            <v>ALL</v>
          </cell>
          <cell r="N1763" t="str">
            <v>FLPC(含奖金)</v>
          </cell>
          <cell r="O1763" t="str">
            <v>USD/小时</v>
          </cell>
          <cell r="P1763">
            <v>14.7</v>
          </cell>
        </row>
        <row r="1764">
          <cell r="A1764" t="str">
            <v>Yemen - Local employees - L2</v>
          </cell>
          <cell r="B1764" t="str">
            <v>Current version</v>
          </cell>
          <cell r="C1764" t="str">
            <v>V2009R2</v>
          </cell>
          <cell r="D1764" t="str">
            <v>Labor Rate</v>
          </cell>
          <cell r="E1764" t="str">
            <v>MENA</v>
          </cell>
          <cell r="F1764" t="str">
            <v>Northern Africa Sub-Regional Division</v>
          </cell>
          <cell r="G1764" t="str">
            <v>Yemen Rep.O.</v>
          </cell>
          <cell r="H1764" t="str">
            <v>5007</v>
          </cell>
          <cell r="I1764" t="str">
            <v>也门</v>
          </cell>
          <cell r="J1764" t="str">
            <v>Yemen</v>
          </cell>
          <cell r="K1764" t="str">
            <v>Local employees</v>
          </cell>
          <cell r="L1764" t="str">
            <v>L2</v>
          </cell>
          <cell r="M1764" t="str">
            <v>ALL</v>
          </cell>
          <cell r="N1764" t="str">
            <v>FLPC(含奖金)</v>
          </cell>
          <cell r="O1764" t="str">
            <v>USD/小时</v>
          </cell>
          <cell r="P1764">
            <v>21.61</v>
          </cell>
        </row>
        <row r="1765">
          <cell r="A1765" t="str">
            <v>Yemen - Local employees - L3</v>
          </cell>
          <cell r="B1765" t="str">
            <v>Current version</v>
          </cell>
          <cell r="C1765" t="str">
            <v>V2009R2</v>
          </cell>
          <cell r="D1765" t="str">
            <v>Labor Rate</v>
          </cell>
          <cell r="E1765" t="str">
            <v>MENA</v>
          </cell>
          <cell r="F1765" t="str">
            <v>Northern Africa Sub-Regional Division</v>
          </cell>
          <cell r="G1765" t="str">
            <v>Yemen Rep.O.</v>
          </cell>
          <cell r="H1765" t="str">
            <v>5007</v>
          </cell>
          <cell r="I1765" t="str">
            <v>也门</v>
          </cell>
          <cell r="J1765" t="str">
            <v>Yemen</v>
          </cell>
          <cell r="K1765" t="str">
            <v>Local employees</v>
          </cell>
          <cell r="L1765" t="str">
            <v>L3</v>
          </cell>
          <cell r="M1765" t="str">
            <v>ALL</v>
          </cell>
          <cell r="N1765" t="str">
            <v>FLPC(含奖金)</v>
          </cell>
          <cell r="O1765" t="str">
            <v>USD/小时</v>
          </cell>
          <cell r="P1765">
            <v>34.380000000000003</v>
          </cell>
        </row>
        <row r="1766">
          <cell r="A1766" t="str">
            <v>Yemen - Local employees - L4</v>
          </cell>
          <cell r="B1766" t="str">
            <v>Current version</v>
          </cell>
          <cell r="C1766" t="str">
            <v>V2009R2</v>
          </cell>
          <cell r="D1766" t="str">
            <v>Labor Rate</v>
          </cell>
          <cell r="E1766" t="str">
            <v>MENA</v>
          </cell>
          <cell r="F1766" t="str">
            <v>Northern Africa Sub-Regional Division</v>
          </cell>
          <cell r="G1766" t="str">
            <v>Yemen Rep.O.</v>
          </cell>
          <cell r="H1766" t="str">
            <v>5007</v>
          </cell>
          <cell r="I1766" t="str">
            <v>也门</v>
          </cell>
          <cell r="J1766" t="str">
            <v>Yemen</v>
          </cell>
          <cell r="K1766" t="str">
            <v>Local employees</v>
          </cell>
          <cell r="L1766" t="str">
            <v>L4</v>
          </cell>
          <cell r="M1766" t="str">
            <v>ALL</v>
          </cell>
          <cell r="N1766" t="str">
            <v>FLPC(含奖金)</v>
          </cell>
          <cell r="O1766" t="str">
            <v>USD/小时</v>
          </cell>
          <cell r="P1766">
            <v>40.869999999999997</v>
          </cell>
        </row>
        <row r="1767">
          <cell r="A1767" t="str">
            <v>Syria - Local employees - L1</v>
          </cell>
          <cell r="B1767" t="str">
            <v>Current version</v>
          </cell>
          <cell r="C1767" t="str">
            <v>V2009R2</v>
          </cell>
          <cell r="D1767" t="str">
            <v>Labor Rate</v>
          </cell>
          <cell r="E1767" t="str">
            <v>MENA</v>
          </cell>
          <cell r="F1767" t="str">
            <v>Northern Africa Sub-Regional Division</v>
          </cell>
          <cell r="G1767" t="str">
            <v>Syria</v>
          </cell>
          <cell r="H1767" t="str">
            <v>5003</v>
          </cell>
          <cell r="I1767" t="str">
            <v>A7叙利亚</v>
          </cell>
          <cell r="J1767" t="str">
            <v>Syria</v>
          </cell>
          <cell r="K1767" t="str">
            <v>Local employees</v>
          </cell>
          <cell r="L1767" t="str">
            <v>L1</v>
          </cell>
          <cell r="M1767" t="str">
            <v>ALL</v>
          </cell>
          <cell r="N1767" t="str">
            <v>FLPC(含奖金)</v>
          </cell>
          <cell r="O1767" t="str">
            <v>USD/小时</v>
          </cell>
          <cell r="P1767">
            <v>21.4</v>
          </cell>
        </row>
        <row r="1768">
          <cell r="A1768" t="str">
            <v>Syria - Local employees - L2</v>
          </cell>
          <cell r="B1768" t="str">
            <v>Current version</v>
          </cell>
          <cell r="C1768" t="str">
            <v>V2009R2</v>
          </cell>
          <cell r="D1768" t="str">
            <v>Labor Rate</v>
          </cell>
          <cell r="E1768" t="str">
            <v>MENA</v>
          </cell>
          <cell r="F1768" t="str">
            <v>Northern Africa Sub-Regional Division</v>
          </cell>
          <cell r="G1768" t="str">
            <v>Syria</v>
          </cell>
          <cell r="H1768" t="str">
            <v>5003</v>
          </cell>
          <cell r="I1768" t="str">
            <v>A7叙利亚</v>
          </cell>
          <cell r="J1768" t="str">
            <v>Syria</v>
          </cell>
          <cell r="K1768" t="str">
            <v>Local employees</v>
          </cell>
          <cell r="L1768" t="str">
            <v>L2</v>
          </cell>
          <cell r="M1768" t="str">
            <v>ALL</v>
          </cell>
          <cell r="N1768" t="str">
            <v>FLPC(含奖金)</v>
          </cell>
          <cell r="O1768" t="str">
            <v>USD/小时</v>
          </cell>
          <cell r="P1768">
            <v>29.72</v>
          </cell>
        </row>
        <row r="1769">
          <cell r="A1769" t="str">
            <v>Sudan - Local employees - L0</v>
          </cell>
          <cell r="B1769" t="str">
            <v>Current version</v>
          </cell>
          <cell r="C1769" t="str">
            <v>V2009R2</v>
          </cell>
          <cell r="D1769" t="str">
            <v>Labor Rate</v>
          </cell>
          <cell r="E1769" t="str">
            <v>MENA</v>
          </cell>
          <cell r="F1769" t="str">
            <v>Northern Africa Sub-Regional Division</v>
          </cell>
          <cell r="G1769" t="str">
            <v>Sudan Rep.O.</v>
          </cell>
          <cell r="H1769" t="str">
            <v>4993</v>
          </cell>
          <cell r="I1769" t="str">
            <v>A5苏丹</v>
          </cell>
          <cell r="J1769" t="str">
            <v>Sudan</v>
          </cell>
          <cell r="K1769" t="str">
            <v>Local employees</v>
          </cell>
          <cell r="L1769" t="str">
            <v>L0</v>
          </cell>
          <cell r="M1769" t="str">
            <v>ALL</v>
          </cell>
          <cell r="N1769" t="str">
            <v>FLPC(含奖金)</v>
          </cell>
          <cell r="O1769" t="str">
            <v>USD/小时</v>
          </cell>
          <cell r="P1769">
            <v>25.73</v>
          </cell>
        </row>
        <row r="1770">
          <cell r="A1770" t="str">
            <v>Sudan - Local employees - L1</v>
          </cell>
          <cell r="B1770" t="str">
            <v>Current version</v>
          </cell>
          <cell r="C1770" t="str">
            <v>V2009R2</v>
          </cell>
          <cell r="D1770" t="str">
            <v>Labor Rate</v>
          </cell>
          <cell r="E1770" t="str">
            <v>MENA</v>
          </cell>
          <cell r="F1770" t="str">
            <v>Northern Africa Sub-Regional Division</v>
          </cell>
          <cell r="G1770" t="str">
            <v>Sudan Rep.O.</v>
          </cell>
          <cell r="H1770" t="str">
            <v>4993</v>
          </cell>
          <cell r="I1770" t="str">
            <v>A5苏丹</v>
          </cell>
          <cell r="J1770" t="str">
            <v>Sudan</v>
          </cell>
          <cell r="K1770" t="str">
            <v>Local employees</v>
          </cell>
          <cell r="L1770" t="str">
            <v>L1</v>
          </cell>
          <cell r="M1770" t="str">
            <v>ALL</v>
          </cell>
          <cell r="N1770" t="str">
            <v>FLPC(含奖金)</v>
          </cell>
          <cell r="O1770" t="str">
            <v>USD/小时</v>
          </cell>
          <cell r="P1770">
            <v>42.53</v>
          </cell>
        </row>
        <row r="1771">
          <cell r="A1771" t="str">
            <v>Sudan - Local employees - L2</v>
          </cell>
          <cell r="B1771" t="str">
            <v>Current version</v>
          </cell>
          <cell r="C1771" t="str">
            <v>V2009R2</v>
          </cell>
          <cell r="D1771" t="str">
            <v>Labor Rate</v>
          </cell>
          <cell r="E1771" t="str">
            <v>MENA</v>
          </cell>
          <cell r="F1771" t="str">
            <v>Northern Africa Sub-Regional Division</v>
          </cell>
          <cell r="G1771" t="str">
            <v>Sudan Rep.O.</v>
          </cell>
          <cell r="H1771" t="str">
            <v>4993</v>
          </cell>
          <cell r="I1771" t="str">
            <v>A5苏丹</v>
          </cell>
          <cell r="J1771" t="str">
            <v>Sudan</v>
          </cell>
          <cell r="K1771" t="str">
            <v>Local employees</v>
          </cell>
          <cell r="L1771" t="str">
            <v>L2</v>
          </cell>
          <cell r="M1771" t="str">
            <v>ALL</v>
          </cell>
          <cell r="N1771" t="str">
            <v>FLPC(含奖金)</v>
          </cell>
          <cell r="O1771" t="str">
            <v>USD/小时</v>
          </cell>
          <cell r="P1771">
            <v>75.92</v>
          </cell>
        </row>
        <row r="1772">
          <cell r="A1772" t="str">
            <v>Sudan - Local employees - L3</v>
          </cell>
          <cell r="B1772" t="str">
            <v>Current version</v>
          </cell>
          <cell r="C1772" t="str">
            <v>V2009R2</v>
          </cell>
          <cell r="D1772" t="str">
            <v>Labor Rate</v>
          </cell>
          <cell r="E1772" t="str">
            <v>MENA</v>
          </cell>
          <cell r="F1772" t="str">
            <v>Northern Africa Sub-Regional Division</v>
          </cell>
          <cell r="G1772" t="str">
            <v>Sudan Rep.O.</v>
          </cell>
          <cell r="H1772" t="str">
            <v>4993</v>
          </cell>
          <cell r="I1772" t="str">
            <v>A5苏丹</v>
          </cell>
          <cell r="J1772" t="str">
            <v>Sudan</v>
          </cell>
          <cell r="K1772" t="str">
            <v>Local employees</v>
          </cell>
          <cell r="L1772" t="str">
            <v>L3</v>
          </cell>
          <cell r="M1772" t="str">
            <v>ALL</v>
          </cell>
          <cell r="N1772" t="str">
            <v>FLPC(含奖金)</v>
          </cell>
          <cell r="O1772" t="str">
            <v>USD/小时</v>
          </cell>
          <cell r="P1772">
            <v>119.33</v>
          </cell>
        </row>
        <row r="1773">
          <cell r="A1773" t="str">
            <v>Jamaica - Local employees - L4</v>
          </cell>
          <cell r="B1773" t="str">
            <v>Current version</v>
          </cell>
          <cell r="C1773" t="str">
            <v>V2009R2</v>
          </cell>
          <cell r="D1773" t="str">
            <v>Labor Rate</v>
          </cell>
          <cell r="E1773" t="str">
            <v>LA</v>
          </cell>
          <cell r="F1773" t="str">
            <v>Mexico Rep.O.</v>
          </cell>
          <cell r="G1773" t="str">
            <v>Jamaica</v>
          </cell>
          <cell r="H1773" t="str">
            <v>6026</v>
          </cell>
          <cell r="I1773" t="str">
            <v>牙买加</v>
          </cell>
          <cell r="J1773" t="str">
            <v>Jamaica</v>
          </cell>
          <cell r="K1773" t="str">
            <v>Local employees</v>
          </cell>
          <cell r="L1773" t="str">
            <v>L4</v>
          </cell>
          <cell r="M1773" t="str">
            <v>ALL</v>
          </cell>
          <cell r="N1773" t="str">
            <v>FLPC(含奖金)</v>
          </cell>
          <cell r="O1773" t="str">
            <v>USD/小时</v>
          </cell>
          <cell r="P1773">
            <v>92.7</v>
          </cell>
        </row>
        <row r="1774">
          <cell r="A1774" t="str">
            <v>Honduras - Local employees - L0</v>
          </cell>
          <cell r="B1774" t="str">
            <v>Current version</v>
          </cell>
          <cell r="C1774" t="str">
            <v>V2009R2</v>
          </cell>
          <cell r="D1774" t="str">
            <v>Labor Rate</v>
          </cell>
          <cell r="E1774" t="str">
            <v>LA</v>
          </cell>
          <cell r="F1774" t="str">
            <v>Mexico Rep.O.</v>
          </cell>
          <cell r="G1774" t="str">
            <v>Honduras</v>
          </cell>
          <cell r="H1774" t="str">
            <v>6015</v>
          </cell>
          <cell r="I1774" t="str">
            <v>洪都拉斯</v>
          </cell>
          <cell r="J1774" t="str">
            <v>Honduras</v>
          </cell>
          <cell r="K1774" t="str">
            <v>Local employees</v>
          </cell>
          <cell r="L1774" t="str">
            <v>L0</v>
          </cell>
          <cell r="M1774" t="str">
            <v>ALL</v>
          </cell>
          <cell r="N1774" t="str">
            <v>FLPC(含奖金)</v>
          </cell>
          <cell r="O1774" t="str">
            <v>USD/小时</v>
          </cell>
          <cell r="P1774">
            <v>45.53</v>
          </cell>
        </row>
        <row r="1775">
          <cell r="A1775" t="str">
            <v>Honduras - Local employees - L1</v>
          </cell>
          <cell r="B1775" t="str">
            <v>Current version</v>
          </cell>
          <cell r="C1775" t="str">
            <v>V2009R2</v>
          </cell>
          <cell r="D1775" t="str">
            <v>Labor Rate</v>
          </cell>
          <cell r="E1775" t="str">
            <v>LA</v>
          </cell>
          <cell r="F1775" t="str">
            <v>Mexico Rep.O.</v>
          </cell>
          <cell r="G1775" t="str">
            <v>Honduras</v>
          </cell>
          <cell r="H1775" t="str">
            <v>6015</v>
          </cell>
          <cell r="I1775" t="str">
            <v>洪都拉斯</v>
          </cell>
          <cell r="J1775" t="str">
            <v>Honduras</v>
          </cell>
          <cell r="K1775" t="str">
            <v>Local employees</v>
          </cell>
          <cell r="L1775" t="str">
            <v>L1</v>
          </cell>
          <cell r="M1775" t="str">
            <v>ALL</v>
          </cell>
          <cell r="N1775" t="str">
            <v>FLPC(含奖金)</v>
          </cell>
          <cell r="O1775" t="str">
            <v>USD/小时</v>
          </cell>
          <cell r="P1775">
            <v>46.92</v>
          </cell>
        </row>
        <row r="1776">
          <cell r="A1776" t="str">
            <v>Honduras - Local employees - L2</v>
          </cell>
          <cell r="B1776" t="str">
            <v>Current version</v>
          </cell>
          <cell r="C1776" t="str">
            <v>V2009R2</v>
          </cell>
          <cell r="D1776" t="str">
            <v>Labor Rate</v>
          </cell>
          <cell r="E1776" t="str">
            <v>LA</v>
          </cell>
          <cell r="F1776" t="str">
            <v>Mexico Rep.O.</v>
          </cell>
          <cell r="G1776" t="str">
            <v>Honduras</v>
          </cell>
          <cell r="H1776" t="str">
            <v>6015</v>
          </cell>
          <cell r="I1776" t="str">
            <v>洪都拉斯</v>
          </cell>
          <cell r="J1776" t="str">
            <v>Honduras</v>
          </cell>
          <cell r="K1776" t="str">
            <v>Local employees</v>
          </cell>
          <cell r="L1776" t="str">
            <v>L2</v>
          </cell>
          <cell r="M1776" t="str">
            <v>ALL</v>
          </cell>
          <cell r="N1776" t="str">
            <v>FLPC(含奖金)</v>
          </cell>
          <cell r="O1776" t="str">
            <v>USD/小时</v>
          </cell>
          <cell r="P1776">
            <v>52.47</v>
          </cell>
        </row>
        <row r="1777">
          <cell r="A1777" t="str">
            <v>Honduras - Local employees - L3</v>
          </cell>
          <cell r="B1777" t="str">
            <v>Current version</v>
          </cell>
          <cell r="C1777" t="str">
            <v>V2009R2</v>
          </cell>
          <cell r="D1777" t="str">
            <v>Labor Rate</v>
          </cell>
          <cell r="E1777" t="str">
            <v>LA</v>
          </cell>
          <cell r="F1777" t="str">
            <v>Mexico Rep.O.</v>
          </cell>
          <cell r="G1777" t="str">
            <v>Honduras</v>
          </cell>
          <cell r="H1777" t="str">
            <v>6015</v>
          </cell>
          <cell r="I1777" t="str">
            <v>洪都拉斯</v>
          </cell>
          <cell r="J1777" t="str">
            <v>Honduras</v>
          </cell>
          <cell r="K1777" t="str">
            <v>Local employees</v>
          </cell>
          <cell r="L1777" t="str">
            <v>L3</v>
          </cell>
          <cell r="M1777" t="str">
            <v>ALL</v>
          </cell>
          <cell r="N1777" t="str">
            <v>FLPC(含奖金)</v>
          </cell>
          <cell r="O1777" t="str">
            <v>USD/小时</v>
          </cell>
          <cell r="P1777">
            <v>58.03</v>
          </cell>
        </row>
        <row r="1778">
          <cell r="A1778" t="str">
            <v>Honduras - Local employees - L4</v>
          </cell>
          <cell r="B1778" t="str">
            <v>Current version</v>
          </cell>
          <cell r="C1778" t="str">
            <v>V2009R2</v>
          </cell>
          <cell r="D1778" t="str">
            <v>Labor Rate</v>
          </cell>
          <cell r="E1778" t="str">
            <v>LA</v>
          </cell>
          <cell r="F1778" t="str">
            <v>Mexico Rep.O.</v>
          </cell>
          <cell r="G1778" t="str">
            <v>Honduras</v>
          </cell>
          <cell r="H1778" t="str">
            <v>6015</v>
          </cell>
          <cell r="I1778" t="str">
            <v>洪都拉斯</v>
          </cell>
          <cell r="J1778" t="str">
            <v>Honduras</v>
          </cell>
          <cell r="K1778" t="str">
            <v>Local employees</v>
          </cell>
          <cell r="L1778" t="str">
            <v>L4</v>
          </cell>
          <cell r="M1778" t="str">
            <v>ALL</v>
          </cell>
          <cell r="N1778" t="str">
            <v>FLPC(含奖金)</v>
          </cell>
          <cell r="O1778" t="str">
            <v>USD/小时</v>
          </cell>
          <cell r="P1778">
            <v>65.81</v>
          </cell>
        </row>
        <row r="1779">
          <cell r="A1779" t="str">
            <v>Guatemala - Local employees - L0</v>
          </cell>
          <cell r="B1779" t="str">
            <v>Current version</v>
          </cell>
          <cell r="C1779" t="str">
            <v>V2009R2</v>
          </cell>
          <cell r="D1779" t="str">
            <v>Labor Rate</v>
          </cell>
          <cell r="E1779" t="str">
            <v>LA</v>
          </cell>
          <cell r="F1779" t="str">
            <v>Mexico Rep.O.</v>
          </cell>
          <cell r="G1779" t="str">
            <v>Guatemala</v>
          </cell>
          <cell r="H1779" t="str">
            <v>6031</v>
          </cell>
          <cell r="I1779" t="str">
            <v>危地马拉</v>
          </cell>
          <cell r="J1779" t="str">
            <v>Guatemala</v>
          </cell>
          <cell r="K1779" t="str">
            <v>Local employees</v>
          </cell>
          <cell r="L1779" t="str">
            <v>L0</v>
          </cell>
          <cell r="M1779" t="str">
            <v>ALL</v>
          </cell>
          <cell r="N1779" t="str">
            <v>FLPC(含奖金)</v>
          </cell>
          <cell r="O1779" t="str">
            <v>USD/小时</v>
          </cell>
          <cell r="P1779">
            <v>45.53</v>
          </cell>
        </row>
        <row r="1780">
          <cell r="A1780" t="str">
            <v>Guatemala - Local employees - L1</v>
          </cell>
          <cell r="B1780" t="str">
            <v>Current version</v>
          </cell>
          <cell r="C1780" t="str">
            <v>V2009R2</v>
          </cell>
          <cell r="D1780" t="str">
            <v>Labor Rate</v>
          </cell>
          <cell r="E1780" t="str">
            <v>LA</v>
          </cell>
          <cell r="F1780" t="str">
            <v>Mexico Rep.O.</v>
          </cell>
          <cell r="G1780" t="str">
            <v>Guatemala</v>
          </cell>
          <cell r="H1780" t="str">
            <v>6031</v>
          </cell>
          <cell r="I1780" t="str">
            <v>危地马拉</v>
          </cell>
          <cell r="J1780" t="str">
            <v>Guatemala</v>
          </cell>
          <cell r="K1780" t="str">
            <v>Local employees</v>
          </cell>
          <cell r="L1780" t="str">
            <v>L1</v>
          </cell>
          <cell r="M1780" t="str">
            <v>ALL</v>
          </cell>
          <cell r="N1780" t="str">
            <v>FLPC(含奖金)</v>
          </cell>
          <cell r="O1780" t="str">
            <v>USD/小时</v>
          </cell>
          <cell r="P1780">
            <v>46.92</v>
          </cell>
        </row>
        <row r="1781">
          <cell r="A1781" t="str">
            <v>Guatemala - Local employees - L2</v>
          </cell>
          <cell r="B1781" t="str">
            <v>Current version</v>
          </cell>
          <cell r="C1781" t="str">
            <v>V2009R2</v>
          </cell>
          <cell r="D1781" t="str">
            <v>Labor Rate</v>
          </cell>
          <cell r="E1781" t="str">
            <v>LA</v>
          </cell>
          <cell r="F1781" t="str">
            <v>Mexico Rep.O.</v>
          </cell>
          <cell r="G1781" t="str">
            <v>Guatemala</v>
          </cell>
          <cell r="H1781" t="str">
            <v>6031</v>
          </cell>
          <cell r="I1781" t="str">
            <v>危地马拉</v>
          </cell>
          <cell r="J1781" t="str">
            <v>Guatemala</v>
          </cell>
          <cell r="K1781" t="str">
            <v>Local employees</v>
          </cell>
          <cell r="L1781" t="str">
            <v>L2</v>
          </cell>
          <cell r="M1781" t="str">
            <v>ALL</v>
          </cell>
          <cell r="N1781" t="str">
            <v>FLPC(含奖金)</v>
          </cell>
          <cell r="O1781" t="str">
            <v>USD/小时</v>
          </cell>
          <cell r="P1781">
            <v>52.4</v>
          </cell>
        </row>
        <row r="1782">
          <cell r="A1782" t="str">
            <v>Guatemala - Local employees - L3</v>
          </cell>
          <cell r="B1782" t="str">
            <v>Current version</v>
          </cell>
          <cell r="C1782" t="str">
            <v>V2009R2</v>
          </cell>
          <cell r="D1782" t="str">
            <v>Labor Rate</v>
          </cell>
          <cell r="E1782" t="str">
            <v>LA</v>
          </cell>
          <cell r="F1782" t="str">
            <v>Mexico Rep.O.</v>
          </cell>
          <cell r="G1782" t="str">
            <v>Guatemala</v>
          </cell>
          <cell r="H1782" t="str">
            <v>6031</v>
          </cell>
          <cell r="I1782" t="str">
            <v>危地马拉</v>
          </cell>
          <cell r="J1782" t="str">
            <v>Guatemala</v>
          </cell>
          <cell r="K1782" t="str">
            <v>Local employees</v>
          </cell>
          <cell r="L1782" t="str">
            <v>L3</v>
          </cell>
          <cell r="M1782" t="str">
            <v>ALL</v>
          </cell>
          <cell r="N1782" t="str">
            <v>FLPC(含奖金)</v>
          </cell>
          <cell r="O1782" t="str">
            <v>USD/小时</v>
          </cell>
          <cell r="P1782">
            <v>57.93</v>
          </cell>
        </row>
        <row r="1783">
          <cell r="A1783" t="str">
            <v>Guatemala - Local employees - L4</v>
          </cell>
          <cell r="B1783" t="str">
            <v>Current version</v>
          </cell>
          <cell r="C1783" t="str">
            <v>V2009R2</v>
          </cell>
          <cell r="D1783" t="str">
            <v>Labor Rate</v>
          </cell>
          <cell r="E1783" t="str">
            <v>LA</v>
          </cell>
          <cell r="F1783" t="str">
            <v>Mexico Rep.O.</v>
          </cell>
          <cell r="G1783" t="str">
            <v>Guatemala</v>
          </cell>
          <cell r="H1783" t="str">
            <v>6031</v>
          </cell>
          <cell r="I1783" t="str">
            <v>危地马拉</v>
          </cell>
          <cell r="J1783" t="str">
            <v>Guatemala</v>
          </cell>
          <cell r="K1783" t="str">
            <v>Local employees</v>
          </cell>
          <cell r="L1783" t="str">
            <v>L4</v>
          </cell>
          <cell r="M1783" t="str">
            <v>ALL</v>
          </cell>
          <cell r="N1783" t="str">
            <v>FLPC(含奖金)</v>
          </cell>
          <cell r="O1783" t="str">
            <v>USD/小时</v>
          </cell>
          <cell r="P1783">
            <v>65.680000000000007</v>
          </cell>
        </row>
        <row r="1784">
          <cell r="A1784" t="str">
            <v>Dominica - Local employees - L0</v>
          </cell>
          <cell r="B1784" t="str">
            <v>Current version</v>
          </cell>
          <cell r="C1784" t="str">
            <v>V2009R2</v>
          </cell>
          <cell r="D1784" t="str">
            <v>Labor Rate</v>
          </cell>
          <cell r="E1784" t="str">
            <v>LA</v>
          </cell>
          <cell r="F1784" t="str">
            <v>Mexico Rep.O.</v>
          </cell>
          <cell r="G1784" t="str">
            <v>Dominica</v>
          </cell>
          <cell r="H1784" t="str">
            <v>6040</v>
          </cell>
          <cell r="I1784" t="str">
            <v>多米尼加</v>
          </cell>
          <cell r="J1784" t="str">
            <v>Dominica</v>
          </cell>
          <cell r="K1784" t="str">
            <v>Local employees</v>
          </cell>
          <cell r="L1784" t="str">
            <v>L0</v>
          </cell>
          <cell r="M1784" t="str">
            <v>ALL</v>
          </cell>
          <cell r="N1784" t="str">
            <v>FLPC(含奖金)</v>
          </cell>
          <cell r="O1784" t="str">
            <v>USD/小时</v>
          </cell>
          <cell r="P1784">
            <v>46.02</v>
          </cell>
        </row>
        <row r="1785">
          <cell r="A1785" t="str">
            <v>Dominica - Local employees - L1</v>
          </cell>
          <cell r="B1785" t="str">
            <v>Current version</v>
          </cell>
          <cell r="C1785" t="str">
            <v>V2009R2</v>
          </cell>
          <cell r="D1785" t="str">
            <v>Labor Rate</v>
          </cell>
          <cell r="E1785" t="str">
            <v>LA</v>
          </cell>
          <cell r="F1785" t="str">
            <v>Mexico Rep.O.</v>
          </cell>
          <cell r="G1785" t="str">
            <v>Dominica</v>
          </cell>
          <cell r="H1785" t="str">
            <v>6040</v>
          </cell>
          <cell r="I1785" t="str">
            <v>多米尼加</v>
          </cell>
          <cell r="J1785" t="str">
            <v>Dominica</v>
          </cell>
          <cell r="K1785" t="str">
            <v>Local employees</v>
          </cell>
          <cell r="L1785" t="str">
            <v>L1</v>
          </cell>
          <cell r="M1785" t="str">
            <v>ALL</v>
          </cell>
          <cell r="N1785" t="str">
            <v>FLPC(含奖金)</v>
          </cell>
          <cell r="O1785" t="str">
            <v>USD/小时</v>
          </cell>
          <cell r="P1785">
            <v>47.53</v>
          </cell>
        </row>
        <row r="1786">
          <cell r="A1786" t="str">
            <v>Dominica - Local employees - L2</v>
          </cell>
          <cell r="B1786" t="str">
            <v>Current version</v>
          </cell>
          <cell r="C1786" t="str">
            <v>V2009R2</v>
          </cell>
          <cell r="D1786" t="str">
            <v>Labor Rate</v>
          </cell>
          <cell r="E1786" t="str">
            <v>LA</v>
          </cell>
          <cell r="F1786" t="str">
            <v>Mexico Rep.O.</v>
          </cell>
          <cell r="G1786" t="str">
            <v>Dominica</v>
          </cell>
          <cell r="H1786" t="str">
            <v>6040</v>
          </cell>
          <cell r="I1786" t="str">
            <v>多米尼加</v>
          </cell>
          <cell r="J1786" t="str">
            <v>Dominica</v>
          </cell>
          <cell r="K1786" t="str">
            <v>Local employees</v>
          </cell>
          <cell r="L1786" t="str">
            <v>L2</v>
          </cell>
          <cell r="M1786" t="str">
            <v>ALL</v>
          </cell>
          <cell r="N1786" t="str">
            <v>FLPC(含奖金)</v>
          </cell>
          <cell r="O1786" t="str">
            <v>USD/小时</v>
          </cell>
          <cell r="P1786">
            <v>55.09</v>
          </cell>
        </row>
        <row r="1787">
          <cell r="A1787" t="str">
            <v>Dominica - Local employees - L3</v>
          </cell>
          <cell r="B1787" t="str">
            <v>Current version</v>
          </cell>
          <cell r="C1787" t="str">
            <v>V2009R2</v>
          </cell>
          <cell r="D1787" t="str">
            <v>Labor Rate</v>
          </cell>
          <cell r="E1787" t="str">
            <v>LA</v>
          </cell>
          <cell r="F1787" t="str">
            <v>Mexico Rep.O.</v>
          </cell>
          <cell r="G1787" t="str">
            <v>Dominica</v>
          </cell>
          <cell r="H1787" t="str">
            <v>6040</v>
          </cell>
          <cell r="I1787" t="str">
            <v>多米尼加</v>
          </cell>
          <cell r="J1787" t="str">
            <v>Dominica</v>
          </cell>
          <cell r="K1787" t="str">
            <v>Local employees</v>
          </cell>
          <cell r="L1787" t="str">
            <v>L3</v>
          </cell>
          <cell r="M1787" t="str">
            <v>ALL</v>
          </cell>
          <cell r="N1787" t="str">
            <v>FLPC(含奖金)</v>
          </cell>
          <cell r="O1787" t="str">
            <v>USD/小时</v>
          </cell>
          <cell r="P1787">
            <v>64.959999999999994</v>
          </cell>
        </row>
        <row r="1788">
          <cell r="A1788" t="str">
            <v>Dominica - Local employees - L4</v>
          </cell>
          <cell r="B1788" t="str">
            <v>Current version</v>
          </cell>
          <cell r="C1788" t="str">
            <v>V2009R2</v>
          </cell>
          <cell r="D1788" t="str">
            <v>Labor Rate</v>
          </cell>
          <cell r="E1788" t="str">
            <v>LA</v>
          </cell>
          <cell r="F1788" t="str">
            <v>Mexico Rep.O.</v>
          </cell>
          <cell r="G1788" t="str">
            <v>Dominica</v>
          </cell>
          <cell r="H1788" t="str">
            <v>6040</v>
          </cell>
          <cell r="I1788" t="str">
            <v>多米尼加</v>
          </cell>
          <cell r="J1788" t="str">
            <v>Dominica</v>
          </cell>
          <cell r="K1788" t="str">
            <v>Local employees</v>
          </cell>
          <cell r="L1788" t="str">
            <v>L4</v>
          </cell>
          <cell r="M1788" t="str">
            <v>ALL</v>
          </cell>
          <cell r="N1788" t="str">
            <v>FLPC(含奖金)</v>
          </cell>
          <cell r="O1788" t="str">
            <v>USD/小时</v>
          </cell>
          <cell r="P1788">
            <v>75.97</v>
          </cell>
        </row>
        <row r="1789">
          <cell r="A1789" t="str">
            <v>Costa Rica - Local employees - L0</v>
          </cell>
          <cell r="B1789" t="str">
            <v>Current version</v>
          </cell>
          <cell r="C1789" t="str">
            <v>V2009R2</v>
          </cell>
          <cell r="D1789" t="str">
            <v>Labor Rate</v>
          </cell>
          <cell r="E1789" t="str">
            <v>LA</v>
          </cell>
          <cell r="F1789" t="str">
            <v>Mexico Rep.O.</v>
          </cell>
          <cell r="G1789" t="str">
            <v>Costa Rica</v>
          </cell>
          <cell r="H1789" t="str">
            <v>6025</v>
          </cell>
          <cell r="I1789" t="str">
            <v>哥斯达黎加</v>
          </cell>
          <cell r="J1789" t="str">
            <v>Costa Rica</v>
          </cell>
          <cell r="K1789" t="str">
            <v>Local employees</v>
          </cell>
          <cell r="L1789" t="str">
            <v>L0</v>
          </cell>
          <cell r="M1789" t="str">
            <v>ALL</v>
          </cell>
          <cell r="N1789" t="str">
            <v>FLPC(含奖金)</v>
          </cell>
          <cell r="O1789" t="str">
            <v>USD/小时</v>
          </cell>
          <cell r="P1789">
            <v>46.71</v>
          </cell>
        </row>
        <row r="1790">
          <cell r="A1790" t="str">
            <v>Costa Rica - Local employees - L1</v>
          </cell>
          <cell r="B1790" t="str">
            <v>Current version</v>
          </cell>
          <cell r="C1790" t="str">
            <v>V2009R2</v>
          </cell>
          <cell r="D1790" t="str">
            <v>Labor Rate</v>
          </cell>
          <cell r="E1790" t="str">
            <v>LA</v>
          </cell>
          <cell r="F1790" t="str">
            <v>Mexico Rep.O.</v>
          </cell>
          <cell r="G1790" t="str">
            <v>Costa Rica</v>
          </cell>
          <cell r="H1790" t="str">
            <v>6025</v>
          </cell>
          <cell r="I1790" t="str">
            <v>哥斯达黎加</v>
          </cell>
          <cell r="J1790" t="str">
            <v>Costa Rica</v>
          </cell>
          <cell r="K1790" t="str">
            <v>Local employees</v>
          </cell>
          <cell r="L1790" t="str">
            <v>L1</v>
          </cell>
          <cell r="M1790" t="str">
            <v>ALL</v>
          </cell>
          <cell r="N1790" t="str">
            <v>FLPC(含奖金)</v>
          </cell>
          <cell r="O1790" t="str">
            <v>USD/小时</v>
          </cell>
          <cell r="P1790">
            <v>48.43</v>
          </cell>
        </row>
        <row r="1791">
          <cell r="A1791" t="str">
            <v>Costa Rica - Local employees - L2</v>
          </cell>
          <cell r="B1791" t="str">
            <v>Current version</v>
          </cell>
          <cell r="C1791" t="str">
            <v>V2009R2</v>
          </cell>
          <cell r="D1791" t="str">
            <v>Labor Rate</v>
          </cell>
          <cell r="E1791" t="str">
            <v>LA</v>
          </cell>
          <cell r="F1791" t="str">
            <v>Mexico Rep.O.</v>
          </cell>
          <cell r="G1791" t="str">
            <v>Costa Rica</v>
          </cell>
          <cell r="H1791" t="str">
            <v>6025</v>
          </cell>
          <cell r="I1791" t="str">
            <v>哥斯达黎加</v>
          </cell>
          <cell r="J1791" t="str">
            <v>Costa Rica</v>
          </cell>
          <cell r="K1791" t="str">
            <v>Local employees</v>
          </cell>
          <cell r="L1791" t="str">
            <v>L2</v>
          </cell>
          <cell r="M1791" t="str">
            <v>ALL</v>
          </cell>
          <cell r="N1791" t="str">
            <v>FLPC(含奖金)</v>
          </cell>
          <cell r="O1791" t="str">
            <v>USD/小时</v>
          </cell>
          <cell r="P1791">
            <v>55.29</v>
          </cell>
        </row>
        <row r="1792">
          <cell r="A1792" t="str">
            <v>Costa Rica - Local employees - L3</v>
          </cell>
          <cell r="B1792" t="str">
            <v>Current version</v>
          </cell>
          <cell r="C1792" t="str">
            <v>V2009R2</v>
          </cell>
          <cell r="D1792" t="str">
            <v>Labor Rate</v>
          </cell>
          <cell r="E1792" t="str">
            <v>LA</v>
          </cell>
          <cell r="F1792" t="str">
            <v>Mexico Rep.O.</v>
          </cell>
          <cell r="G1792" t="str">
            <v>Costa Rica</v>
          </cell>
          <cell r="H1792" t="str">
            <v>6025</v>
          </cell>
          <cell r="I1792" t="str">
            <v>哥斯达黎加</v>
          </cell>
          <cell r="J1792" t="str">
            <v>Costa Rica</v>
          </cell>
          <cell r="K1792" t="str">
            <v>Local employees</v>
          </cell>
          <cell r="L1792" t="str">
            <v>L3</v>
          </cell>
          <cell r="M1792" t="str">
            <v>ALL</v>
          </cell>
          <cell r="N1792" t="str">
            <v>FLPC(含奖金)</v>
          </cell>
          <cell r="O1792" t="str">
            <v>USD/小时</v>
          </cell>
          <cell r="P1792">
            <v>72.459999999999994</v>
          </cell>
        </row>
        <row r="1793">
          <cell r="A1793" t="str">
            <v>Costa Rica - Local employees - L4</v>
          </cell>
          <cell r="B1793" t="str">
            <v>Current version</v>
          </cell>
          <cell r="C1793" t="str">
            <v>V2009R2</v>
          </cell>
          <cell r="D1793" t="str">
            <v>Labor Rate</v>
          </cell>
          <cell r="E1793" t="str">
            <v>LA</v>
          </cell>
          <cell r="F1793" t="str">
            <v>Mexico Rep.O.</v>
          </cell>
          <cell r="G1793" t="str">
            <v>Costa Rica</v>
          </cell>
          <cell r="H1793" t="str">
            <v>6025</v>
          </cell>
          <cell r="I1793" t="str">
            <v>哥斯达黎加</v>
          </cell>
          <cell r="J1793" t="str">
            <v>Costa Rica</v>
          </cell>
          <cell r="K1793" t="str">
            <v>Local employees</v>
          </cell>
          <cell r="L1793" t="str">
            <v>L4</v>
          </cell>
          <cell r="M1793" t="str">
            <v>ALL</v>
          </cell>
          <cell r="N1793" t="str">
            <v>FLPC(含奖金)</v>
          </cell>
          <cell r="O1793" t="str">
            <v>USD/小时</v>
          </cell>
          <cell r="P1793">
            <v>88.06</v>
          </cell>
        </row>
        <row r="1794">
          <cell r="A1794" t="str">
            <v>C&amp;C-Caribbean - Local employees - L0</v>
          </cell>
          <cell r="B1794" t="str">
            <v>Current version</v>
          </cell>
          <cell r="C1794" t="str">
            <v>V2009R2</v>
          </cell>
          <cell r="D1794" t="str">
            <v>Labor Rate</v>
          </cell>
          <cell r="E1794" t="str">
            <v>LA</v>
          </cell>
          <cell r="F1794" t="str">
            <v>Mexico Rep.O.</v>
          </cell>
          <cell r="G1794" t="str">
            <v>C&amp;C-Caribbean</v>
          </cell>
          <cell r="H1794" t="str">
            <v>6021</v>
          </cell>
          <cell r="I1794" t="str">
            <v>中美洲加勒比海</v>
          </cell>
          <cell r="J1794" t="str">
            <v>C&amp;C-Caribbean</v>
          </cell>
          <cell r="K1794" t="str">
            <v>Local employees</v>
          </cell>
          <cell r="L1794" t="str">
            <v>L0</v>
          </cell>
          <cell r="M1794" t="str">
            <v>ALL</v>
          </cell>
          <cell r="N1794" t="str">
            <v>FLPC(含奖金)</v>
          </cell>
          <cell r="O1794" t="str">
            <v>USD/小时</v>
          </cell>
          <cell r="P1794">
            <v>46.02</v>
          </cell>
        </row>
        <row r="1795">
          <cell r="A1795" t="str">
            <v>C&amp;C-Caribbean - Local employees - L1</v>
          </cell>
          <cell r="B1795" t="str">
            <v>Current version</v>
          </cell>
          <cell r="C1795" t="str">
            <v>V2009R2</v>
          </cell>
          <cell r="D1795" t="str">
            <v>Labor Rate</v>
          </cell>
          <cell r="E1795" t="str">
            <v>LA</v>
          </cell>
          <cell r="F1795" t="str">
            <v>Mexico Rep.O.</v>
          </cell>
          <cell r="G1795" t="str">
            <v>C&amp;C-Caribbean</v>
          </cell>
          <cell r="H1795" t="str">
            <v>6021</v>
          </cell>
          <cell r="I1795" t="str">
            <v>中美洲加勒比海</v>
          </cell>
          <cell r="J1795" t="str">
            <v>C&amp;C-Caribbean</v>
          </cell>
          <cell r="K1795" t="str">
            <v>Local employees</v>
          </cell>
          <cell r="L1795" t="str">
            <v>L1</v>
          </cell>
          <cell r="M1795" t="str">
            <v>ALL</v>
          </cell>
          <cell r="N1795" t="str">
            <v>FLPC(含奖金)</v>
          </cell>
          <cell r="O1795" t="str">
            <v>USD/小时</v>
          </cell>
          <cell r="P1795">
            <v>47.53</v>
          </cell>
        </row>
        <row r="1796">
          <cell r="A1796" t="str">
            <v>C&amp;C-Caribbean - Local employees - L2</v>
          </cell>
          <cell r="B1796" t="str">
            <v>Current version</v>
          </cell>
          <cell r="C1796" t="str">
            <v>V2009R2</v>
          </cell>
          <cell r="D1796" t="str">
            <v>Labor Rate</v>
          </cell>
          <cell r="E1796" t="str">
            <v>LA</v>
          </cell>
          <cell r="F1796" t="str">
            <v>Mexico Rep.O.</v>
          </cell>
          <cell r="G1796" t="str">
            <v>C&amp;C-Caribbean</v>
          </cell>
          <cell r="H1796" t="str">
            <v>6021</v>
          </cell>
          <cell r="I1796" t="str">
            <v>中美洲加勒比海</v>
          </cell>
          <cell r="J1796" t="str">
            <v>C&amp;C-Caribbean</v>
          </cell>
          <cell r="K1796" t="str">
            <v>Local employees</v>
          </cell>
          <cell r="L1796" t="str">
            <v>L2</v>
          </cell>
          <cell r="M1796" t="str">
            <v>ALL</v>
          </cell>
          <cell r="N1796" t="str">
            <v>FLPC(含奖金)</v>
          </cell>
          <cell r="O1796" t="str">
            <v>USD/小时</v>
          </cell>
          <cell r="P1796">
            <v>55.09</v>
          </cell>
        </row>
        <row r="1797">
          <cell r="A1797" t="str">
            <v>C&amp;C-Caribbean - Local employees - L3</v>
          </cell>
          <cell r="B1797" t="str">
            <v>Current version</v>
          </cell>
          <cell r="C1797" t="str">
            <v>V2009R2</v>
          </cell>
          <cell r="D1797" t="str">
            <v>Labor Rate</v>
          </cell>
          <cell r="E1797" t="str">
            <v>LA</v>
          </cell>
          <cell r="F1797" t="str">
            <v>Mexico Rep.O.</v>
          </cell>
          <cell r="G1797" t="str">
            <v>C&amp;C-Caribbean</v>
          </cell>
          <cell r="H1797" t="str">
            <v>6021</v>
          </cell>
          <cell r="I1797" t="str">
            <v>中美洲加勒比海</v>
          </cell>
          <cell r="J1797" t="str">
            <v>C&amp;C-Caribbean</v>
          </cell>
          <cell r="K1797" t="str">
            <v>Local employees</v>
          </cell>
          <cell r="L1797" t="str">
            <v>L3</v>
          </cell>
          <cell r="M1797" t="str">
            <v>ALL</v>
          </cell>
          <cell r="N1797" t="str">
            <v>FLPC(含奖金)</v>
          </cell>
          <cell r="O1797" t="str">
            <v>USD/小时</v>
          </cell>
          <cell r="P1797">
            <v>64.959999999999994</v>
          </cell>
        </row>
        <row r="1798">
          <cell r="A1798" t="str">
            <v>C&amp;C-Caribbean - Local employees - L4</v>
          </cell>
          <cell r="B1798" t="str">
            <v>Current version</v>
          </cell>
          <cell r="C1798" t="str">
            <v>V2009R2</v>
          </cell>
          <cell r="D1798" t="str">
            <v>Labor Rate</v>
          </cell>
          <cell r="E1798" t="str">
            <v>LA</v>
          </cell>
          <cell r="F1798" t="str">
            <v>Mexico Rep.O.</v>
          </cell>
          <cell r="G1798" t="str">
            <v>C&amp;C-Caribbean</v>
          </cell>
          <cell r="H1798" t="str">
            <v>6021</v>
          </cell>
          <cell r="I1798" t="str">
            <v>中美洲加勒比海</v>
          </cell>
          <cell r="J1798" t="str">
            <v>C&amp;C-Caribbean</v>
          </cell>
          <cell r="K1798" t="str">
            <v>Local employees</v>
          </cell>
          <cell r="L1798" t="str">
            <v>L4</v>
          </cell>
          <cell r="M1798" t="str">
            <v>ALL</v>
          </cell>
          <cell r="N1798" t="str">
            <v>FLPC(含奖金)</v>
          </cell>
          <cell r="O1798" t="str">
            <v>USD/小时</v>
          </cell>
          <cell r="P1798">
            <v>75.97</v>
          </cell>
        </row>
        <row r="1799">
          <cell r="A1799" t="str">
            <v>C&amp;C - Local employees - L0</v>
          </cell>
          <cell r="B1799" t="str">
            <v>Current version</v>
          </cell>
          <cell r="C1799" t="str">
            <v>V2009R2</v>
          </cell>
          <cell r="D1799" t="str">
            <v>Labor Rate</v>
          </cell>
          <cell r="E1799" t="str">
            <v>LA</v>
          </cell>
          <cell r="F1799" t="str">
            <v>Mexico Rep.O.</v>
          </cell>
          <cell r="G1799" t="str">
            <v>C&amp;C</v>
          </cell>
          <cell r="H1799" t="str">
            <v>6019</v>
          </cell>
          <cell r="I1799" t="str">
            <v>中美洲</v>
          </cell>
          <cell r="J1799" t="str">
            <v>C&amp;C</v>
          </cell>
          <cell r="K1799" t="str">
            <v>Local employees</v>
          </cell>
          <cell r="L1799" t="str">
            <v>L0</v>
          </cell>
          <cell r="M1799" t="str">
            <v>ALL</v>
          </cell>
          <cell r="N1799" t="str">
            <v>FLPC(含奖金)</v>
          </cell>
          <cell r="O1799" t="str">
            <v>USD/小时</v>
          </cell>
          <cell r="P1799">
            <v>46.02</v>
          </cell>
        </row>
        <row r="1800">
          <cell r="A1800" t="str">
            <v>C&amp;C - Local employees - L1</v>
          </cell>
          <cell r="B1800" t="str">
            <v>Current version</v>
          </cell>
          <cell r="C1800" t="str">
            <v>V2009R2</v>
          </cell>
          <cell r="D1800" t="str">
            <v>Labor Rate</v>
          </cell>
          <cell r="E1800" t="str">
            <v>LA</v>
          </cell>
          <cell r="F1800" t="str">
            <v>Mexico Rep.O.</v>
          </cell>
          <cell r="G1800" t="str">
            <v>C&amp;C</v>
          </cell>
          <cell r="H1800" t="str">
            <v>6019</v>
          </cell>
          <cell r="I1800" t="str">
            <v>中美洲</v>
          </cell>
          <cell r="J1800" t="str">
            <v>C&amp;C</v>
          </cell>
          <cell r="K1800" t="str">
            <v>Local employees</v>
          </cell>
          <cell r="L1800" t="str">
            <v>L1</v>
          </cell>
          <cell r="M1800" t="str">
            <v>ALL</v>
          </cell>
          <cell r="N1800" t="str">
            <v>FLPC(含奖金)</v>
          </cell>
          <cell r="O1800" t="str">
            <v>USD/小时</v>
          </cell>
          <cell r="P1800">
            <v>47.53</v>
          </cell>
        </row>
        <row r="1801">
          <cell r="A1801" t="str">
            <v>C&amp;C - Local employees - L2</v>
          </cell>
          <cell r="B1801" t="str">
            <v>Current version</v>
          </cell>
          <cell r="C1801" t="str">
            <v>V2009R2</v>
          </cell>
          <cell r="D1801" t="str">
            <v>Labor Rate</v>
          </cell>
          <cell r="E1801" t="str">
            <v>LA</v>
          </cell>
          <cell r="F1801" t="str">
            <v>Mexico Rep.O.</v>
          </cell>
          <cell r="G1801" t="str">
            <v>C&amp;C</v>
          </cell>
          <cell r="H1801" t="str">
            <v>6019</v>
          </cell>
          <cell r="I1801" t="str">
            <v>中美洲</v>
          </cell>
          <cell r="J1801" t="str">
            <v>C&amp;C</v>
          </cell>
          <cell r="K1801" t="str">
            <v>Local employees</v>
          </cell>
          <cell r="L1801" t="str">
            <v>L2</v>
          </cell>
          <cell r="M1801" t="str">
            <v>ALL</v>
          </cell>
          <cell r="N1801" t="str">
            <v>FLPC(含奖金)</v>
          </cell>
          <cell r="O1801" t="str">
            <v>USD/小时</v>
          </cell>
          <cell r="P1801">
            <v>55.09</v>
          </cell>
        </row>
        <row r="1802">
          <cell r="A1802" t="str">
            <v>C&amp;C - Local employees - L3</v>
          </cell>
          <cell r="B1802" t="str">
            <v>Current version</v>
          </cell>
          <cell r="C1802" t="str">
            <v>V2009R2</v>
          </cell>
          <cell r="D1802" t="str">
            <v>Labor Rate</v>
          </cell>
          <cell r="E1802" t="str">
            <v>LA</v>
          </cell>
          <cell r="F1802" t="str">
            <v>Mexico Rep.O.</v>
          </cell>
          <cell r="G1802" t="str">
            <v>C&amp;C</v>
          </cell>
          <cell r="H1802" t="str">
            <v>6019</v>
          </cell>
          <cell r="I1802" t="str">
            <v>中美洲</v>
          </cell>
          <cell r="J1802" t="str">
            <v>C&amp;C</v>
          </cell>
          <cell r="K1802" t="str">
            <v>Local employees</v>
          </cell>
          <cell r="L1802" t="str">
            <v>L3</v>
          </cell>
          <cell r="M1802" t="str">
            <v>ALL</v>
          </cell>
          <cell r="N1802" t="str">
            <v>FLPC(含奖金)</v>
          </cell>
          <cell r="O1802" t="str">
            <v>USD/小时</v>
          </cell>
          <cell r="P1802">
            <v>64.959999999999994</v>
          </cell>
        </row>
        <row r="1803">
          <cell r="A1803" t="str">
            <v>C&amp;C - Local employees - L4</v>
          </cell>
          <cell r="B1803" t="str">
            <v>Current version</v>
          </cell>
          <cell r="C1803" t="str">
            <v>V2009R2</v>
          </cell>
          <cell r="D1803" t="str">
            <v>Labor Rate</v>
          </cell>
          <cell r="E1803" t="str">
            <v>LA</v>
          </cell>
          <cell r="F1803" t="str">
            <v>Mexico Rep.O.</v>
          </cell>
          <cell r="G1803" t="str">
            <v>C&amp;C</v>
          </cell>
          <cell r="H1803" t="str">
            <v>6019</v>
          </cell>
          <cell r="I1803" t="str">
            <v>中美洲</v>
          </cell>
          <cell r="J1803" t="str">
            <v>C&amp;C</v>
          </cell>
          <cell r="K1803" t="str">
            <v>Local employees</v>
          </cell>
          <cell r="L1803" t="str">
            <v>L4</v>
          </cell>
          <cell r="M1803" t="str">
            <v>ALL</v>
          </cell>
          <cell r="N1803" t="str">
            <v>FLPC(含奖金)</v>
          </cell>
          <cell r="O1803" t="str">
            <v>USD/小时</v>
          </cell>
          <cell r="P1803">
            <v>75.97</v>
          </cell>
        </row>
        <row r="1804">
          <cell r="A1804" t="str">
            <v>Uzbekistan - Local employees - L0</v>
          </cell>
          <cell r="B1804" t="str">
            <v>Current version</v>
          </cell>
          <cell r="C1804" t="str">
            <v>V2009R2</v>
          </cell>
          <cell r="D1804" t="str">
            <v>Labor Rate</v>
          </cell>
          <cell r="E1804" t="str">
            <v>CIS</v>
          </cell>
          <cell r="F1804" t="str">
            <v>Central Asia Sub-Regional Division</v>
          </cell>
          <cell r="G1804" t="str">
            <v>Uzbek Rep.O.</v>
          </cell>
          <cell r="H1804" t="str">
            <v>3002</v>
          </cell>
          <cell r="I1804" t="str">
            <v>乌兹别克</v>
          </cell>
          <cell r="J1804" t="str">
            <v>Uzbekistan</v>
          </cell>
          <cell r="K1804" t="str">
            <v>Local employees</v>
          </cell>
          <cell r="L1804" t="str">
            <v>L0</v>
          </cell>
          <cell r="M1804" t="str">
            <v>ALL</v>
          </cell>
          <cell r="N1804" t="str">
            <v>FLPC(含奖金)</v>
          </cell>
          <cell r="O1804" t="str">
            <v>USD/小时</v>
          </cell>
          <cell r="P1804">
            <v>11</v>
          </cell>
        </row>
        <row r="1805">
          <cell r="A1805" t="str">
            <v>Uzbekistan - Local employees - L1</v>
          </cell>
          <cell r="B1805" t="str">
            <v>Current version</v>
          </cell>
          <cell r="C1805" t="str">
            <v>V2009R2</v>
          </cell>
          <cell r="D1805" t="str">
            <v>Labor Rate</v>
          </cell>
          <cell r="E1805" t="str">
            <v>CIS</v>
          </cell>
          <cell r="F1805" t="str">
            <v>Central Asia Sub-Regional Division</v>
          </cell>
          <cell r="G1805" t="str">
            <v>Uzbek Rep.O.</v>
          </cell>
          <cell r="H1805" t="str">
            <v>3002</v>
          </cell>
          <cell r="I1805" t="str">
            <v>乌兹别克</v>
          </cell>
          <cell r="J1805" t="str">
            <v>Uzbekistan</v>
          </cell>
          <cell r="K1805" t="str">
            <v>Local employees</v>
          </cell>
          <cell r="L1805" t="str">
            <v>L1</v>
          </cell>
          <cell r="M1805" t="str">
            <v>ALL</v>
          </cell>
          <cell r="N1805" t="str">
            <v>FLPC(含奖金)</v>
          </cell>
          <cell r="O1805" t="str">
            <v>USD/小时</v>
          </cell>
          <cell r="P1805">
            <v>13.2</v>
          </cell>
        </row>
        <row r="1806">
          <cell r="A1806" t="str">
            <v>Uzbekistan - Local employees - L2</v>
          </cell>
          <cell r="B1806" t="str">
            <v>Current version</v>
          </cell>
          <cell r="C1806" t="str">
            <v>V2009R2</v>
          </cell>
          <cell r="D1806" t="str">
            <v>Labor Rate</v>
          </cell>
          <cell r="E1806" t="str">
            <v>CIS</v>
          </cell>
          <cell r="F1806" t="str">
            <v>Central Asia Sub-Regional Division</v>
          </cell>
          <cell r="G1806" t="str">
            <v>Uzbek Rep.O.</v>
          </cell>
          <cell r="H1806" t="str">
            <v>3002</v>
          </cell>
          <cell r="I1806" t="str">
            <v>乌兹别克</v>
          </cell>
          <cell r="J1806" t="str">
            <v>Uzbekistan</v>
          </cell>
          <cell r="K1806" t="str">
            <v>Local employees</v>
          </cell>
          <cell r="L1806" t="str">
            <v>L2</v>
          </cell>
          <cell r="M1806" t="str">
            <v>ALL</v>
          </cell>
          <cell r="N1806" t="str">
            <v>FLPC(含奖金)</v>
          </cell>
          <cell r="O1806" t="str">
            <v>USD/小时</v>
          </cell>
          <cell r="P1806">
            <v>18.63</v>
          </cell>
        </row>
        <row r="1807">
          <cell r="A1807" t="str">
            <v>Uzbekistan - Local employees - L3</v>
          </cell>
          <cell r="B1807" t="str">
            <v>Current version</v>
          </cell>
          <cell r="C1807" t="str">
            <v>V2009R2</v>
          </cell>
          <cell r="D1807" t="str">
            <v>Labor Rate</v>
          </cell>
          <cell r="E1807" t="str">
            <v>CIS</v>
          </cell>
          <cell r="F1807" t="str">
            <v>Central Asia Sub-Regional Division</v>
          </cell>
          <cell r="G1807" t="str">
            <v>Uzbek Rep.O.</v>
          </cell>
          <cell r="H1807" t="str">
            <v>3002</v>
          </cell>
          <cell r="I1807" t="str">
            <v>乌兹别克</v>
          </cell>
          <cell r="J1807" t="str">
            <v>Uzbekistan</v>
          </cell>
          <cell r="K1807" t="str">
            <v>Local employees</v>
          </cell>
          <cell r="L1807" t="str">
            <v>L3</v>
          </cell>
          <cell r="M1807" t="str">
            <v>ALL</v>
          </cell>
          <cell r="N1807" t="str">
            <v>FLPC(含奖金)</v>
          </cell>
          <cell r="O1807" t="str">
            <v>USD/小时</v>
          </cell>
          <cell r="P1807">
            <v>31.96</v>
          </cell>
        </row>
        <row r="1808">
          <cell r="A1808" t="str">
            <v>Uzbekistan - Local employees - L4</v>
          </cell>
          <cell r="B1808" t="str">
            <v>Current version</v>
          </cell>
          <cell r="C1808" t="str">
            <v>V2009R2</v>
          </cell>
          <cell r="D1808" t="str">
            <v>Labor Rate</v>
          </cell>
          <cell r="E1808" t="str">
            <v>CIS</v>
          </cell>
          <cell r="F1808" t="str">
            <v>Central Asia Sub-Regional Division</v>
          </cell>
          <cell r="G1808" t="str">
            <v>Uzbek Rep.O.</v>
          </cell>
          <cell r="H1808" t="str">
            <v>3002</v>
          </cell>
          <cell r="I1808" t="str">
            <v>乌兹别克</v>
          </cell>
          <cell r="J1808" t="str">
            <v>Uzbekistan</v>
          </cell>
          <cell r="K1808" t="str">
            <v>Local employees</v>
          </cell>
          <cell r="L1808" t="str">
            <v>L4</v>
          </cell>
          <cell r="M1808" t="str">
            <v>ALL</v>
          </cell>
          <cell r="N1808" t="str">
            <v>FLPC(含奖金)</v>
          </cell>
          <cell r="O1808" t="str">
            <v>USD/小时</v>
          </cell>
          <cell r="P1808">
            <v>49.3</v>
          </cell>
        </row>
        <row r="1809">
          <cell r="A1809" t="str">
            <v>Mongolia - Local employees - L0</v>
          </cell>
          <cell r="B1809" t="str">
            <v>Current version</v>
          </cell>
          <cell r="C1809" t="str">
            <v>V2009R2</v>
          </cell>
          <cell r="D1809" t="str">
            <v>Labor Rate</v>
          </cell>
          <cell r="E1809" t="str">
            <v>CIS</v>
          </cell>
          <cell r="F1809" t="str">
            <v>Central Asia Sub-Regional Division</v>
          </cell>
          <cell r="G1809" t="str">
            <v>Uzbek Rep.O.</v>
          </cell>
          <cell r="H1809" t="str">
            <v>2999</v>
          </cell>
          <cell r="I1809" t="str">
            <v>蒙古</v>
          </cell>
          <cell r="J1809" t="str">
            <v>Mongolia</v>
          </cell>
          <cell r="K1809" t="str">
            <v>Local employees</v>
          </cell>
          <cell r="L1809" t="str">
            <v>L0</v>
          </cell>
          <cell r="M1809" t="str">
            <v>ALL</v>
          </cell>
          <cell r="N1809" t="str">
            <v>FLPC(含奖金)</v>
          </cell>
          <cell r="O1809" t="str">
            <v>USD/小时</v>
          </cell>
          <cell r="P1809">
            <v>8.85</v>
          </cell>
        </row>
        <row r="1810">
          <cell r="A1810" t="str">
            <v>Mongolia - Local employees - L1</v>
          </cell>
          <cell r="B1810" t="str">
            <v>Current version</v>
          </cell>
          <cell r="C1810" t="str">
            <v>V2009R2</v>
          </cell>
          <cell r="D1810" t="str">
            <v>Labor Rate</v>
          </cell>
          <cell r="E1810" t="str">
            <v>CIS</v>
          </cell>
          <cell r="F1810" t="str">
            <v>Central Asia Sub-Regional Division</v>
          </cell>
          <cell r="G1810" t="str">
            <v>Uzbek Rep.O.</v>
          </cell>
          <cell r="H1810" t="str">
            <v>2999</v>
          </cell>
          <cell r="I1810" t="str">
            <v>蒙古</v>
          </cell>
          <cell r="J1810" t="str">
            <v>Mongolia</v>
          </cell>
          <cell r="K1810" t="str">
            <v>Local employees</v>
          </cell>
          <cell r="L1810" t="str">
            <v>L1</v>
          </cell>
          <cell r="M1810" t="str">
            <v>ALL</v>
          </cell>
          <cell r="N1810" t="str">
            <v>FLPC(含奖金)</v>
          </cell>
          <cell r="O1810" t="str">
            <v>USD/小时</v>
          </cell>
          <cell r="P1810">
            <v>9.57</v>
          </cell>
        </row>
        <row r="1811">
          <cell r="A1811" t="str">
            <v>Mongolia - Local employees - L2</v>
          </cell>
          <cell r="B1811" t="str">
            <v>Current version</v>
          </cell>
          <cell r="C1811" t="str">
            <v>V2009R2</v>
          </cell>
          <cell r="D1811" t="str">
            <v>Labor Rate</v>
          </cell>
          <cell r="E1811" t="str">
            <v>CIS</v>
          </cell>
          <cell r="F1811" t="str">
            <v>Central Asia Sub-Regional Division</v>
          </cell>
          <cell r="G1811" t="str">
            <v>Uzbek Rep.O.</v>
          </cell>
          <cell r="H1811" t="str">
            <v>2999</v>
          </cell>
          <cell r="I1811" t="str">
            <v>蒙古</v>
          </cell>
          <cell r="J1811" t="str">
            <v>Mongolia</v>
          </cell>
          <cell r="K1811" t="str">
            <v>Local employees</v>
          </cell>
          <cell r="L1811" t="str">
            <v>L2</v>
          </cell>
          <cell r="M1811" t="str">
            <v>ALL</v>
          </cell>
          <cell r="N1811" t="str">
            <v>FLPC(含奖金)</v>
          </cell>
          <cell r="O1811" t="str">
            <v>USD/小时</v>
          </cell>
          <cell r="P1811">
            <v>12.22</v>
          </cell>
        </row>
        <row r="1812">
          <cell r="A1812" t="str">
            <v>Mongolia - Local employees - L3</v>
          </cell>
          <cell r="B1812" t="str">
            <v>Current version</v>
          </cell>
          <cell r="C1812" t="str">
            <v>V2009R2</v>
          </cell>
          <cell r="D1812" t="str">
            <v>Labor Rate</v>
          </cell>
          <cell r="E1812" t="str">
            <v>CIS</v>
          </cell>
          <cell r="F1812" t="str">
            <v>Central Asia Sub-Regional Division</v>
          </cell>
          <cell r="G1812" t="str">
            <v>Uzbek Rep.O.</v>
          </cell>
          <cell r="H1812" t="str">
            <v>2999</v>
          </cell>
          <cell r="I1812" t="str">
            <v>蒙古</v>
          </cell>
          <cell r="J1812" t="str">
            <v>Mongolia</v>
          </cell>
          <cell r="K1812" t="str">
            <v>Local employees</v>
          </cell>
          <cell r="L1812" t="str">
            <v>L3</v>
          </cell>
          <cell r="M1812" t="str">
            <v>ALL</v>
          </cell>
          <cell r="N1812" t="str">
            <v>FLPC(含奖金)</v>
          </cell>
          <cell r="O1812" t="str">
            <v>USD/小时</v>
          </cell>
          <cell r="P1812">
            <v>15.53</v>
          </cell>
        </row>
        <row r="1813">
          <cell r="A1813" t="str">
            <v>Tajikistan - Local employees - L0</v>
          </cell>
          <cell r="B1813" t="str">
            <v>Current version</v>
          </cell>
          <cell r="C1813" t="str">
            <v>V2009R2</v>
          </cell>
          <cell r="D1813" t="str">
            <v>Labor Rate</v>
          </cell>
          <cell r="E1813" t="str">
            <v>CIS</v>
          </cell>
          <cell r="F1813" t="str">
            <v>Central Asia Sub-Regional Division</v>
          </cell>
          <cell r="G1813" t="str">
            <v>Uzbek Rep.O.</v>
          </cell>
          <cell r="H1813" t="str">
            <v>3003</v>
          </cell>
          <cell r="I1813" t="str">
            <v>塔吉克斯坦</v>
          </cell>
          <cell r="J1813" t="str">
            <v>Tajikistan</v>
          </cell>
          <cell r="K1813" t="str">
            <v>Local employees</v>
          </cell>
          <cell r="L1813" t="str">
            <v>L0</v>
          </cell>
          <cell r="M1813" t="str">
            <v>ALL</v>
          </cell>
          <cell r="N1813" t="str">
            <v>FLPC(含奖金)</v>
          </cell>
          <cell r="O1813" t="str">
            <v>USD/小时</v>
          </cell>
          <cell r="P1813">
            <v>8.8699999999999992</v>
          </cell>
        </row>
        <row r="1814">
          <cell r="A1814" t="str">
            <v>Tajikistan - Local employees - L1</v>
          </cell>
          <cell r="B1814" t="str">
            <v>Current version</v>
          </cell>
          <cell r="C1814" t="str">
            <v>V2009R2</v>
          </cell>
          <cell r="D1814" t="str">
            <v>Labor Rate</v>
          </cell>
          <cell r="E1814" t="str">
            <v>CIS</v>
          </cell>
          <cell r="F1814" t="str">
            <v>Central Asia Sub-Regional Division</v>
          </cell>
          <cell r="G1814" t="str">
            <v>Uzbek Rep.O.</v>
          </cell>
          <cell r="H1814" t="str">
            <v>3003</v>
          </cell>
          <cell r="I1814" t="str">
            <v>塔吉克斯坦</v>
          </cell>
          <cell r="J1814" t="str">
            <v>Tajikistan</v>
          </cell>
          <cell r="K1814" t="str">
            <v>Local employees</v>
          </cell>
          <cell r="L1814" t="str">
            <v>L1</v>
          </cell>
          <cell r="M1814" t="str">
            <v>ALL</v>
          </cell>
          <cell r="N1814" t="str">
            <v>FLPC(含奖金)</v>
          </cell>
          <cell r="O1814" t="str">
            <v>USD/小时</v>
          </cell>
          <cell r="P1814">
            <v>10.38</v>
          </cell>
        </row>
        <row r="1815">
          <cell r="A1815" t="str">
            <v>Sudan - Local employees - L4</v>
          </cell>
          <cell r="B1815" t="str">
            <v>Current version</v>
          </cell>
          <cell r="C1815" t="str">
            <v>V2009R2</v>
          </cell>
          <cell r="D1815" t="str">
            <v>Labor Rate</v>
          </cell>
          <cell r="E1815" t="str">
            <v>MENA</v>
          </cell>
          <cell r="F1815" t="str">
            <v>Northern Africa Sub-Regional Division</v>
          </cell>
          <cell r="G1815" t="str">
            <v>Sudan Rep.O.</v>
          </cell>
          <cell r="H1815" t="str">
            <v>4993</v>
          </cell>
          <cell r="I1815" t="str">
            <v>A5苏丹</v>
          </cell>
          <cell r="J1815" t="str">
            <v>Sudan</v>
          </cell>
          <cell r="K1815" t="str">
            <v>Local employees</v>
          </cell>
          <cell r="L1815" t="str">
            <v>L4</v>
          </cell>
          <cell r="M1815" t="str">
            <v>ALL</v>
          </cell>
          <cell r="N1815" t="str">
            <v>FLPC(含奖金)</v>
          </cell>
          <cell r="O1815" t="str">
            <v>USD/小时</v>
          </cell>
          <cell r="P1815">
            <v>146.02000000000001</v>
          </cell>
        </row>
        <row r="1816">
          <cell r="A1816" t="str">
            <v>South Sudan - Local employees - L0</v>
          </cell>
          <cell r="B1816" t="str">
            <v>Current version</v>
          </cell>
          <cell r="C1816" t="str">
            <v>V2009R2</v>
          </cell>
          <cell r="D1816" t="str">
            <v>Labor Rate</v>
          </cell>
          <cell r="E1816" t="str">
            <v>MENA</v>
          </cell>
          <cell r="F1816" t="str">
            <v>Northern Africa Sub-Regional Division</v>
          </cell>
          <cell r="G1816" t="str">
            <v>Sudan Rep.O.</v>
          </cell>
          <cell r="H1816" t="str">
            <v>5016</v>
          </cell>
          <cell r="I1816" t="str">
            <v>南部苏丹</v>
          </cell>
          <cell r="J1816" t="str">
            <v>South Sudan</v>
          </cell>
          <cell r="K1816" t="str">
            <v>Local employees</v>
          </cell>
          <cell r="L1816" t="str">
            <v>L0</v>
          </cell>
          <cell r="M1816" t="str">
            <v>ALL</v>
          </cell>
          <cell r="N1816" t="str">
            <v>FLPC(含奖金)</v>
          </cell>
          <cell r="O1816" t="str">
            <v>USD/小时</v>
          </cell>
          <cell r="P1816">
            <v>17.100000000000001</v>
          </cell>
        </row>
        <row r="1817">
          <cell r="A1817" t="str">
            <v>South Sudan - Local employees - L1</v>
          </cell>
          <cell r="B1817" t="str">
            <v>Current version</v>
          </cell>
          <cell r="C1817" t="str">
            <v>V2009R2</v>
          </cell>
          <cell r="D1817" t="str">
            <v>Labor Rate</v>
          </cell>
          <cell r="E1817" t="str">
            <v>MENA</v>
          </cell>
          <cell r="F1817" t="str">
            <v>Northern Africa Sub-Regional Division</v>
          </cell>
          <cell r="G1817" t="str">
            <v>Sudan Rep.O.</v>
          </cell>
          <cell r="H1817" t="str">
            <v>5016</v>
          </cell>
          <cell r="I1817" t="str">
            <v>南部苏丹</v>
          </cell>
          <cell r="J1817" t="str">
            <v>South Sudan</v>
          </cell>
          <cell r="K1817" t="str">
            <v>Local employees</v>
          </cell>
          <cell r="L1817" t="str">
            <v>L1</v>
          </cell>
          <cell r="M1817" t="str">
            <v>ALL</v>
          </cell>
          <cell r="N1817" t="str">
            <v>FLPC(含奖金)</v>
          </cell>
          <cell r="O1817" t="str">
            <v>USD/小时</v>
          </cell>
          <cell r="P1817">
            <v>19.64</v>
          </cell>
        </row>
        <row r="1818">
          <cell r="A1818" t="str">
            <v>South Sudan - Local employees - L2</v>
          </cell>
          <cell r="B1818" t="str">
            <v>Current version</v>
          </cell>
          <cell r="C1818" t="str">
            <v>V2009R2</v>
          </cell>
          <cell r="D1818" t="str">
            <v>Labor Rate</v>
          </cell>
          <cell r="E1818" t="str">
            <v>MENA</v>
          </cell>
          <cell r="F1818" t="str">
            <v>Northern Africa Sub-Regional Division</v>
          </cell>
          <cell r="G1818" t="str">
            <v>Sudan Rep.O.</v>
          </cell>
          <cell r="H1818" t="str">
            <v>5016</v>
          </cell>
          <cell r="I1818" t="str">
            <v>南部苏丹</v>
          </cell>
          <cell r="J1818" t="str">
            <v>South Sudan</v>
          </cell>
          <cell r="K1818" t="str">
            <v>Local employees</v>
          </cell>
          <cell r="L1818" t="str">
            <v>L2</v>
          </cell>
          <cell r="M1818" t="str">
            <v>ALL</v>
          </cell>
          <cell r="N1818" t="str">
            <v>FLPC(含奖金)</v>
          </cell>
          <cell r="O1818" t="str">
            <v>USD/小时</v>
          </cell>
          <cell r="P1818">
            <v>50.16</v>
          </cell>
        </row>
        <row r="1819">
          <cell r="A1819" t="str">
            <v>South Sudan - Local employees - L3</v>
          </cell>
          <cell r="B1819" t="str">
            <v>Current version</v>
          </cell>
          <cell r="C1819" t="str">
            <v>V2009R2</v>
          </cell>
          <cell r="D1819" t="str">
            <v>Labor Rate</v>
          </cell>
          <cell r="E1819" t="str">
            <v>MENA</v>
          </cell>
          <cell r="F1819" t="str">
            <v>Northern Africa Sub-Regional Division</v>
          </cell>
          <cell r="G1819" t="str">
            <v>Sudan Rep.O.</v>
          </cell>
          <cell r="H1819" t="str">
            <v>5016</v>
          </cell>
          <cell r="I1819" t="str">
            <v>南部苏丹</v>
          </cell>
          <cell r="J1819" t="str">
            <v>South Sudan</v>
          </cell>
          <cell r="K1819" t="str">
            <v>Local employees</v>
          </cell>
          <cell r="L1819" t="str">
            <v>L3</v>
          </cell>
          <cell r="M1819" t="str">
            <v>ALL</v>
          </cell>
          <cell r="N1819" t="str">
            <v>FLPC(含奖金)</v>
          </cell>
          <cell r="O1819" t="str">
            <v>USD/小时</v>
          </cell>
          <cell r="P1819">
            <v>73.05</v>
          </cell>
        </row>
        <row r="1820">
          <cell r="A1820" t="str">
            <v>South Sudan - Local employees - L4</v>
          </cell>
          <cell r="B1820" t="str">
            <v>Current version</v>
          </cell>
          <cell r="C1820" t="str">
            <v>V2009R2</v>
          </cell>
          <cell r="D1820" t="str">
            <v>Labor Rate</v>
          </cell>
          <cell r="E1820" t="str">
            <v>MENA</v>
          </cell>
          <cell r="F1820" t="str">
            <v>Northern Africa Sub-Regional Division</v>
          </cell>
          <cell r="G1820" t="str">
            <v>Sudan Rep.O.</v>
          </cell>
          <cell r="H1820" t="str">
            <v>5016</v>
          </cell>
          <cell r="I1820" t="str">
            <v>南部苏丹</v>
          </cell>
          <cell r="J1820" t="str">
            <v>South Sudan</v>
          </cell>
          <cell r="K1820" t="str">
            <v>Local employees</v>
          </cell>
          <cell r="L1820" t="str">
            <v>L4</v>
          </cell>
          <cell r="M1820" t="str">
            <v>ALL</v>
          </cell>
          <cell r="N1820" t="str">
            <v>FLPC(含奖金)</v>
          </cell>
          <cell r="O1820" t="str">
            <v>USD/小时</v>
          </cell>
          <cell r="P1820">
            <v>88.31</v>
          </cell>
        </row>
        <row r="1821">
          <cell r="A1821" t="str">
            <v>Libya - Local employees - L1</v>
          </cell>
          <cell r="B1821" t="str">
            <v>Current version</v>
          </cell>
          <cell r="C1821" t="str">
            <v>V2009R2</v>
          </cell>
          <cell r="D1821" t="str">
            <v>Labor Rate</v>
          </cell>
          <cell r="E1821" t="str">
            <v>MENA</v>
          </cell>
          <cell r="F1821" t="str">
            <v>Northern Africa Sub-Regional Division</v>
          </cell>
          <cell r="G1821" t="str">
            <v>Libya</v>
          </cell>
          <cell r="H1821" t="str">
            <v>4992</v>
          </cell>
          <cell r="I1821" t="str">
            <v>A10利比亚</v>
          </cell>
          <cell r="J1821" t="str">
            <v>Libya</v>
          </cell>
          <cell r="K1821" t="str">
            <v>Local employees</v>
          </cell>
          <cell r="L1821" t="str">
            <v>L1</v>
          </cell>
          <cell r="M1821" t="str">
            <v>ALL</v>
          </cell>
          <cell r="N1821" t="str">
            <v>FLPC(含奖金)</v>
          </cell>
          <cell r="O1821" t="str">
            <v>USD/小时</v>
          </cell>
          <cell r="P1821">
            <v>21.79</v>
          </cell>
        </row>
        <row r="1822">
          <cell r="A1822" t="str">
            <v>Libya - Local employees - L2</v>
          </cell>
          <cell r="B1822" t="str">
            <v>Current version</v>
          </cell>
          <cell r="C1822" t="str">
            <v>V2009R2</v>
          </cell>
          <cell r="D1822" t="str">
            <v>Labor Rate</v>
          </cell>
          <cell r="E1822" t="str">
            <v>MENA</v>
          </cell>
          <cell r="F1822" t="str">
            <v>Northern Africa Sub-Regional Division</v>
          </cell>
          <cell r="G1822" t="str">
            <v>Libya</v>
          </cell>
          <cell r="H1822" t="str">
            <v>4992</v>
          </cell>
          <cell r="I1822" t="str">
            <v>A10利比亚</v>
          </cell>
          <cell r="J1822" t="str">
            <v>Libya</v>
          </cell>
          <cell r="K1822" t="str">
            <v>Local employees</v>
          </cell>
          <cell r="L1822" t="str">
            <v>L2</v>
          </cell>
          <cell r="M1822" t="str">
            <v>ALL</v>
          </cell>
          <cell r="N1822" t="str">
            <v>FLPC(含奖金)</v>
          </cell>
          <cell r="O1822" t="str">
            <v>USD/小时</v>
          </cell>
          <cell r="P1822">
            <v>26.46</v>
          </cell>
        </row>
        <row r="1823">
          <cell r="A1823" t="str">
            <v>Libya - Local employees - L3</v>
          </cell>
          <cell r="B1823" t="str">
            <v>Current version</v>
          </cell>
          <cell r="C1823" t="str">
            <v>V2009R2</v>
          </cell>
          <cell r="D1823" t="str">
            <v>Labor Rate</v>
          </cell>
          <cell r="E1823" t="str">
            <v>MENA</v>
          </cell>
          <cell r="F1823" t="str">
            <v>Northern Africa Sub-Regional Division</v>
          </cell>
          <cell r="G1823" t="str">
            <v>Libya</v>
          </cell>
          <cell r="H1823" t="str">
            <v>4992</v>
          </cell>
          <cell r="I1823" t="str">
            <v>A10利比亚</v>
          </cell>
          <cell r="J1823" t="str">
            <v>Libya</v>
          </cell>
          <cell r="K1823" t="str">
            <v>Local employees</v>
          </cell>
          <cell r="L1823" t="str">
            <v>L3</v>
          </cell>
          <cell r="M1823" t="str">
            <v>ALL</v>
          </cell>
          <cell r="N1823" t="str">
            <v>FLPC(含奖金)</v>
          </cell>
          <cell r="O1823" t="str">
            <v>USD/小时</v>
          </cell>
          <cell r="P1823">
            <v>32.81</v>
          </cell>
        </row>
        <row r="1824">
          <cell r="A1824" t="str">
            <v>Egypt - Local employees - L0</v>
          </cell>
          <cell r="B1824" t="str">
            <v>Current version</v>
          </cell>
          <cell r="C1824" t="str">
            <v>V2009R2</v>
          </cell>
          <cell r="D1824" t="str">
            <v>Labor Rate</v>
          </cell>
          <cell r="E1824" t="str">
            <v>MENA</v>
          </cell>
          <cell r="F1824" t="str">
            <v>Northern Africa Sub-Regional Division</v>
          </cell>
          <cell r="G1824" t="str">
            <v>Egypt</v>
          </cell>
          <cell r="H1824" t="str">
            <v>4999</v>
          </cell>
          <cell r="I1824" t="str">
            <v>埃及</v>
          </cell>
          <cell r="J1824" t="str">
            <v>Egypt</v>
          </cell>
          <cell r="K1824" t="str">
            <v>Local employees</v>
          </cell>
          <cell r="L1824" t="str">
            <v>L0</v>
          </cell>
          <cell r="M1824" t="str">
            <v>ALL</v>
          </cell>
          <cell r="N1824" t="str">
            <v>FLPC(含奖金)</v>
          </cell>
          <cell r="O1824" t="str">
            <v>USD/小时</v>
          </cell>
          <cell r="P1824">
            <v>11.73</v>
          </cell>
        </row>
        <row r="1825">
          <cell r="A1825" t="str">
            <v>Egypt - Local employees - L1</v>
          </cell>
          <cell r="B1825" t="str">
            <v>Current version</v>
          </cell>
          <cell r="C1825" t="str">
            <v>V2009R2</v>
          </cell>
          <cell r="D1825" t="str">
            <v>Labor Rate</v>
          </cell>
          <cell r="E1825" t="str">
            <v>MENA</v>
          </cell>
          <cell r="F1825" t="str">
            <v>Northern Africa Sub-Regional Division</v>
          </cell>
          <cell r="G1825" t="str">
            <v>Egypt</v>
          </cell>
          <cell r="H1825" t="str">
            <v>4999</v>
          </cell>
          <cell r="I1825" t="str">
            <v>埃及</v>
          </cell>
          <cell r="J1825" t="str">
            <v>Egypt</v>
          </cell>
          <cell r="K1825" t="str">
            <v>Local employees</v>
          </cell>
          <cell r="L1825" t="str">
            <v>L1</v>
          </cell>
          <cell r="M1825" t="str">
            <v>ALL</v>
          </cell>
          <cell r="N1825" t="str">
            <v>FLPC(含奖金)</v>
          </cell>
          <cell r="O1825" t="str">
            <v>USD/小时</v>
          </cell>
          <cell r="P1825">
            <v>15.39</v>
          </cell>
        </row>
        <row r="1826">
          <cell r="A1826" t="str">
            <v>Egypt - Local employees - L2</v>
          </cell>
          <cell r="B1826" t="str">
            <v>Current version</v>
          </cell>
          <cell r="C1826" t="str">
            <v>V2009R2</v>
          </cell>
          <cell r="D1826" t="str">
            <v>Labor Rate</v>
          </cell>
          <cell r="E1826" t="str">
            <v>MENA</v>
          </cell>
          <cell r="F1826" t="str">
            <v>Northern Africa Sub-Regional Division</v>
          </cell>
          <cell r="G1826" t="str">
            <v>Egypt</v>
          </cell>
          <cell r="H1826" t="str">
            <v>4999</v>
          </cell>
          <cell r="I1826" t="str">
            <v>埃及</v>
          </cell>
          <cell r="J1826" t="str">
            <v>Egypt</v>
          </cell>
          <cell r="K1826" t="str">
            <v>Local employees</v>
          </cell>
          <cell r="L1826" t="str">
            <v>L2</v>
          </cell>
          <cell r="M1826" t="str">
            <v>ALL</v>
          </cell>
          <cell r="N1826" t="str">
            <v>FLPC(含奖金)</v>
          </cell>
          <cell r="O1826" t="str">
            <v>USD/小时</v>
          </cell>
          <cell r="P1826">
            <v>23.07</v>
          </cell>
        </row>
        <row r="1827">
          <cell r="A1827" t="str">
            <v>Egypt - Local employees - L3</v>
          </cell>
          <cell r="B1827" t="str">
            <v>Current version</v>
          </cell>
          <cell r="C1827" t="str">
            <v>V2009R2</v>
          </cell>
          <cell r="D1827" t="str">
            <v>Labor Rate</v>
          </cell>
          <cell r="E1827" t="str">
            <v>MENA</v>
          </cell>
          <cell r="F1827" t="str">
            <v>Northern Africa Sub-Regional Division</v>
          </cell>
          <cell r="G1827" t="str">
            <v>Egypt</v>
          </cell>
          <cell r="H1827" t="str">
            <v>4999</v>
          </cell>
          <cell r="I1827" t="str">
            <v>埃及</v>
          </cell>
          <cell r="J1827" t="str">
            <v>Egypt</v>
          </cell>
          <cell r="K1827" t="str">
            <v>Local employees</v>
          </cell>
          <cell r="L1827" t="str">
            <v>L3</v>
          </cell>
          <cell r="M1827" t="str">
            <v>ALL</v>
          </cell>
          <cell r="N1827" t="str">
            <v>FLPC(含奖金)</v>
          </cell>
          <cell r="O1827" t="str">
            <v>USD/小时</v>
          </cell>
          <cell r="P1827">
            <v>36.130000000000003</v>
          </cell>
        </row>
        <row r="1828">
          <cell r="A1828" t="str">
            <v>Egypt - Local employees - L4</v>
          </cell>
          <cell r="B1828" t="str">
            <v>Current version</v>
          </cell>
          <cell r="C1828" t="str">
            <v>V2009R2</v>
          </cell>
          <cell r="D1828" t="str">
            <v>Labor Rate</v>
          </cell>
          <cell r="E1828" t="str">
            <v>MENA</v>
          </cell>
          <cell r="F1828" t="str">
            <v>Northern Africa Sub-Regional Division</v>
          </cell>
          <cell r="G1828" t="str">
            <v>Egypt</v>
          </cell>
          <cell r="H1828" t="str">
            <v>4999</v>
          </cell>
          <cell r="I1828" t="str">
            <v>埃及</v>
          </cell>
          <cell r="J1828" t="str">
            <v>Egypt</v>
          </cell>
          <cell r="K1828" t="str">
            <v>Local employees</v>
          </cell>
          <cell r="L1828" t="str">
            <v>L4</v>
          </cell>
          <cell r="M1828" t="str">
            <v>ALL</v>
          </cell>
          <cell r="N1828" t="str">
            <v>FLPC(含奖金)</v>
          </cell>
          <cell r="O1828" t="str">
            <v>USD/小时</v>
          </cell>
          <cell r="P1828">
            <v>60.89</v>
          </cell>
        </row>
        <row r="1829">
          <cell r="A1829" t="str">
            <v>Bangladesh - Local employees - L0</v>
          </cell>
          <cell r="B1829" t="str">
            <v>Current version</v>
          </cell>
          <cell r="C1829" t="str">
            <v>V2009R2</v>
          </cell>
          <cell r="D1829" t="str">
            <v>Labor Rate</v>
          </cell>
          <cell r="E1829" t="str">
            <v>AP</v>
          </cell>
          <cell r="F1829" t="str">
            <v>Southern Pacific Sub-Regional Division</v>
          </cell>
          <cell r="G1829" t="str">
            <v>孟加拉代表处</v>
          </cell>
          <cell r="H1829" t="str">
            <v>1207</v>
          </cell>
          <cell r="I1829" t="str">
            <v>孟加拉</v>
          </cell>
          <cell r="J1829" t="str">
            <v>Bangladesh</v>
          </cell>
          <cell r="K1829" t="str">
            <v>Local employees</v>
          </cell>
          <cell r="L1829" t="str">
            <v>L0</v>
          </cell>
          <cell r="M1829" t="str">
            <v>ALL</v>
          </cell>
          <cell r="N1829" t="str">
            <v>FLPC(含奖金)</v>
          </cell>
          <cell r="O1829" t="str">
            <v>USD/小时</v>
          </cell>
          <cell r="P1829">
            <v>6.53</v>
          </cell>
        </row>
        <row r="1830">
          <cell r="A1830" t="str">
            <v>Bangladesh - Local employees - L1</v>
          </cell>
          <cell r="B1830" t="str">
            <v>Current version</v>
          </cell>
          <cell r="C1830" t="str">
            <v>V2009R2</v>
          </cell>
          <cell r="D1830" t="str">
            <v>Labor Rate</v>
          </cell>
          <cell r="E1830" t="str">
            <v>AP</v>
          </cell>
          <cell r="F1830" t="str">
            <v>Southern Pacific Sub-Regional Division</v>
          </cell>
          <cell r="G1830" t="str">
            <v>孟加拉代表处</v>
          </cell>
          <cell r="H1830" t="str">
            <v>1207</v>
          </cell>
          <cell r="I1830" t="str">
            <v>孟加拉</v>
          </cell>
          <cell r="J1830" t="str">
            <v>Bangladesh</v>
          </cell>
          <cell r="K1830" t="str">
            <v>Local employees</v>
          </cell>
          <cell r="L1830" t="str">
            <v>L1</v>
          </cell>
          <cell r="M1830" t="str">
            <v>ALL</v>
          </cell>
          <cell r="N1830" t="str">
            <v>FLPC(含奖金)</v>
          </cell>
          <cell r="O1830" t="str">
            <v>USD/小时</v>
          </cell>
          <cell r="P1830">
            <v>12.54</v>
          </cell>
        </row>
        <row r="1831">
          <cell r="A1831" t="str">
            <v>Bangladesh - Local employees - L2</v>
          </cell>
          <cell r="B1831" t="str">
            <v>Current version</v>
          </cell>
          <cell r="C1831" t="str">
            <v>V2009R2</v>
          </cell>
          <cell r="D1831" t="str">
            <v>Labor Rate</v>
          </cell>
          <cell r="E1831" t="str">
            <v>AP</v>
          </cell>
          <cell r="F1831" t="str">
            <v>Southern Pacific Sub-Regional Division</v>
          </cell>
          <cell r="G1831" t="str">
            <v>孟加拉代表处</v>
          </cell>
          <cell r="H1831" t="str">
            <v>1207</v>
          </cell>
          <cell r="I1831" t="str">
            <v>孟加拉</v>
          </cell>
          <cell r="J1831" t="str">
            <v>Bangladesh</v>
          </cell>
          <cell r="K1831" t="str">
            <v>Local employees</v>
          </cell>
          <cell r="L1831" t="str">
            <v>L2</v>
          </cell>
          <cell r="M1831" t="str">
            <v>ALL</v>
          </cell>
          <cell r="N1831" t="str">
            <v>FLPC(含奖金)</v>
          </cell>
          <cell r="O1831" t="str">
            <v>USD/小时</v>
          </cell>
          <cell r="P1831">
            <v>13.61</v>
          </cell>
        </row>
        <row r="1832">
          <cell r="A1832" t="str">
            <v>Bangladesh - Local employees - L3</v>
          </cell>
          <cell r="B1832" t="str">
            <v>Current version</v>
          </cell>
          <cell r="C1832" t="str">
            <v>V2009R2</v>
          </cell>
          <cell r="D1832" t="str">
            <v>Labor Rate</v>
          </cell>
          <cell r="E1832" t="str">
            <v>AP</v>
          </cell>
          <cell r="F1832" t="str">
            <v>Southern Pacific Sub-Regional Division</v>
          </cell>
          <cell r="G1832" t="str">
            <v>孟加拉代表处</v>
          </cell>
          <cell r="H1832" t="str">
            <v>1207</v>
          </cell>
          <cell r="I1832" t="str">
            <v>孟加拉</v>
          </cell>
          <cell r="J1832" t="str">
            <v>Bangladesh</v>
          </cell>
          <cell r="K1832" t="str">
            <v>Local employees</v>
          </cell>
          <cell r="L1832" t="str">
            <v>L3</v>
          </cell>
          <cell r="M1832" t="str">
            <v>ALL</v>
          </cell>
          <cell r="N1832" t="str">
            <v>FLPC(含奖金)</v>
          </cell>
          <cell r="O1832" t="str">
            <v>USD/小时</v>
          </cell>
          <cell r="P1832">
            <v>25.94</v>
          </cell>
        </row>
        <row r="1833">
          <cell r="A1833" t="str">
            <v>Bhutan - Local employees - L0</v>
          </cell>
          <cell r="B1833" t="str">
            <v>Current version</v>
          </cell>
          <cell r="C1833" t="str">
            <v>V2009R2</v>
          </cell>
          <cell r="D1833" t="str">
            <v>Labor Rate</v>
          </cell>
          <cell r="E1833" t="str">
            <v>AP</v>
          </cell>
          <cell r="F1833" t="str">
            <v>Southern Pacific Sub-Regional Division</v>
          </cell>
          <cell r="G1833" t="str">
            <v>孟加拉代表处</v>
          </cell>
          <cell r="H1833" t="str">
            <v>1226</v>
          </cell>
          <cell r="I1833" t="str">
            <v>不丹</v>
          </cell>
          <cell r="J1833" t="str">
            <v>Bhutan</v>
          </cell>
          <cell r="K1833" t="str">
            <v>Local employees</v>
          </cell>
          <cell r="L1833" t="str">
            <v>L0</v>
          </cell>
          <cell r="M1833" t="str">
            <v>ALL</v>
          </cell>
          <cell r="N1833" t="str">
            <v>FLPC(含奖金)</v>
          </cell>
          <cell r="O1833" t="str">
            <v>USD/小时</v>
          </cell>
          <cell r="P1833">
            <v>4.46</v>
          </cell>
        </row>
        <row r="1834">
          <cell r="A1834" t="str">
            <v>Bhutan - Local employees - L1</v>
          </cell>
          <cell r="B1834" t="str">
            <v>Current version</v>
          </cell>
          <cell r="C1834" t="str">
            <v>V2009R2</v>
          </cell>
          <cell r="D1834" t="str">
            <v>Labor Rate</v>
          </cell>
          <cell r="E1834" t="str">
            <v>AP</v>
          </cell>
          <cell r="F1834" t="str">
            <v>Southern Pacific Sub-Regional Division</v>
          </cell>
          <cell r="G1834" t="str">
            <v>孟加拉代表处</v>
          </cell>
          <cell r="H1834" t="str">
            <v>1226</v>
          </cell>
          <cell r="I1834" t="str">
            <v>不丹</v>
          </cell>
          <cell r="J1834" t="str">
            <v>Bhutan</v>
          </cell>
          <cell r="K1834" t="str">
            <v>Local employees</v>
          </cell>
          <cell r="L1834" t="str">
            <v>L1</v>
          </cell>
          <cell r="M1834" t="str">
            <v>ALL</v>
          </cell>
          <cell r="N1834" t="str">
            <v>FLPC(含奖金)</v>
          </cell>
          <cell r="O1834" t="str">
            <v>USD/小时</v>
          </cell>
          <cell r="P1834">
            <v>7.61</v>
          </cell>
        </row>
        <row r="1835">
          <cell r="A1835" t="str">
            <v>Singapore - Local employees - L1</v>
          </cell>
          <cell r="B1835" t="str">
            <v>Current version</v>
          </cell>
          <cell r="C1835" t="str">
            <v>V2009R2</v>
          </cell>
          <cell r="D1835" t="str">
            <v>Labor Rate</v>
          </cell>
          <cell r="E1835" t="str">
            <v>AP</v>
          </cell>
          <cell r="F1835" t="str">
            <v>Southern Pacific Sub-Regional Division</v>
          </cell>
          <cell r="G1835" t="str">
            <v>Singapore</v>
          </cell>
          <cell r="H1835" t="str">
            <v>1210</v>
          </cell>
          <cell r="I1835" t="str">
            <v>新加坡</v>
          </cell>
          <cell r="J1835" t="str">
            <v>Singapore</v>
          </cell>
          <cell r="K1835" t="str">
            <v>Local employees</v>
          </cell>
          <cell r="L1835" t="str">
            <v>L1</v>
          </cell>
          <cell r="M1835" t="str">
            <v>ALL</v>
          </cell>
          <cell r="N1835" t="str">
            <v>FLPC(含奖金)</v>
          </cell>
          <cell r="O1835" t="str">
            <v>USD/小时</v>
          </cell>
          <cell r="P1835">
            <v>24.98</v>
          </cell>
        </row>
        <row r="1836">
          <cell r="A1836" t="str">
            <v>Singapore - Local employees - L2</v>
          </cell>
          <cell r="B1836" t="str">
            <v>Current version</v>
          </cell>
          <cell r="C1836" t="str">
            <v>V2009R2</v>
          </cell>
          <cell r="D1836" t="str">
            <v>Labor Rate</v>
          </cell>
          <cell r="E1836" t="str">
            <v>AP</v>
          </cell>
          <cell r="F1836" t="str">
            <v>Southern Pacific Sub-Regional Division</v>
          </cell>
          <cell r="G1836" t="str">
            <v>Singapore</v>
          </cell>
          <cell r="H1836" t="str">
            <v>1210</v>
          </cell>
          <cell r="I1836" t="str">
            <v>新加坡</v>
          </cell>
          <cell r="J1836" t="str">
            <v>Singapore</v>
          </cell>
          <cell r="K1836" t="str">
            <v>Local employees</v>
          </cell>
          <cell r="L1836" t="str">
            <v>L2</v>
          </cell>
          <cell r="M1836" t="str">
            <v>ALL</v>
          </cell>
          <cell r="N1836" t="str">
            <v>FLPC(含奖金)</v>
          </cell>
          <cell r="O1836" t="str">
            <v>USD/小时</v>
          </cell>
          <cell r="P1836">
            <v>33.39</v>
          </cell>
        </row>
        <row r="1837">
          <cell r="A1837" t="str">
            <v>Malaysia - Local employees - L0</v>
          </cell>
          <cell r="B1837" t="str">
            <v>Current version</v>
          </cell>
          <cell r="C1837" t="str">
            <v>V2009R2</v>
          </cell>
          <cell r="D1837" t="str">
            <v>Labor Rate</v>
          </cell>
          <cell r="E1837" t="str">
            <v>AP</v>
          </cell>
          <cell r="F1837" t="str">
            <v>Southern Pacific Sub-Regional Division</v>
          </cell>
          <cell r="G1837" t="str">
            <v>Malaysia Rep.O.</v>
          </cell>
          <cell r="H1837" t="str">
            <v>1201</v>
          </cell>
          <cell r="I1837" t="str">
            <v>马来西亚</v>
          </cell>
          <cell r="J1837" t="str">
            <v>Malaysia</v>
          </cell>
          <cell r="K1837" t="str">
            <v>Local employees</v>
          </cell>
          <cell r="L1837" t="str">
            <v>L0</v>
          </cell>
          <cell r="M1837" t="str">
            <v>ALL</v>
          </cell>
          <cell r="N1837" t="str">
            <v>FLPC(含奖金)</v>
          </cell>
          <cell r="O1837" t="str">
            <v>USD/小时</v>
          </cell>
          <cell r="P1837">
            <v>12.64</v>
          </cell>
        </row>
        <row r="1838">
          <cell r="A1838" t="str">
            <v>Malaysia - Local employees - L1</v>
          </cell>
          <cell r="B1838" t="str">
            <v>Current version</v>
          </cell>
          <cell r="C1838" t="str">
            <v>V2009R2</v>
          </cell>
          <cell r="D1838" t="str">
            <v>Labor Rate</v>
          </cell>
          <cell r="E1838" t="str">
            <v>AP</v>
          </cell>
          <cell r="F1838" t="str">
            <v>Southern Pacific Sub-Regional Division</v>
          </cell>
          <cell r="G1838" t="str">
            <v>Malaysia Rep.O.</v>
          </cell>
          <cell r="H1838" t="str">
            <v>1201</v>
          </cell>
          <cell r="I1838" t="str">
            <v>马来西亚</v>
          </cell>
          <cell r="J1838" t="str">
            <v>Malaysia</v>
          </cell>
          <cell r="K1838" t="str">
            <v>Local employees</v>
          </cell>
          <cell r="L1838" t="str">
            <v>L1</v>
          </cell>
          <cell r="M1838" t="str">
            <v>ALL</v>
          </cell>
          <cell r="N1838" t="str">
            <v>FLPC(含奖金)</v>
          </cell>
          <cell r="O1838" t="str">
            <v>USD/小时</v>
          </cell>
          <cell r="P1838">
            <v>17.079999999999998</v>
          </cell>
        </row>
        <row r="1839">
          <cell r="A1839" t="str">
            <v>Malaysia - Local employees - L2</v>
          </cell>
          <cell r="B1839" t="str">
            <v>Current version</v>
          </cell>
          <cell r="C1839" t="str">
            <v>V2009R2</v>
          </cell>
          <cell r="D1839" t="str">
            <v>Labor Rate</v>
          </cell>
          <cell r="E1839" t="str">
            <v>AP</v>
          </cell>
          <cell r="F1839" t="str">
            <v>Southern Pacific Sub-Regional Division</v>
          </cell>
          <cell r="G1839" t="str">
            <v>Malaysia Rep.O.</v>
          </cell>
          <cell r="H1839" t="str">
            <v>1201</v>
          </cell>
          <cell r="I1839" t="str">
            <v>马来西亚</v>
          </cell>
          <cell r="J1839" t="str">
            <v>Malaysia</v>
          </cell>
          <cell r="K1839" t="str">
            <v>Local employees</v>
          </cell>
          <cell r="L1839" t="str">
            <v>L2</v>
          </cell>
          <cell r="M1839" t="str">
            <v>ALL</v>
          </cell>
          <cell r="N1839" t="str">
            <v>FLPC(含奖金)</v>
          </cell>
          <cell r="O1839" t="str">
            <v>USD/小时</v>
          </cell>
          <cell r="P1839">
            <v>23.45</v>
          </cell>
        </row>
        <row r="1840">
          <cell r="A1840" t="str">
            <v>Malaysia - Local employees - L3</v>
          </cell>
          <cell r="B1840" t="str">
            <v>Current version</v>
          </cell>
          <cell r="C1840" t="str">
            <v>V2009R2</v>
          </cell>
          <cell r="D1840" t="str">
            <v>Labor Rate</v>
          </cell>
          <cell r="E1840" t="str">
            <v>AP</v>
          </cell>
          <cell r="F1840" t="str">
            <v>Southern Pacific Sub-Regional Division</v>
          </cell>
          <cell r="G1840" t="str">
            <v>Malaysia Rep.O.</v>
          </cell>
          <cell r="H1840" t="str">
            <v>1201</v>
          </cell>
          <cell r="I1840" t="str">
            <v>马来西亚</v>
          </cell>
          <cell r="J1840" t="str">
            <v>Malaysia</v>
          </cell>
          <cell r="K1840" t="str">
            <v>Local employees</v>
          </cell>
          <cell r="L1840" t="str">
            <v>L3</v>
          </cell>
          <cell r="M1840" t="str">
            <v>ALL</v>
          </cell>
          <cell r="N1840" t="str">
            <v>FLPC(含奖金)</v>
          </cell>
          <cell r="O1840" t="str">
            <v>USD/小时</v>
          </cell>
          <cell r="P1840">
            <v>35.369999999999997</v>
          </cell>
        </row>
        <row r="1841">
          <cell r="A1841" t="str">
            <v>Malaysia - Local employees - L4</v>
          </cell>
          <cell r="B1841" t="str">
            <v>Current version</v>
          </cell>
          <cell r="C1841" t="str">
            <v>V2009R2</v>
          </cell>
          <cell r="D1841" t="str">
            <v>Labor Rate</v>
          </cell>
          <cell r="E1841" t="str">
            <v>AP</v>
          </cell>
          <cell r="F1841" t="str">
            <v>Southern Pacific Sub-Regional Division</v>
          </cell>
          <cell r="G1841" t="str">
            <v>Malaysia Rep.O.</v>
          </cell>
          <cell r="H1841" t="str">
            <v>1201</v>
          </cell>
          <cell r="I1841" t="str">
            <v>马来西亚</v>
          </cell>
          <cell r="J1841" t="str">
            <v>Malaysia</v>
          </cell>
          <cell r="K1841" t="str">
            <v>Local employees</v>
          </cell>
          <cell r="L1841" t="str">
            <v>L4</v>
          </cell>
          <cell r="M1841" t="str">
            <v>ALL</v>
          </cell>
          <cell r="N1841" t="str">
            <v>FLPC(含奖金)</v>
          </cell>
          <cell r="O1841" t="str">
            <v>USD/小时</v>
          </cell>
          <cell r="P1841">
            <v>63.54</v>
          </cell>
        </row>
        <row r="1842">
          <cell r="A1842" t="str">
            <v>Brunei - Local employees - L1</v>
          </cell>
          <cell r="B1842" t="str">
            <v>Current version</v>
          </cell>
          <cell r="C1842" t="str">
            <v>V2009R2</v>
          </cell>
          <cell r="D1842" t="str">
            <v>Labor Rate</v>
          </cell>
          <cell r="E1842" t="str">
            <v>AP</v>
          </cell>
          <cell r="F1842" t="str">
            <v>Southern Pacific Sub-Regional Division</v>
          </cell>
          <cell r="G1842" t="str">
            <v>Malaysia Rep.O.</v>
          </cell>
          <cell r="H1842" t="str">
            <v>1204</v>
          </cell>
          <cell r="I1842" t="str">
            <v>文莱</v>
          </cell>
          <cell r="J1842" t="str">
            <v>Brunei</v>
          </cell>
          <cell r="K1842" t="str">
            <v>Local employees</v>
          </cell>
          <cell r="L1842" t="str">
            <v>L1</v>
          </cell>
          <cell r="M1842" t="str">
            <v>ALL</v>
          </cell>
          <cell r="N1842" t="str">
            <v>FLPC(含奖金)</v>
          </cell>
          <cell r="O1842" t="str">
            <v>USD/小时</v>
          </cell>
          <cell r="P1842">
            <v>23.19</v>
          </cell>
        </row>
        <row r="1843">
          <cell r="A1843" t="str">
            <v>Brunei - Local employees - L2</v>
          </cell>
          <cell r="B1843" t="str">
            <v>Current version</v>
          </cell>
          <cell r="C1843" t="str">
            <v>V2009R2</v>
          </cell>
          <cell r="D1843" t="str">
            <v>Labor Rate</v>
          </cell>
          <cell r="E1843" t="str">
            <v>AP</v>
          </cell>
          <cell r="F1843" t="str">
            <v>Southern Pacific Sub-Regional Division</v>
          </cell>
          <cell r="G1843" t="str">
            <v>Malaysia Rep.O.</v>
          </cell>
          <cell r="H1843" t="str">
            <v>1204</v>
          </cell>
          <cell r="I1843" t="str">
            <v>文莱</v>
          </cell>
          <cell r="J1843" t="str">
            <v>Brunei</v>
          </cell>
          <cell r="K1843" t="str">
            <v>Local employees</v>
          </cell>
          <cell r="L1843" t="str">
            <v>L2</v>
          </cell>
          <cell r="M1843" t="str">
            <v>ALL</v>
          </cell>
          <cell r="N1843" t="str">
            <v>FLPC(含奖金)</v>
          </cell>
          <cell r="O1843" t="str">
            <v>USD/小时</v>
          </cell>
          <cell r="P1843">
            <v>29.66</v>
          </cell>
        </row>
        <row r="1844">
          <cell r="A1844" t="str">
            <v>Indonesia - Local employees - L0</v>
          </cell>
          <cell r="B1844" t="str">
            <v>Current version</v>
          </cell>
          <cell r="C1844" t="str">
            <v>V2009R2</v>
          </cell>
          <cell r="D1844" t="str">
            <v>Labor Rate</v>
          </cell>
          <cell r="E1844" t="str">
            <v>AP</v>
          </cell>
          <cell r="F1844" t="str">
            <v>Southern Pacific Sub-Regional Division</v>
          </cell>
          <cell r="G1844" t="str">
            <v>Indonesia</v>
          </cell>
          <cell r="H1844" t="str">
            <v>1213</v>
          </cell>
          <cell r="I1844" t="str">
            <v>印度尼西亚</v>
          </cell>
          <cell r="J1844" t="str">
            <v>Indonesia</v>
          </cell>
          <cell r="K1844" t="str">
            <v>Local employees</v>
          </cell>
          <cell r="L1844" t="str">
            <v>L0</v>
          </cell>
          <cell r="M1844" t="str">
            <v>ALL</v>
          </cell>
          <cell r="N1844" t="str">
            <v>FLPC(含奖金)</v>
          </cell>
          <cell r="O1844" t="str">
            <v>USD/小时</v>
          </cell>
          <cell r="P1844">
            <v>11.55</v>
          </cell>
        </row>
        <row r="1845">
          <cell r="A1845" t="str">
            <v>Indonesia - Local employees - L1</v>
          </cell>
          <cell r="B1845" t="str">
            <v>Current version</v>
          </cell>
          <cell r="C1845" t="str">
            <v>V2009R2</v>
          </cell>
          <cell r="D1845" t="str">
            <v>Labor Rate</v>
          </cell>
          <cell r="E1845" t="str">
            <v>AP</v>
          </cell>
          <cell r="F1845" t="str">
            <v>Southern Pacific Sub-Regional Division</v>
          </cell>
          <cell r="G1845" t="str">
            <v>Indonesia</v>
          </cell>
          <cell r="H1845" t="str">
            <v>1213</v>
          </cell>
          <cell r="I1845" t="str">
            <v>印度尼西亚</v>
          </cell>
          <cell r="J1845" t="str">
            <v>Indonesia</v>
          </cell>
          <cell r="K1845" t="str">
            <v>Local employees</v>
          </cell>
          <cell r="L1845" t="str">
            <v>L1</v>
          </cell>
          <cell r="M1845" t="str">
            <v>ALL</v>
          </cell>
          <cell r="N1845" t="str">
            <v>FLPC(含奖金)</v>
          </cell>
          <cell r="O1845" t="str">
            <v>USD/小时</v>
          </cell>
          <cell r="P1845">
            <v>16.79</v>
          </cell>
        </row>
        <row r="1846">
          <cell r="A1846" t="str">
            <v>Indonesia - Local employees - L2</v>
          </cell>
          <cell r="B1846" t="str">
            <v>Current version</v>
          </cell>
          <cell r="C1846" t="str">
            <v>V2009R2</v>
          </cell>
          <cell r="D1846" t="str">
            <v>Labor Rate</v>
          </cell>
          <cell r="E1846" t="str">
            <v>AP</v>
          </cell>
          <cell r="F1846" t="str">
            <v>Southern Pacific Sub-Regional Division</v>
          </cell>
          <cell r="G1846" t="str">
            <v>Indonesia</v>
          </cell>
          <cell r="H1846" t="str">
            <v>1213</v>
          </cell>
          <cell r="I1846" t="str">
            <v>印度尼西亚</v>
          </cell>
          <cell r="J1846" t="str">
            <v>Indonesia</v>
          </cell>
          <cell r="K1846" t="str">
            <v>Local employees</v>
          </cell>
          <cell r="L1846" t="str">
            <v>L2</v>
          </cell>
          <cell r="M1846" t="str">
            <v>ALL</v>
          </cell>
          <cell r="N1846" t="str">
            <v>FLPC(含奖金)</v>
          </cell>
          <cell r="O1846" t="str">
            <v>USD/小时</v>
          </cell>
          <cell r="P1846">
            <v>26.15</v>
          </cell>
        </row>
        <row r="1847">
          <cell r="A1847" t="str">
            <v>Indonesia - Local employees - L3</v>
          </cell>
          <cell r="B1847" t="str">
            <v>Current version</v>
          </cell>
          <cell r="C1847" t="str">
            <v>V2009R2</v>
          </cell>
          <cell r="D1847" t="str">
            <v>Labor Rate</v>
          </cell>
          <cell r="E1847" t="str">
            <v>AP</v>
          </cell>
          <cell r="F1847" t="str">
            <v>Southern Pacific Sub-Regional Division</v>
          </cell>
          <cell r="G1847" t="str">
            <v>Indonesia</v>
          </cell>
          <cell r="H1847" t="str">
            <v>1213</v>
          </cell>
          <cell r="I1847" t="str">
            <v>印度尼西亚</v>
          </cell>
          <cell r="J1847" t="str">
            <v>Indonesia</v>
          </cell>
          <cell r="K1847" t="str">
            <v>Local employees</v>
          </cell>
          <cell r="L1847" t="str">
            <v>L3</v>
          </cell>
          <cell r="M1847" t="str">
            <v>ALL</v>
          </cell>
          <cell r="N1847" t="str">
            <v>FLPC(含奖金)</v>
          </cell>
          <cell r="O1847" t="str">
            <v>USD/小时</v>
          </cell>
          <cell r="P1847">
            <v>57.62</v>
          </cell>
        </row>
        <row r="1848">
          <cell r="A1848" t="str">
            <v>Australia - Local employees - L1</v>
          </cell>
          <cell r="B1848" t="str">
            <v>Current version</v>
          </cell>
          <cell r="C1848" t="str">
            <v>V2009R2</v>
          </cell>
          <cell r="D1848" t="str">
            <v>Labor Rate</v>
          </cell>
          <cell r="E1848" t="str">
            <v>AP</v>
          </cell>
          <cell r="F1848" t="str">
            <v>Southern Pacific Sub-Regional Division</v>
          </cell>
          <cell r="G1848" t="str">
            <v>Australia Rep.O.</v>
          </cell>
          <cell r="H1848" t="str">
            <v>1105</v>
          </cell>
          <cell r="I1848" t="str">
            <v>澳大利亚</v>
          </cell>
          <cell r="J1848" t="str">
            <v>Australia</v>
          </cell>
          <cell r="K1848" t="str">
            <v>Local employees</v>
          </cell>
          <cell r="L1848" t="str">
            <v>L1</v>
          </cell>
          <cell r="M1848" t="str">
            <v>ALL</v>
          </cell>
          <cell r="N1848" t="str">
            <v>FLPC(含奖金)</v>
          </cell>
          <cell r="O1848" t="str">
            <v>USD/小时</v>
          </cell>
          <cell r="P1848">
            <v>63.62</v>
          </cell>
        </row>
        <row r="1849">
          <cell r="A1849" t="str">
            <v>Australia - Local employees - L2</v>
          </cell>
          <cell r="B1849" t="str">
            <v>Current version</v>
          </cell>
          <cell r="C1849" t="str">
            <v>V2009R2</v>
          </cell>
          <cell r="D1849" t="str">
            <v>Labor Rate</v>
          </cell>
          <cell r="E1849" t="str">
            <v>AP</v>
          </cell>
          <cell r="F1849" t="str">
            <v>Southern Pacific Sub-Regional Division</v>
          </cell>
          <cell r="G1849" t="str">
            <v>Australia Rep.O.</v>
          </cell>
          <cell r="H1849" t="str">
            <v>1105</v>
          </cell>
          <cell r="I1849" t="str">
            <v>澳大利亚</v>
          </cell>
          <cell r="J1849" t="str">
            <v>Australia</v>
          </cell>
          <cell r="K1849" t="str">
            <v>Local employees</v>
          </cell>
          <cell r="L1849" t="str">
            <v>L2</v>
          </cell>
          <cell r="M1849" t="str">
            <v>ALL</v>
          </cell>
          <cell r="N1849" t="str">
            <v>FLPC(含奖金)</v>
          </cell>
          <cell r="O1849" t="str">
            <v>USD/小时</v>
          </cell>
          <cell r="P1849">
            <v>90.1</v>
          </cell>
        </row>
        <row r="1850">
          <cell r="A1850" t="str">
            <v>Australia - Local employees - L3</v>
          </cell>
          <cell r="B1850" t="str">
            <v>Current version</v>
          </cell>
          <cell r="C1850" t="str">
            <v>V2009R2</v>
          </cell>
          <cell r="D1850" t="str">
            <v>Labor Rate</v>
          </cell>
          <cell r="E1850" t="str">
            <v>AP</v>
          </cell>
          <cell r="F1850" t="str">
            <v>Southern Pacific Sub-Regional Division</v>
          </cell>
          <cell r="G1850" t="str">
            <v>Australia Rep.O.</v>
          </cell>
          <cell r="H1850" t="str">
            <v>1105</v>
          </cell>
          <cell r="I1850" t="str">
            <v>澳大利亚</v>
          </cell>
          <cell r="J1850" t="str">
            <v>Australia</v>
          </cell>
          <cell r="K1850" t="str">
            <v>Local employees</v>
          </cell>
          <cell r="L1850" t="str">
            <v>L3</v>
          </cell>
          <cell r="M1850" t="str">
            <v>ALL</v>
          </cell>
          <cell r="N1850" t="str">
            <v>FLPC(含奖金)</v>
          </cell>
          <cell r="O1850" t="str">
            <v>USD/小时</v>
          </cell>
          <cell r="P1850">
            <v>146.30000000000001</v>
          </cell>
        </row>
        <row r="1851">
          <cell r="A1851" t="str">
            <v>Australia - Local employees - L4</v>
          </cell>
          <cell r="B1851" t="str">
            <v>Current version</v>
          </cell>
          <cell r="C1851" t="str">
            <v>V2009R2</v>
          </cell>
          <cell r="D1851" t="str">
            <v>Labor Rate</v>
          </cell>
          <cell r="E1851" t="str">
            <v>AP</v>
          </cell>
          <cell r="F1851" t="str">
            <v>Southern Pacific Sub-Regional Division</v>
          </cell>
          <cell r="G1851" t="str">
            <v>Australia Rep.O.</v>
          </cell>
          <cell r="H1851" t="str">
            <v>1105</v>
          </cell>
          <cell r="I1851" t="str">
            <v>澳大利亚</v>
          </cell>
          <cell r="J1851" t="str">
            <v>Australia</v>
          </cell>
          <cell r="K1851" t="str">
            <v>Local employees</v>
          </cell>
          <cell r="L1851" t="str">
            <v>L4</v>
          </cell>
          <cell r="M1851" t="str">
            <v>ALL</v>
          </cell>
          <cell r="N1851" t="str">
            <v>FLPC(含奖金)</v>
          </cell>
          <cell r="O1851" t="str">
            <v>USD/小时</v>
          </cell>
          <cell r="P1851">
            <v>255.95</v>
          </cell>
        </row>
        <row r="1852">
          <cell r="A1852" t="str">
            <v>Papua New Guinea - Local employees - L1</v>
          </cell>
          <cell r="B1852" t="str">
            <v>Current version</v>
          </cell>
          <cell r="C1852" t="str">
            <v>V2009R2</v>
          </cell>
          <cell r="D1852" t="str">
            <v>Labor Rate</v>
          </cell>
          <cell r="E1852" t="str">
            <v>AP</v>
          </cell>
          <cell r="F1852" t="str">
            <v>Southern Pacific Sub-Regional Division</v>
          </cell>
          <cell r="G1852" t="str">
            <v>Australia Rep.O.</v>
          </cell>
          <cell r="H1852" t="str">
            <v>1107</v>
          </cell>
          <cell r="I1852" t="str">
            <v>巴布亚新几内亚</v>
          </cell>
          <cell r="J1852" t="str">
            <v>Papua New Guinea</v>
          </cell>
          <cell r="K1852" t="str">
            <v>Local employees</v>
          </cell>
          <cell r="L1852" t="str">
            <v>L1</v>
          </cell>
          <cell r="M1852" t="str">
            <v>ALL</v>
          </cell>
          <cell r="N1852" t="str">
            <v>FLPC(含奖金)</v>
          </cell>
          <cell r="O1852" t="str">
            <v>USD/小时</v>
          </cell>
          <cell r="P1852">
            <v>63.62</v>
          </cell>
        </row>
        <row r="1853">
          <cell r="A1853" t="str">
            <v>Papua New Guinea - Local employees - L2</v>
          </cell>
          <cell r="B1853" t="str">
            <v>Current version</v>
          </cell>
          <cell r="C1853" t="str">
            <v>V2009R2</v>
          </cell>
          <cell r="D1853" t="str">
            <v>Labor Rate</v>
          </cell>
          <cell r="E1853" t="str">
            <v>AP</v>
          </cell>
          <cell r="F1853" t="str">
            <v>Southern Pacific Sub-Regional Division</v>
          </cell>
          <cell r="G1853" t="str">
            <v>Australia Rep.O.</v>
          </cell>
          <cell r="H1853" t="str">
            <v>1107</v>
          </cell>
          <cell r="I1853" t="str">
            <v>巴布亚新几内亚</v>
          </cell>
          <cell r="J1853" t="str">
            <v>Papua New Guinea</v>
          </cell>
          <cell r="K1853" t="str">
            <v>Local employees</v>
          </cell>
          <cell r="L1853" t="str">
            <v>L2</v>
          </cell>
          <cell r="M1853" t="str">
            <v>ALL</v>
          </cell>
          <cell r="N1853" t="str">
            <v>FLPC(含奖金)</v>
          </cell>
          <cell r="O1853" t="str">
            <v>USD/小时</v>
          </cell>
          <cell r="P1853">
            <v>90.1</v>
          </cell>
        </row>
        <row r="1854">
          <cell r="A1854" t="str">
            <v>Papua New Guinea - Local employees - L3</v>
          </cell>
          <cell r="B1854" t="str">
            <v>Current version</v>
          </cell>
          <cell r="C1854" t="str">
            <v>V2009R2</v>
          </cell>
          <cell r="D1854" t="str">
            <v>Labor Rate</v>
          </cell>
          <cell r="E1854" t="str">
            <v>AP</v>
          </cell>
          <cell r="F1854" t="str">
            <v>Southern Pacific Sub-Regional Division</v>
          </cell>
          <cell r="G1854" t="str">
            <v>Australia Rep.O.</v>
          </cell>
          <cell r="H1854" t="str">
            <v>1107</v>
          </cell>
          <cell r="I1854" t="str">
            <v>巴布亚新几内亚</v>
          </cell>
          <cell r="J1854" t="str">
            <v>Papua New Guinea</v>
          </cell>
          <cell r="K1854" t="str">
            <v>Local employees</v>
          </cell>
          <cell r="L1854" t="str">
            <v>L3</v>
          </cell>
          <cell r="M1854" t="str">
            <v>ALL</v>
          </cell>
          <cell r="N1854" t="str">
            <v>FLPC(含奖金)</v>
          </cell>
          <cell r="O1854" t="str">
            <v>USD/小时</v>
          </cell>
          <cell r="P1854">
            <v>146.30000000000001</v>
          </cell>
        </row>
        <row r="1855">
          <cell r="A1855" t="str">
            <v>Papua New Guinea - Local employees - L4</v>
          </cell>
          <cell r="B1855" t="str">
            <v>Current version</v>
          </cell>
          <cell r="C1855" t="str">
            <v>V2009R2</v>
          </cell>
          <cell r="D1855" t="str">
            <v>Labor Rate</v>
          </cell>
          <cell r="E1855" t="str">
            <v>AP</v>
          </cell>
          <cell r="F1855" t="str">
            <v>Southern Pacific Sub-Regional Division</v>
          </cell>
          <cell r="G1855" t="str">
            <v>Australia Rep.O.</v>
          </cell>
          <cell r="H1855" t="str">
            <v>1107</v>
          </cell>
          <cell r="I1855" t="str">
            <v>巴布亚新几内亚</v>
          </cell>
          <cell r="J1855" t="str">
            <v>Papua New Guinea</v>
          </cell>
          <cell r="K1855" t="str">
            <v>Local employees</v>
          </cell>
          <cell r="L1855" t="str">
            <v>L4</v>
          </cell>
          <cell r="M1855" t="str">
            <v>ALL</v>
          </cell>
          <cell r="N1855" t="str">
            <v>FLPC(含奖金)</v>
          </cell>
          <cell r="O1855" t="str">
            <v>USD/小时</v>
          </cell>
          <cell r="P1855">
            <v>255.95</v>
          </cell>
        </row>
        <row r="1856">
          <cell r="A1856" t="str">
            <v>Tajikistan - Local employees - L2</v>
          </cell>
          <cell r="B1856" t="str">
            <v>Current version</v>
          </cell>
          <cell r="C1856" t="str">
            <v>V2009R2</v>
          </cell>
          <cell r="D1856" t="str">
            <v>Labor Rate</v>
          </cell>
          <cell r="E1856" t="str">
            <v>CIS</v>
          </cell>
          <cell r="F1856" t="str">
            <v>Central Asia Sub-Regional Division</v>
          </cell>
          <cell r="G1856" t="str">
            <v>Uzbek Rep.O.</v>
          </cell>
          <cell r="H1856" t="str">
            <v>3003</v>
          </cell>
          <cell r="I1856" t="str">
            <v>塔吉克斯坦</v>
          </cell>
          <cell r="J1856" t="str">
            <v>Tajikistan</v>
          </cell>
          <cell r="K1856" t="str">
            <v>Local employees</v>
          </cell>
          <cell r="L1856" t="str">
            <v>L2</v>
          </cell>
          <cell r="M1856" t="str">
            <v>ALL</v>
          </cell>
          <cell r="N1856" t="str">
            <v>FLPC(含奖金)</v>
          </cell>
          <cell r="O1856" t="str">
            <v>USD/小时</v>
          </cell>
          <cell r="P1856">
            <v>14.05</v>
          </cell>
        </row>
        <row r="1857">
          <cell r="A1857" t="str">
            <v>Tajikistan - Local employees - L3</v>
          </cell>
          <cell r="B1857" t="str">
            <v>Current version</v>
          </cell>
          <cell r="C1857" t="str">
            <v>V2009R2</v>
          </cell>
          <cell r="D1857" t="str">
            <v>Labor Rate</v>
          </cell>
          <cell r="E1857" t="str">
            <v>CIS</v>
          </cell>
          <cell r="F1857" t="str">
            <v>Central Asia Sub-Regional Division</v>
          </cell>
          <cell r="G1857" t="str">
            <v>Uzbek Rep.O.</v>
          </cell>
          <cell r="H1857" t="str">
            <v>3003</v>
          </cell>
          <cell r="I1857" t="str">
            <v>塔吉克斯坦</v>
          </cell>
          <cell r="J1857" t="str">
            <v>Tajikistan</v>
          </cell>
          <cell r="K1857" t="str">
            <v>Local employees</v>
          </cell>
          <cell r="L1857" t="str">
            <v>L3</v>
          </cell>
          <cell r="M1857" t="str">
            <v>ALL</v>
          </cell>
          <cell r="N1857" t="str">
            <v>FLPC(含奖金)</v>
          </cell>
          <cell r="O1857" t="str">
            <v>USD/小时</v>
          </cell>
          <cell r="P1857">
            <v>16.690000000000001</v>
          </cell>
        </row>
        <row r="1858">
          <cell r="A1858" t="str">
            <v>Turkmenistan - Local employees - L0</v>
          </cell>
          <cell r="B1858" t="str">
            <v>Current version</v>
          </cell>
          <cell r="C1858" t="str">
            <v>V2009R2</v>
          </cell>
          <cell r="D1858" t="str">
            <v>Labor Rate</v>
          </cell>
          <cell r="E1858" t="str">
            <v>CIS</v>
          </cell>
          <cell r="F1858" t="str">
            <v>Central Asia Sub-Regional Division</v>
          </cell>
          <cell r="G1858" t="str">
            <v>Uzbek Rep.O.</v>
          </cell>
          <cell r="H1858" t="str">
            <v>3008</v>
          </cell>
          <cell r="I1858" t="str">
            <v>土库曼斯坦</v>
          </cell>
          <cell r="J1858" t="str">
            <v>Turkmenistan</v>
          </cell>
          <cell r="K1858" t="str">
            <v>Local employees</v>
          </cell>
          <cell r="L1858" t="str">
            <v>L0</v>
          </cell>
          <cell r="M1858" t="str">
            <v>ALL</v>
          </cell>
          <cell r="N1858" t="str">
            <v>FLPC(含奖金)</v>
          </cell>
          <cell r="O1858" t="str">
            <v>USD/小时</v>
          </cell>
          <cell r="P1858">
            <v>10.55</v>
          </cell>
        </row>
        <row r="1859">
          <cell r="A1859" t="str">
            <v>Turkmenistan - Local employees - L1</v>
          </cell>
          <cell r="B1859" t="str">
            <v>Current version</v>
          </cell>
          <cell r="C1859" t="str">
            <v>V2009R2</v>
          </cell>
          <cell r="D1859" t="str">
            <v>Labor Rate</v>
          </cell>
          <cell r="E1859" t="str">
            <v>CIS</v>
          </cell>
          <cell r="F1859" t="str">
            <v>Central Asia Sub-Regional Division</v>
          </cell>
          <cell r="G1859" t="str">
            <v>Uzbek Rep.O.</v>
          </cell>
          <cell r="H1859" t="str">
            <v>3008</v>
          </cell>
          <cell r="I1859" t="str">
            <v>土库曼斯坦</v>
          </cell>
          <cell r="J1859" t="str">
            <v>Turkmenistan</v>
          </cell>
          <cell r="K1859" t="str">
            <v>Local employees</v>
          </cell>
          <cell r="L1859" t="str">
            <v>L1</v>
          </cell>
          <cell r="M1859" t="str">
            <v>ALL</v>
          </cell>
          <cell r="N1859" t="str">
            <v>FLPC(含奖金)</v>
          </cell>
          <cell r="O1859" t="str">
            <v>USD/小时</v>
          </cell>
          <cell r="P1859">
            <v>12.5</v>
          </cell>
        </row>
        <row r="1860">
          <cell r="A1860" t="str">
            <v>Turkmenistan - Local employees - L2</v>
          </cell>
          <cell r="B1860" t="str">
            <v>Current version</v>
          </cell>
          <cell r="C1860" t="str">
            <v>V2009R2</v>
          </cell>
          <cell r="D1860" t="str">
            <v>Labor Rate</v>
          </cell>
          <cell r="E1860" t="str">
            <v>CIS</v>
          </cell>
          <cell r="F1860" t="str">
            <v>Central Asia Sub-Regional Division</v>
          </cell>
          <cell r="G1860" t="str">
            <v>Uzbek Rep.O.</v>
          </cell>
          <cell r="H1860" t="str">
            <v>3008</v>
          </cell>
          <cell r="I1860" t="str">
            <v>土库曼斯坦</v>
          </cell>
          <cell r="J1860" t="str">
            <v>Turkmenistan</v>
          </cell>
          <cell r="K1860" t="str">
            <v>Local employees</v>
          </cell>
          <cell r="L1860" t="str">
            <v>L2</v>
          </cell>
          <cell r="M1860" t="str">
            <v>ALL</v>
          </cell>
          <cell r="N1860" t="str">
            <v>FLPC(含奖金)</v>
          </cell>
          <cell r="O1860" t="str">
            <v>USD/小时</v>
          </cell>
          <cell r="P1860">
            <v>15.41</v>
          </cell>
        </row>
        <row r="1861">
          <cell r="A1861" t="str">
            <v>Turkmenistan - Local employees - L3</v>
          </cell>
          <cell r="B1861" t="str">
            <v>Current version</v>
          </cell>
          <cell r="C1861" t="str">
            <v>V2009R2</v>
          </cell>
          <cell r="D1861" t="str">
            <v>Labor Rate</v>
          </cell>
          <cell r="E1861" t="str">
            <v>CIS</v>
          </cell>
          <cell r="F1861" t="str">
            <v>Central Asia Sub-Regional Division</v>
          </cell>
          <cell r="G1861" t="str">
            <v>Uzbek Rep.O.</v>
          </cell>
          <cell r="H1861" t="str">
            <v>3008</v>
          </cell>
          <cell r="I1861" t="str">
            <v>土库曼斯坦</v>
          </cell>
          <cell r="J1861" t="str">
            <v>Turkmenistan</v>
          </cell>
          <cell r="K1861" t="str">
            <v>Local employees</v>
          </cell>
          <cell r="L1861" t="str">
            <v>L3</v>
          </cell>
          <cell r="M1861" t="str">
            <v>ALL</v>
          </cell>
          <cell r="N1861" t="str">
            <v>FLPC(含奖金)</v>
          </cell>
          <cell r="O1861" t="str">
            <v>USD/小时</v>
          </cell>
          <cell r="P1861">
            <v>19.98</v>
          </cell>
        </row>
        <row r="1862">
          <cell r="A1862" t="str">
            <v>Turkey - Local employees - L0</v>
          </cell>
          <cell r="B1862" t="str">
            <v>Current version</v>
          </cell>
          <cell r="C1862" t="str">
            <v>V2009R2</v>
          </cell>
          <cell r="D1862" t="str">
            <v>Labor Rate</v>
          </cell>
          <cell r="E1862" t="str">
            <v>CIS</v>
          </cell>
          <cell r="F1862" t="str">
            <v>Central Asia Sub-Regional Division</v>
          </cell>
          <cell r="G1862" t="str">
            <v>Turkey Rep.O</v>
          </cell>
          <cell r="H1862" t="str">
            <v>5008</v>
          </cell>
          <cell r="I1862" t="str">
            <v>土耳其</v>
          </cell>
          <cell r="J1862" t="str">
            <v>Turkey</v>
          </cell>
          <cell r="K1862" t="str">
            <v>Local employees</v>
          </cell>
          <cell r="L1862" t="str">
            <v>L0</v>
          </cell>
          <cell r="M1862" t="str">
            <v>ALL</v>
          </cell>
          <cell r="N1862" t="str">
            <v>FLPC(含奖金)</v>
          </cell>
          <cell r="O1862" t="str">
            <v>USD/小时</v>
          </cell>
          <cell r="P1862">
            <v>30.17</v>
          </cell>
        </row>
        <row r="1863">
          <cell r="A1863" t="str">
            <v>Turkey - Local employees - L1</v>
          </cell>
          <cell r="B1863" t="str">
            <v>Current version</v>
          </cell>
          <cell r="C1863" t="str">
            <v>V2009R2</v>
          </cell>
          <cell r="D1863" t="str">
            <v>Labor Rate</v>
          </cell>
          <cell r="E1863" t="str">
            <v>CIS</v>
          </cell>
          <cell r="F1863" t="str">
            <v>Central Asia Sub-Regional Division</v>
          </cell>
          <cell r="G1863" t="str">
            <v>Turkey Rep.O</v>
          </cell>
          <cell r="H1863" t="str">
            <v>5008</v>
          </cell>
          <cell r="I1863" t="str">
            <v>土耳其</v>
          </cell>
          <cell r="J1863" t="str">
            <v>Turkey</v>
          </cell>
          <cell r="K1863" t="str">
            <v>Local employees</v>
          </cell>
          <cell r="L1863" t="str">
            <v>L1</v>
          </cell>
          <cell r="M1863" t="str">
            <v>ALL</v>
          </cell>
          <cell r="N1863" t="str">
            <v>FLPC(含奖金)</v>
          </cell>
          <cell r="O1863" t="str">
            <v>USD/小时</v>
          </cell>
          <cell r="P1863">
            <v>39.479999999999997</v>
          </cell>
        </row>
        <row r="1864">
          <cell r="A1864" t="str">
            <v>Turkey - Local employees - L2</v>
          </cell>
          <cell r="B1864" t="str">
            <v>Current version</v>
          </cell>
          <cell r="C1864" t="str">
            <v>V2009R2</v>
          </cell>
          <cell r="D1864" t="str">
            <v>Labor Rate</v>
          </cell>
          <cell r="E1864" t="str">
            <v>CIS</v>
          </cell>
          <cell r="F1864" t="str">
            <v>Central Asia Sub-Regional Division</v>
          </cell>
          <cell r="G1864" t="str">
            <v>Turkey Rep.O</v>
          </cell>
          <cell r="H1864" t="str">
            <v>5008</v>
          </cell>
          <cell r="I1864" t="str">
            <v>土耳其</v>
          </cell>
          <cell r="J1864" t="str">
            <v>Turkey</v>
          </cell>
          <cell r="K1864" t="str">
            <v>Local employees</v>
          </cell>
          <cell r="L1864" t="str">
            <v>L2</v>
          </cell>
          <cell r="M1864" t="str">
            <v>ALL</v>
          </cell>
          <cell r="N1864" t="str">
            <v>FLPC(含奖金)</v>
          </cell>
          <cell r="O1864" t="str">
            <v>USD/小时</v>
          </cell>
          <cell r="P1864">
            <v>58.42</v>
          </cell>
        </row>
        <row r="1865">
          <cell r="A1865" t="str">
            <v>Turkey - Local employees - L3</v>
          </cell>
          <cell r="B1865" t="str">
            <v>Current version</v>
          </cell>
          <cell r="C1865" t="str">
            <v>V2009R2</v>
          </cell>
          <cell r="D1865" t="str">
            <v>Labor Rate</v>
          </cell>
          <cell r="E1865" t="str">
            <v>CIS</v>
          </cell>
          <cell r="F1865" t="str">
            <v>Central Asia Sub-Regional Division</v>
          </cell>
          <cell r="G1865" t="str">
            <v>Turkey Rep.O</v>
          </cell>
          <cell r="H1865" t="str">
            <v>5008</v>
          </cell>
          <cell r="I1865" t="str">
            <v>土耳其</v>
          </cell>
          <cell r="J1865" t="str">
            <v>Turkey</v>
          </cell>
          <cell r="K1865" t="str">
            <v>Local employees</v>
          </cell>
          <cell r="L1865" t="str">
            <v>L3</v>
          </cell>
          <cell r="M1865" t="str">
            <v>ALL</v>
          </cell>
          <cell r="N1865" t="str">
            <v>FLPC(含奖金)</v>
          </cell>
          <cell r="O1865" t="str">
            <v>USD/小时</v>
          </cell>
          <cell r="P1865">
            <v>87.23</v>
          </cell>
        </row>
        <row r="1866">
          <cell r="A1866" t="str">
            <v>Kazakhstan - Local employees - L0</v>
          </cell>
          <cell r="B1866" t="str">
            <v>Current version</v>
          </cell>
          <cell r="C1866" t="str">
            <v>V2009R2</v>
          </cell>
          <cell r="D1866" t="str">
            <v>Labor Rate</v>
          </cell>
          <cell r="E1866" t="str">
            <v>CIS</v>
          </cell>
          <cell r="F1866" t="str">
            <v>Central Asia Sub-Regional Division</v>
          </cell>
          <cell r="G1866" t="str">
            <v>Kazakhstan Rep.O.</v>
          </cell>
          <cell r="H1866" t="str">
            <v>3004</v>
          </cell>
          <cell r="I1866" t="str">
            <v>哈萨克斯坦</v>
          </cell>
          <cell r="J1866" t="str">
            <v>Kazakhstan</v>
          </cell>
          <cell r="K1866" t="str">
            <v>Local employees</v>
          </cell>
          <cell r="L1866" t="str">
            <v>L0</v>
          </cell>
          <cell r="M1866" t="str">
            <v>ALL</v>
          </cell>
          <cell r="N1866" t="str">
            <v>FLPC(含奖金)</v>
          </cell>
          <cell r="O1866" t="str">
            <v>USD/小时</v>
          </cell>
          <cell r="P1866">
            <v>21.31</v>
          </cell>
        </row>
        <row r="1867">
          <cell r="A1867" t="str">
            <v>Kazakhstan - Local employees - L1</v>
          </cell>
          <cell r="B1867" t="str">
            <v>Current version</v>
          </cell>
          <cell r="C1867" t="str">
            <v>V2009R2</v>
          </cell>
          <cell r="D1867" t="str">
            <v>Labor Rate</v>
          </cell>
          <cell r="E1867" t="str">
            <v>CIS</v>
          </cell>
          <cell r="F1867" t="str">
            <v>Central Asia Sub-Regional Division</v>
          </cell>
          <cell r="G1867" t="str">
            <v>Kazakhstan Rep.O.</v>
          </cell>
          <cell r="H1867" t="str">
            <v>3004</v>
          </cell>
          <cell r="I1867" t="str">
            <v>哈萨克斯坦</v>
          </cell>
          <cell r="J1867" t="str">
            <v>Kazakhstan</v>
          </cell>
          <cell r="K1867" t="str">
            <v>Local employees</v>
          </cell>
          <cell r="L1867" t="str">
            <v>L1</v>
          </cell>
          <cell r="M1867" t="str">
            <v>ALL</v>
          </cell>
          <cell r="N1867" t="str">
            <v>FLPC(含奖金)</v>
          </cell>
          <cell r="O1867" t="str">
            <v>USD/小时</v>
          </cell>
          <cell r="P1867">
            <v>24.37</v>
          </cell>
        </row>
        <row r="1868">
          <cell r="A1868" t="str">
            <v>Kazakhstan - Local employees - L2</v>
          </cell>
          <cell r="B1868" t="str">
            <v>Current version</v>
          </cell>
          <cell r="C1868" t="str">
            <v>V2009R2</v>
          </cell>
          <cell r="D1868" t="str">
            <v>Labor Rate</v>
          </cell>
          <cell r="E1868" t="str">
            <v>CIS</v>
          </cell>
          <cell r="F1868" t="str">
            <v>Central Asia Sub-Regional Division</v>
          </cell>
          <cell r="G1868" t="str">
            <v>Kazakhstan Rep.O.</v>
          </cell>
          <cell r="H1868" t="str">
            <v>3004</v>
          </cell>
          <cell r="I1868" t="str">
            <v>哈萨克斯坦</v>
          </cell>
          <cell r="J1868" t="str">
            <v>Kazakhstan</v>
          </cell>
          <cell r="K1868" t="str">
            <v>Local employees</v>
          </cell>
          <cell r="L1868" t="str">
            <v>L2</v>
          </cell>
          <cell r="M1868" t="str">
            <v>ALL</v>
          </cell>
          <cell r="N1868" t="str">
            <v>FLPC(含奖金)</v>
          </cell>
          <cell r="O1868" t="str">
            <v>USD/小时</v>
          </cell>
          <cell r="P1868">
            <v>36.28</v>
          </cell>
        </row>
        <row r="1869">
          <cell r="A1869" t="str">
            <v>Kazakhstan - Local employees - L3</v>
          </cell>
          <cell r="B1869" t="str">
            <v>Current version</v>
          </cell>
          <cell r="C1869" t="str">
            <v>V2009R2</v>
          </cell>
          <cell r="D1869" t="str">
            <v>Labor Rate</v>
          </cell>
          <cell r="E1869" t="str">
            <v>CIS</v>
          </cell>
          <cell r="F1869" t="str">
            <v>Central Asia Sub-Regional Division</v>
          </cell>
          <cell r="G1869" t="str">
            <v>Kazakhstan Rep.O.</v>
          </cell>
          <cell r="H1869" t="str">
            <v>3004</v>
          </cell>
          <cell r="I1869" t="str">
            <v>哈萨克斯坦</v>
          </cell>
          <cell r="J1869" t="str">
            <v>Kazakhstan</v>
          </cell>
          <cell r="K1869" t="str">
            <v>Local employees</v>
          </cell>
          <cell r="L1869" t="str">
            <v>L3</v>
          </cell>
          <cell r="M1869" t="str">
            <v>ALL</v>
          </cell>
          <cell r="N1869" t="str">
            <v>FLPC(含奖金)</v>
          </cell>
          <cell r="O1869" t="str">
            <v>USD/小时</v>
          </cell>
          <cell r="P1869">
            <v>63.99</v>
          </cell>
        </row>
        <row r="1870">
          <cell r="A1870" t="str">
            <v>Kyrgyzstan - Local employees - L0</v>
          </cell>
          <cell r="B1870" t="str">
            <v>Current version</v>
          </cell>
          <cell r="C1870" t="str">
            <v>V2009R2</v>
          </cell>
          <cell r="D1870" t="str">
            <v>Labor Rate</v>
          </cell>
          <cell r="E1870" t="str">
            <v>CIS</v>
          </cell>
          <cell r="F1870" t="str">
            <v>Central Asia Sub-Regional Division</v>
          </cell>
          <cell r="G1870" t="str">
            <v>Kazakhstan Rep.O.</v>
          </cell>
          <cell r="H1870" t="str">
            <v>3005</v>
          </cell>
          <cell r="I1870" t="str">
            <v>吉尔吉斯</v>
          </cell>
          <cell r="J1870" t="str">
            <v>Kyrgyzstan</v>
          </cell>
          <cell r="K1870" t="str">
            <v>Local employees</v>
          </cell>
          <cell r="L1870" t="str">
            <v>L0</v>
          </cell>
          <cell r="M1870" t="str">
            <v>ALL</v>
          </cell>
          <cell r="N1870" t="str">
            <v>FLPC(含奖金)</v>
          </cell>
          <cell r="O1870" t="str">
            <v>USD/小时</v>
          </cell>
          <cell r="P1870">
            <v>18.350000000000001</v>
          </cell>
        </row>
        <row r="1871">
          <cell r="A1871" t="str">
            <v>Kyrgyzstan - Local employees - L1</v>
          </cell>
          <cell r="B1871" t="str">
            <v>Current version</v>
          </cell>
          <cell r="C1871" t="str">
            <v>V2009R2</v>
          </cell>
          <cell r="D1871" t="str">
            <v>Labor Rate</v>
          </cell>
          <cell r="E1871" t="str">
            <v>CIS</v>
          </cell>
          <cell r="F1871" t="str">
            <v>Central Asia Sub-Regional Division</v>
          </cell>
          <cell r="G1871" t="str">
            <v>Kazakhstan Rep.O.</v>
          </cell>
          <cell r="H1871" t="str">
            <v>3005</v>
          </cell>
          <cell r="I1871" t="str">
            <v>吉尔吉斯</v>
          </cell>
          <cell r="J1871" t="str">
            <v>Kyrgyzstan</v>
          </cell>
          <cell r="K1871" t="str">
            <v>Local employees</v>
          </cell>
          <cell r="L1871" t="str">
            <v>L1</v>
          </cell>
          <cell r="M1871" t="str">
            <v>ALL</v>
          </cell>
          <cell r="N1871" t="str">
            <v>FLPC(含奖金)</v>
          </cell>
          <cell r="O1871" t="str">
            <v>USD/小时</v>
          </cell>
          <cell r="P1871">
            <v>21.74</v>
          </cell>
        </row>
        <row r="1872">
          <cell r="A1872" t="str">
            <v>Kyrgyzstan - Local employees - L2</v>
          </cell>
          <cell r="B1872" t="str">
            <v>Current version</v>
          </cell>
          <cell r="C1872" t="str">
            <v>V2009R2</v>
          </cell>
          <cell r="D1872" t="str">
            <v>Labor Rate</v>
          </cell>
          <cell r="E1872" t="str">
            <v>CIS</v>
          </cell>
          <cell r="F1872" t="str">
            <v>Central Asia Sub-Regional Division</v>
          </cell>
          <cell r="G1872" t="str">
            <v>Kazakhstan Rep.O.</v>
          </cell>
          <cell r="H1872" t="str">
            <v>3005</v>
          </cell>
          <cell r="I1872" t="str">
            <v>吉尔吉斯</v>
          </cell>
          <cell r="J1872" t="str">
            <v>Kyrgyzstan</v>
          </cell>
          <cell r="K1872" t="str">
            <v>Local employees</v>
          </cell>
          <cell r="L1872" t="str">
            <v>L2</v>
          </cell>
          <cell r="M1872" t="str">
            <v>ALL</v>
          </cell>
          <cell r="N1872" t="str">
            <v>FLPC(含奖金)</v>
          </cell>
          <cell r="O1872" t="str">
            <v>USD/小时</v>
          </cell>
          <cell r="P1872">
            <v>28.45</v>
          </cell>
        </row>
        <row r="1873">
          <cell r="A1873" t="str">
            <v>Kyrgyzstan - Local employees - L3</v>
          </cell>
          <cell r="B1873" t="str">
            <v>Current version</v>
          </cell>
          <cell r="C1873" t="str">
            <v>V2009R2</v>
          </cell>
          <cell r="D1873" t="str">
            <v>Labor Rate</v>
          </cell>
          <cell r="E1873" t="str">
            <v>CIS</v>
          </cell>
          <cell r="F1873" t="str">
            <v>Central Asia Sub-Regional Division</v>
          </cell>
          <cell r="G1873" t="str">
            <v>Kazakhstan Rep.O.</v>
          </cell>
          <cell r="H1873" t="str">
            <v>3005</v>
          </cell>
          <cell r="I1873" t="str">
            <v>吉尔吉斯</v>
          </cell>
          <cell r="J1873" t="str">
            <v>Kyrgyzstan</v>
          </cell>
          <cell r="K1873" t="str">
            <v>Local employees</v>
          </cell>
          <cell r="L1873" t="str">
            <v>L3</v>
          </cell>
          <cell r="M1873" t="str">
            <v>ALL</v>
          </cell>
          <cell r="N1873" t="str">
            <v>FLPC(含奖金)</v>
          </cell>
          <cell r="O1873" t="str">
            <v>USD/小时</v>
          </cell>
          <cell r="P1873">
            <v>35.79</v>
          </cell>
        </row>
        <row r="1874">
          <cell r="A1874" t="str">
            <v>Azerbaijan - Local employees - L0</v>
          </cell>
          <cell r="B1874" t="str">
            <v>Current version</v>
          </cell>
          <cell r="C1874" t="str">
            <v>V2009R2</v>
          </cell>
          <cell r="D1874" t="str">
            <v>Labor Rate</v>
          </cell>
          <cell r="E1874" t="str">
            <v>CIS</v>
          </cell>
          <cell r="F1874" t="str">
            <v>Central Asia Sub-Regional Division</v>
          </cell>
          <cell r="G1874" t="str">
            <v>Azerbaijan Rep.O.</v>
          </cell>
          <cell r="H1874" t="str">
            <v>3007</v>
          </cell>
          <cell r="I1874" t="str">
            <v>阿塞拜疆</v>
          </cell>
          <cell r="J1874" t="str">
            <v>Azerbaijan</v>
          </cell>
          <cell r="K1874" t="str">
            <v>Local employees</v>
          </cell>
          <cell r="L1874" t="str">
            <v>L0</v>
          </cell>
          <cell r="M1874" t="str">
            <v>ALL</v>
          </cell>
          <cell r="N1874" t="str">
            <v>FLPC(含奖金)</v>
          </cell>
          <cell r="O1874" t="str">
            <v>USD/小时</v>
          </cell>
          <cell r="P1874">
            <v>18.98</v>
          </cell>
        </row>
        <row r="1875">
          <cell r="A1875" t="str">
            <v>Azerbaijan - Local employees - L1</v>
          </cell>
          <cell r="B1875" t="str">
            <v>Current version</v>
          </cell>
          <cell r="C1875" t="str">
            <v>V2009R2</v>
          </cell>
          <cell r="D1875" t="str">
            <v>Labor Rate</v>
          </cell>
          <cell r="E1875" t="str">
            <v>CIS</v>
          </cell>
          <cell r="F1875" t="str">
            <v>Central Asia Sub-Regional Division</v>
          </cell>
          <cell r="G1875" t="str">
            <v>Azerbaijan Rep.O.</v>
          </cell>
          <cell r="H1875" t="str">
            <v>3007</v>
          </cell>
          <cell r="I1875" t="str">
            <v>阿塞拜疆</v>
          </cell>
          <cell r="J1875" t="str">
            <v>Azerbaijan</v>
          </cell>
          <cell r="K1875" t="str">
            <v>Local employees</v>
          </cell>
          <cell r="L1875" t="str">
            <v>L1</v>
          </cell>
          <cell r="M1875" t="str">
            <v>ALL</v>
          </cell>
          <cell r="N1875" t="str">
            <v>FLPC(含奖金)</v>
          </cell>
          <cell r="O1875" t="str">
            <v>USD/小时</v>
          </cell>
          <cell r="P1875">
            <v>23.69</v>
          </cell>
        </row>
        <row r="1876">
          <cell r="A1876" t="str">
            <v>Azerbaijan - Local employees - L2</v>
          </cell>
          <cell r="B1876" t="str">
            <v>Current version</v>
          </cell>
          <cell r="C1876" t="str">
            <v>V2009R2</v>
          </cell>
          <cell r="D1876" t="str">
            <v>Labor Rate</v>
          </cell>
          <cell r="E1876" t="str">
            <v>CIS</v>
          </cell>
          <cell r="F1876" t="str">
            <v>Central Asia Sub-Regional Division</v>
          </cell>
          <cell r="G1876" t="str">
            <v>Azerbaijan Rep.O.</v>
          </cell>
          <cell r="H1876" t="str">
            <v>3007</v>
          </cell>
          <cell r="I1876" t="str">
            <v>阿塞拜疆</v>
          </cell>
          <cell r="J1876" t="str">
            <v>Azerbaijan</v>
          </cell>
          <cell r="K1876" t="str">
            <v>Local employees</v>
          </cell>
          <cell r="L1876" t="str">
            <v>L2</v>
          </cell>
          <cell r="M1876" t="str">
            <v>ALL</v>
          </cell>
          <cell r="N1876" t="str">
            <v>FLPC(含奖金)</v>
          </cell>
          <cell r="O1876" t="str">
            <v>USD/小时</v>
          </cell>
          <cell r="P1876">
            <v>33.56</v>
          </cell>
        </row>
        <row r="1877">
          <cell r="A1877" t="str">
            <v>Azerbaijan - Local employees - L3</v>
          </cell>
          <cell r="B1877" t="str">
            <v>Current version</v>
          </cell>
          <cell r="C1877" t="str">
            <v>V2009R2</v>
          </cell>
          <cell r="D1877" t="str">
            <v>Labor Rate</v>
          </cell>
          <cell r="E1877" t="str">
            <v>CIS</v>
          </cell>
          <cell r="F1877" t="str">
            <v>Central Asia Sub-Regional Division</v>
          </cell>
          <cell r="G1877" t="str">
            <v>Azerbaijan Rep.O.</v>
          </cell>
          <cell r="H1877" t="str">
            <v>3007</v>
          </cell>
          <cell r="I1877" t="str">
            <v>阿塞拜疆</v>
          </cell>
          <cell r="J1877" t="str">
            <v>Azerbaijan</v>
          </cell>
          <cell r="K1877" t="str">
            <v>Local employees</v>
          </cell>
          <cell r="L1877" t="str">
            <v>L3</v>
          </cell>
          <cell r="M1877" t="str">
            <v>ALL</v>
          </cell>
          <cell r="N1877" t="str">
            <v>FLPC(含奖金)</v>
          </cell>
          <cell r="O1877" t="str">
            <v>USD/小时</v>
          </cell>
          <cell r="P1877">
            <v>56.16</v>
          </cell>
        </row>
        <row r="1878">
          <cell r="A1878" t="str">
            <v>Baku - Local employees - L1</v>
          </cell>
          <cell r="B1878" t="str">
            <v>Current version</v>
          </cell>
          <cell r="C1878" t="str">
            <v>V2009R2</v>
          </cell>
          <cell r="D1878" t="str">
            <v>Labor Rate</v>
          </cell>
          <cell r="E1878" t="str">
            <v>CIS</v>
          </cell>
          <cell r="F1878" t="str">
            <v>Central Asia Sub-Regional Division</v>
          </cell>
          <cell r="G1878" t="str">
            <v>Azerbaijan Rep.O.</v>
          </cell>
          <cell r="H1878" t="str">
            <v>3021</v>
          </cell>
          <cell r="I1878" t="str">
            <v>巴库</v>
          </cell>
          <cell r="J1878" t="str">
            <v>Baku</v>
          </cell>
          <cell r="K1878" t="str">
            <v>Local employees</v>
          </cell>
          <cell r="L1878" t="str">
            <v>L1</v>
          </cell>
          <cell r="M1878" t="str">
            <v>ALL</v>
          </cell>
          <cell r="N1878" t="str">
            <v>FLPC(含奖金)</v>
          </cell>
          <cell r="O1878" t="str">
            <v>USD/小时</v>
          </cell>
          <cell r="P1878">
            <v>23.69</v>
          </cell>
        </row>
        <row r="1879">
          <cell r="A1879" t="str">
            <v>Baku - Local employees - L2</v>
          </cell>
          <cell r="B1879" t="str">
            <v>Current version</v>
          </cell>
          <cell r="C1879" t="str">
            <v>V2009R2</v>
          </cell>
          <cell r="D1879" t="str">
            <v>Labor Rate</v>
          </cell>
          <cell r="E1879" t="str">
            <v>CIS</v>
          </cell>
          <cell r="F1879" t="str">
            <v>Central Asia Sub-Regional Division</v>
          </cell>
          <cell r="G1879" t="str">
            <v>Azerbaijan Rep.O.</v>
          </cell>
          <cell r="H1879" t="str">
            <v>3021</v>
          </cell>
          <cell r="I1879" t="str">
            <v>巴库</v>
          </cell>
          <cell r="J1879" t="str">
            <v>Baku</v>
          </cell>
          <cell r="K1879" t="str">
            <v>Local employees</v>
          </cell>
          <cell r="L1879" t="str">
            <v>L2</v>
          </cell>
          <cell r="M1879" t="str">
            <v>ALL</v>
          </cell>
          <cell r="N1879" t="str">
            <v>FLPC(含奖金)</v>
          </cell>
          <cell r="O1879" t="str">
            <v>USD/小时</v>
          </cell>
          <cell r="P1879">
            <v>33.56</v>
          </cell>
        </row>
        <row r="1880">
          <cell r="A1880" t="str">
            <v>Baku - Local employees - L3</v>
          </cell>
          <cell r="B1880" t="str">
            <v>Current version</v>
          </cell>
          <cell r="C1880" t="str">
            <v>V2009R2</v>
          </cell>
          <cell r="D1880" t="str">
            <v>Labor Rate</v>
          </cell>
          <cell r="E1880" t="str">
            <v>CIS</v>
          </cell>
          <cell r="F1880" t="str">
            <v>Central Asia Sub-Regional Division</v>
          </cell>
          <cell r="G1880" t="str">
            <v>Azerbaijan Rep.O.</v>
          </cell>
          <cell r="H1880" t="str">
            <v>3021</v>
          </cell>
          <cell r="I1880" t="str">
            <v>巴库</v>
          </cell>
          <cell r="J1880" t="str">
            <v>Baku</v>
          </cell>
          <cell r="K1880" t="str">
            <v>Local employees</v>
          </cell>
          <cell r="L1880" t="str">
            <v>L3</v>
          </cell>
          <cell r="M1880" t="str">
            <v>ALL</v>
          </cell>
          <cell r="N1880" t="str">
            <v>FLPC(含奖金)</v>
          </cell>
          <cell r="O1880" t="str">
            <v>USD/小时</v>
          </cell>
          <cell r="P1880">
            <v>56.16</v>
          </cell>
        </row>
        <row r="1881">
          <cell r="A1881" t="str">
            <v>Georgia - Local employees - L1</v>
          </cell>
          <cell r="B1881" t="str">
            <v>Current version</v>
          </cell>
          <cell r="C1881" t="str">
            <v>V2009R2</v>
          </cell>
          <cell r="D1881" t="str">
            <v>Labor Rate</v>
          </cell>
          <cell r="E1881" t="str">
            <v>CIS</v>
          </cell>
          <cell r="F1881" t="str">
            <v>Central Asia Sub-Regional Division</v>
          </cell>
          <cell r="G1881" t="str">
            <v>Azerbaijan Rep.O.</v>
          </cell>
          <cell r="H1881" t="str">
            <v>3019</v>
          </cell>
          <cell r="I1881" t="str">
            <v>格鲁吉亚</v>
          </cell>
          <cell r="J1881" t="str">
            <v>Georgia</v>
          </cell>
          <cell r="K1881" t="str">
            <v>Local employees</v>
          </cell>
          <cell r="L1881" t="str">
            <v>L1</v>
          </cell>
          <cell r="M1881" t="str">
            <v>ALL</v>
          </cell>
          <cell r="N1881" t="str">
            <v>FLPC(含奖金)</v>
          </cell>
          <cell r="O1881" t="str">
            <v>USD/小时</v>
          </cell>
          <cell r="P1881">
            <v>23.27</v>
          </cell>
        </row>
        <row r="1882">
          <cell r="A1882" t="str">
            <v>Georgia - Local employees - L2</v>
          </cell>
          <cell r="B1882" t="str">
            <v>Current version</v>
          </cell>
          <cell r="C1882" t="str">
            <v>V2009R2</v>
          </cell>
          <cell r="D1882" t="str">
            <v>Labor Rate</v>
          </cell>
          <cell r="E1882" t="str">
            <v>CIS</v>
          </cell>
          <cell r="F1882" t="str">
            <v>Central Asia Sub-Regional Division</v>
          </cell>
          <cell r="G1882" t="str">
            <v>Azerbaijan Rep.O.</v>
          </cell>
          <cell r="H1882" t="str">
            <v>3019</v>
          </cell>
          <cell r="I1882" t="str">
            <v>格鲁吉亚</v>
          </cell>
          <cell r="J1882" t="str">
            <v>Georgia</v>
          </cell>
          <cell r="K1882" t="str">
            <v>Local employees</v>
          </cell>
          <cell r="L1882" t="str">
            <v>L2</v>
          </cell>
          <cell r="M1882" t="str">
            <v>ALL</v>
          </cell>
          <cell r="N1882" t="str">
            <v>FLPC(含奖金)</v>
          </cell>
          <cell r="O1882" t="str">
            <v>USD/小时</v>
          </cell>
          <cell r="P1882">
            <v>44.48</v>
          </cell>
        </row>
        <row r="1883">
          <cell r="A1883" t="str">
            <v>Georgia - Local employees - L3</v>
          </cell>
          <cell r="B1883" t="str">
            <v>Current version</v>
          </cell>
          <cell r="C1883" t="str">
            <v>V2009R2</v>
          </cell>
          <cell r="D1883" t="str">
            <v>Labor Rate</v>
          </cell>
          <cell r="E1883" t="str">
            <v>CIS</v>
          </cell>
          <cell r="F1883" t="str">
            <v>Central Asia Sub-Regional Division</v>
          </cell>
          <cell r="G1883" t="str">
            <v>Azerbaijan Rep.O.</v>
          </cell>
          <cell r="H1883" t="str">
            <v>3019</v>
          </cell>
          <cell r="I1883" t="str">
            <v>格鲁吉亚</v>
          </cell>
          <cell r="J1883" t="str">
            <v>Georgia</v>
          </cell>
          <cell r="K1883" t="str">
            <v>Local employees</v>
          </cell>
          <cell r="L1883" t="str">
            <v>L3</v>
          </cell>
          <cell r="M1883" t="str">
            <v>ALL</v>
          </cell>
          <cell r="N1883" t="str">
            <v>FLPC(含奖金)</v>
          </cell>
          <cell r="O1883" t="str">
            <v>USD/小时</v>
          </cell>
          <cell r="P1883">
            <v>42.2</v>
          </cell>
        </row>
        <row r="1884">
          <cell r="A1884" t="str">
            <v>Albania - Local employees - L0</v>
          </cell>
          <cell r="B1884" t="str">
            <v>Current version</v>
          </cell>
          <cell r="C1884" t="str">
            <v>V2009R2</v>
          </cell>
          <cell r="D1884" t="str">
            <v>Labor Rate</v>
          </cell>
          <cell r="E1884" t="str">
            <v>CIS</v>
          </cell>
          <cell r="F1884" t="str">
            <v>Central Asia Sub-Regional Division</v>
          </cell>
          <cell r="G1884" t="str">
            <v>Turkey Rep.O</v>
          </cell>
          <cell r="H1884" t="str">
            <v>3317</v>
          </cell>
          <cell r="I1884" t="str">
            <v>阿尔巴尼亚</v>
          </cell>
          <cell r="J1884" t="str">
            <v>Albania</v>
          </cell>
          <cell r="K1884" t="str">
            <v>Local employees</v>
          </cell>
          <cell r="L1884" t="str">
            <v>L0</v>
          </cell>
          <cell r="M1884" t="str">
            <v>ALL</v>
          </cell>
          <cell r="N1884" t="str">
            <v>FLPC(含奖金)</v>
          </cell>
          <cell r="O1884" t="str">
            <v>USD/小时</v>
          </cell>
          <cell r="P1884">
            <v>19.64</v>
          </cell>
        </row>
        <row r="1885">
          <cell r="A1885" t="str">
            <v>Albania - Local employees - L1</v>
          </cell>
          <cell r="B1885" t="str">
            <v>Current version</v>
          </cell>
          <cell r="C1885" t="str">
            <v>V2009R2</v>
          </cell>
          <cell r="D1885" t="str">
            <v>Labor Rate</v>
          </cell>
          <cell r="E1885" t="str">
            <v>CIS</v>
          </cell>
          <cell r="F1885" t="str">
            <v>Central Asia Sub-Regional Division</v>
          </cell>
          <cell r="G1885" t="str">
            <v>Turkey Rep.O</v>
          </cell>
          <cell r="H1885" t="str">
            <v>3317</v>
          </cell>
          <cell r="I1885" t="str">
            <v>阿尔巴尼亚</v>
          </cell>
          <cell r="J1885" t="str">
            <v>Albania</v>
          </cell>
          <cell r="K1885" t="str">
            <v>Local employees</v>
          </cell>
          <cell r="L1885" t="str">
            <v>L1</v>
          </cell>
          <cell r="M1885" t="str">
            <v>ALL</v>
          </cell>
          <cell r="N1885" t="str">
            <v>FLPC(含奖金)</v>
          </cell>
          <cell r="O1885" t="str">
            <v>USD/小时</v>
          </cell>
          <cell r="P1885">
            <v>23.15</v>
          </cell>
        </row>
        <row r="1886">
          <cell r="A1886" t="str">
            <v>Albania - Local employees - L2</v>
          </cell>
          <cell r="B1886" t="str">
            <v>Current version</v>
          </cell>
          <cell r="C1886" t="str">
            <v>V2009R2</v>
          </cell>
          <cell r="D1886" t="str">
            <v>Labor Rate</v>
          </cell>
          <cell r="E1886" t="str">
            <v>CIS</v>
          </cell>
          <cell r="F1886" t="str">
            <v>Central Asia Sub-Regional Division</v>
          </cell>
          <cell r="G1886" t="str">
            <v>Turkey Rep.O</v>
          </cell>
          <cell r="H1886" t="str">
            <v>3317</v>
          </cell>
          <cell r="I1886" t="str">
            <v>阿尔巴尼亚</v>
          </cell>
          <cell r="J1886" t="str">
            <v>Albania</v>
          </cell>
          <cell r="K1886" t="str">
            <v>Local employees</v>
          </cell>
          <cell r="L1886" t="str">
            <v>L2</v>
          </cell>
          <cell r="M1886" t="str">
            <v>ALL</v>
          </cell>
          <cell r="N1886" t="str">
            <v>FLPC(含奖金)</v>
          </cell>
          <cell r="O1886" t="str">
            <v>USD/小时</v>
          </cell>
          <cell r="P1886">
            <v>27.75</v>
          </cell>
        </row>
        <row r="1887">
          <cell r="A1887" t="str">
            <v>Armenia - Local employees - L0</v>
          </cell>
          <cell r="B1887" t="str">
            <v>Current version</v>
          </cell>
          <cell r="C1887" t="str">
            <v>V2009R2</v>
          </cell>
          <cell r="D1887" t="str">
            <v>Labor Rate</v>
          </cell>
          <cell r="E1887" t="str">
            <v>CIS</v>
          </cell>
          <cell r="F1887" t="str">
            <v>Russia</v>
          </cell>
          <cell r="G1887" t="str">
            <v>Russia Rep.O.</v>
          </cell>
          <cell r="H1887" t="str">
            <v>3016</v>
          </cell>
          <cell r="I1887" t="str">
            <v>亚美尼亚</v>
          </cell>
          <cell r="J1887" t="str">
            <v>Armenia</v>
          </cell>
          <cell r="K1887" t="str">
            <v>Local employees</v>
          </cell>
          <cell r="L1887" t="str">
            <v>L0</v>
          </cell>
          <cell r="M1887" t="str">
            <v>ALL</v>
          </cell>
          <cell r="N1887" t="str">
            <v>FLPC(含奖金)</v>
          </cell>
          <cell r="O1887" t="str">
            <v>USD/小时</v>
          </cell>
          <cell r="P1887">
            <v>30.59</v>
          </cell>
        </row>
        <row r="1888">
          <cell r="A1888" t="str">
            <v>Armenia - Local employees - L1</v>
          </cell>
          <cell r="B1888" t="str">
            <v>Current version</v>
          </cell>
          <cell r="C1888" t="str">
            <v>V2009R2</v>
          </cell>
          <cell r="D1888" t="str">
            <v>Labor Rate</v>
          </cell>
          <cell r="E1888" t="str">
            <v>CIS</v>
          </cell>
          <cell r="F1888" t="str">
            <v>Russia</v>
          </cell>
          <cell r="G1888" t="str">
            <v>Russia Rep.O.</v>
          </cell>
          <cell r="H1888" t="str">
            <v>3016</v>
          </cell>
          <cell r="I1888" t="str">
            <v>亚美尼亚</v>
          </cell>
          <cell r="J1888" t="str">
            <v>Armenia</v>
          </cell>
          <cell r="K1888" t="str">
            <v>Local employees</v>
          </cell>
          <cell r="L1888" t="str">
            <v>L1</v>
          </cell>
          <cell r="M1888" t="str">
            <v>ALL</v>
          </cell>
          <cell r="N1888" t="str">
            <v>FLPC(含奖金)</v>
          </cell>
          <cell r="O1888" t="str">
            <v>USD/小时</v>
          </cell>
          <cell r="P1888">
            <v>36.72</v>
          </cell>
        </row>
        <row r="1889">
          <cell r="A1889" t="str">
            <v>Armenia - Local employees - L2</v>
          </cell>
          <cell r="B1889" t="str">
            <v>Current version</v>
          </cell>
          <cell r="C1889" t="str">
            <v>V2009R2</v>
          </cell>
          <cell r="D1889" t="str">
            <v>Labor Rate</v>
          </cell>
          <cell r="E1889" t="str">
            <v>CIS</v>
          </cell>
          <cell r="F1889" t="str">
            <v>Russia</v>
          </cell>
          <cell r="G1889" t="str">
            <v>Russia Rep.O.</v>
          </cell>
          <cell r="H1889" t="str">
            <v>3016</v>
          </cell>
          <cell r="I1889" t="str">
            <v>亚美尼亚</v>
          </cell>
          <cell r="J1889" t="str">
            <v>Armenia</v>
          </cell>
          <cell r="K1889" t="str">
            <v>Local employees</v>
          </cell>
          <cell r="L1889" t="str">
            <v>L2</v>
          </cell>
          <cell r="M1889" t="str">
            <v>ALL</v>
          </cell>
          <cell r="N1889" t="str">
            <v>FLPC(含奖金)</v>
          </cell>
          <cell r="O1889" t="str">
            <v>USD/小时</v>
          </cell>
          <cell r="P1889">
            <v>47.39</v>
          </cell>
        </row>
        <row r="1890">
          <cell r="A1890" t="str">
            <v>Armenia - Local employees - L3</v>
          </cell>
          <cell r="B1890" t="str">
            <v>Current version</v>
          </cell>
          <cell r="C1890" t="str">
            <v>V2009R2</v>
          </cell>
          <cell r="D1890" t="str">
            <v>Labor Rate</v>
          </cell>
          <cell r="E1890" t="str">
            <v>CIS</v>
          </cell>
          <cell r="F1890" t="str">
            <v>Russia</v>
          </cell>
          <cell r="G1890" t="str">
            <v>Russia Rep.O.</v>
          </cell>
          <cell r="H1890" t="str">
            <v>3016</v>
          </cell>
          <cell r="I1890" t="str">
            <v>亚美尼亚</v>
          </cell>
          <cell r="J1890" t="str">
            <v>Armenia</v>
          </cell>
          <cell r="K1890" t="str">
            <v>Local employees</v>
          </cell>
          <cell r="L1890" t="str">
            <v>L3</v>
          </cell>
          <cell r="M1890" t="str">
            <v>ALL</v>
          </cell>
          <cell r="N1890" t="str">
            <v>FLPC(含奖金)</v>
          </cell>
          <cell r="O1890" t="str">
            <v>USD/小时</v>
          </cell>
          <cell r="P1890">
            <v>57.27</v>
          </cell>
        </row>
        <row r="1891">
          <cell r="A1891" t="str">
            <v>Armenia - Local employees - L4</v>
          </cell>
          <cell r="B1891" t="str">
            <v>Current version</v>
          </cell>
          <cell r="C1891" t="str">
            <v>V2009R2</v>
          </cell>
          <cell r="D1891" t="str">
            <v>Labor Rate</v>
          </cell>
          <cell r="E1891" t="str">
            <v>CIS</v>
          </cell>
          <cell r="F1891" t="str">
            <v>Russia</v>
          </cell>
          <cell r="G1891" t="str">
            <v>Russia Rep.O.</v>
          </cell>
          <cell r="H1891" t="str">
            <v>3016</v>
          </cell>
          <cell r="I1891" t="str">
            <v>亚美尼亚</v>
          </cell>
          <cell r="J1891" t="str">
            <v>Armenia</v>
          </cell>
          <cell r="K1891" t="str">
            <v>Local employees</v>
          </cell>
          <cell r="L1891" t="str">
            <v>L4</v>
          </cell>
          <cell r="M1891" t="str">
            <v>ALL</v>
          </cell>
          <cell r="N1891" t="str">
            <v>FLPC(含奖金)</v>
          </cell>
          <cell r="O1891" t="str">
            <v>USD/小时</v>
          </cell>
          <cell r="P1891">
            <v>73.87</v>
          </cell>
        </row>
        <row r="1892">
          <cell r="A1892" t="str">
            <v>Russia - Local employees - L0</v>
          </cell>
          <cell r="B1892" t="str">
            <v>Current version</v>
          </cell>
          <cell r="C1892" t="str">
            <v>V2009R2</v>
          </cell>
          <cell r="D1892" t="str">
            <v>Labor Rate</v>
          </cell>
          <cell r="E1892" t="str">
            <v>CIS</v>
          </cell>
          <cell r="F1892" t="str">
            <v>Russia</v>
          </cell>
          <cell r="G1892" t="str">
            <v>Russia Rep.O.</v>
          </cell>
          <cell r="H1892" t="str">
            <v>3001</v>
          </cell>
          <cell r="I1892" t="str">
            <v>俄罗斯</v>
          </cell>
          <cell r="J1892" t="str">
            <v>Russia</v>
          </cell>
          <cell r="K1892" t="str">
            <v>Local employees</v>
          </cell>
          <cell r="L1892" t="str">
            <v>L0</v>
          </cell>
          <cell r="M1892" t="str">
            <v>ALL</v>
          </cell>
          <cell r="N1892" t="str">
            <v>FLPC(含奖金)</v>
          </cell>
          <cell r="O1892" t="str">
            <v>USD/小时</v>
          </cell>
          <cell r="P1892">
            <v>30.59</v>
          </cell>
        </row>
        <row r="1893">
          <cell r="A1893" t="str">
            <v>Russia - Local employees - L1</v>
          </cell>
          <cell r="B1893" t="str">
            <v>Current version</v>
          </cell>
          <cell r="C1893" t="str">
            <v>V2009R2</v>
          </cell>
          <cell r="D1893" t="str">
            <v>Labor Rate</v>
          </cell>
          <cell r="E1893" t="str">
            <v>CIS</v>
          </cell>
          <cell r="F1893" t="str">
            <v>Russia</v>
          </cell>
          <cell r="G1893" t="str">
            <v>Russia Rep.O.</v>
          </cell>
          <cell r="H1893" t="str">
            <v>3001</v>
          </cell>
          <cell r="I1893" t="str">
            <v>俄罗斯</v>
          </cell>
          <cell r="J1893" t="str">
            <v>Russia</v>
          </cell>
          <cell r="K1893" t="str">
            <v>Local employees</v>
          </cell>
          <cell r="L1893" t="str">
            <v>L1</v>
          </cell>
          <cell r="M1893" t="str">
            <v>ALL</v>
          </cell>
          <cell r="N1893" t="str">
            <v>FLPC(含奖金)</v>
          </cell>
          <cell r="O1893" t="str">
            <v>USD/小时</v>
          </cell>
          <cell r="P1893">
            <v>36.72</v>
          </cell>
        </row>
        <row r="1894">
          <cell r="A1894" t="str">
            <v>Russia - Local employees - L2</v>
          </cell>
          <cell r="B1894" t="str">
            <v>Current version</v>
          </cell>
          <cell r="C1894" t="str">
            <v>V2009R2</v>
          </cell>
          <cell r="D1894" t="str">
            <v>Labor Rate</v>
          </cell>
          <cell r="E1894" t="str">
            <v>CIS</v>
          </cell>
          <cell r="F1894" t="str">
            <v>Russia</v>
          </cell>
          <cell r="G1894" t="str">
            <v>Russia Rep.O.</v>
          </cell>
          <cell r="H1894" t="str">
            <v>3001</v>
          </cell>
          <cell r="I1894" t="str">
            <v>俄罗斯</v>
          </cell>
          <cell r="J1894" t="str">
            <v>Russia</v>
          </cell>
          <cell r="K1894" t="str">
            <v>Local employees</v>
          </cell>
          <cell r="L1894" t="str">
            <v>L2</v>
          </cell>
          <cell r="M1894" t="str">
            <v>ALL</v>
          </cell>
          <cell r="N1894" t="str">
            <v>FLPC(含奖金)</v>
          </cell>
          <cell r="O1894" t="str">
            <v>USD/小时</v>
          </cell>
          <cell r="P1894">
            <v>47.39</v>
          </cell>
        </row>
        <row r="1895">
          <cell r="A1895" t="str">
            <v>Russia - Local employees - L3</v>
          </cell>
          <cell r="B1895" t="str">
            <v>Current version</v>
          </cell>
          <cell r="C1895" t="str">
            <v>V2009R2</v>
          </cell>
          <cell r="D1895" t="str">
            <v>Labor Rate</v>
          </cell>
          <cell r="E1895" t="str">
            <v>CIS</v>
          </cell>
          <cell r="F1895" t="str">
            <v>Russia</v>
          </cell>
          <cell r="G1895" t="str">
            <v>Russia Rep.O.</v>
          </cell>
          <cell r="H1895" t="str">
            <v>3001</v>
          </cell>
          <cell r="I1895" t="str">
            <v>俄罗斯</v>
          </cell>
          <cell r="J1895" t="str">
            <v>Russia</v>
          </cell>
          <cell r="K1895" t="str">
            <v>Local employees</v>
          </cell>
          <cell r="L1895" t="str">
            <v>L3</v>
          </cell>
          <cell r="M1895" t="str">
            <v>ALL</v>
          </cell>
          <cell r="N1895" t="str">
            <v>FLPC(含奖金)</v>
          </cell>
          <cell r="O1895" t="str">
            <v>USD/小时</v>
          </cell>
          <cell r="P1895">
            <v>57.27</v>
          </cell>
        </row>
        <row r="1896">
          <cell r="A1896" t="str">
            <v>Russia - Local employees - L4</v>
          </cell>
          <cell r="B1896" t="str">
            <v>Current version</v>
          </cell>
          <cell r="C1896" t="str">
            <v>V2009R2</v>
          </cell>
          <cell r="D1896" t="str">
            <v>Labor Rate</v>
          </cell>
          <cell r="E1896" t="str">
            <v>CIS</v>
          </cell>
          <cell r="F1896" t="str">
            <v>Russia</v>
          </cell>
          <cell r="G1896" t="str">
            <v>Russia Rep.O.</v>
          </cell>
          <cell r="H1896" t="str">
            <v>3001</v>
          </cell>
          <cell r="I1896" t="str">
            <v>俄罗斯</v>
          </cell>
          <cell r="J1896" t="str">
            <v>Russia</v>
          </cell>
          <cell r="K1896" t="str">
            <v>Local employees</v>
          </cell>
          <cell r="L1896" t="str">
            <v>L4</v>
          </cell>
          <cell r="M1896" t="str">
            <v>ALL</v>
          </cell>
          <cell r="N1896" t="str">
            <v>FLPC(含奖金)</v>
          </cell>
          <cell r="O1896" t="str">
            <v>USD/小时</v>
          </cell>
          <cell r="P1896">
            <v>73.87</v>
          </cell>
        </row>
        <row r="1897">
          <cell r="A1897" t="str">
            <v>Ufa - Local employees - L0</v>
          </cell>
          <cell r="B1897" t="str">
            <v>Current version</v>
          </cell>
          <cell r="C1897" t="str">
            <v>V2009R2</v>
          </cell>
          <cell r="D1897" t="str">
            <v>Labor Rate</v>
          </cell>
          <cell r="E1897" t="str">
            <v>CIS</v>
          </cell>
          <cell r="F1897" t="str">
            <v>Russia</v>
          </cell>
          <cell r="G1897" t="str">
            <v>Russia Rep.O.</v>
          </cell>
          <cell r="H1897" t="str">
            <v>3009</v>
          </cell>
          <cell r="I1897" t="str">
            <v>乌法</v>
          </cell>
          <cell r="J1897" t="str">
            <v>Ufa</v>
          </cell>
          <cell r="K1897" t="str">
            <v>Local employees</v>
          </cell>
          <cell r="L1897" t="str">
            <v>L0</v>
          </cell>
          <cell r="M1897" t="str">
            <v>ALL</v>
          </cell>
          <cell r="N1897" t="str">
            <v>FLPC(含奖金)</v>
          </cell>
          <cell r="O1897" t="str">
            <v>USD/小时</v>
          </cell>
          <cell r="P1897">
            <v>30.59</v>
          </cell>
        </row>
        <row r="1898">
          <cell r="A1898" t="str">
            <v>Tonga - Local employees - L2</v>
          </cell>
          <cell r="B1898" t="str">
            <v>Current version</v>
          </cell>
          <cell r="C1898" t="str">
            <v>V2009R2</v>
          </cell>
          <cell r="D1898" t="str">
            <v>Labor Rate</v>
          </cell>
          <cell r="E1898" t="str">
            <v>AP</v>
          </cell>
          <cell r="F1898" t="str">
            <v>Southern Pacific Sub-Regional Division</v>
          </cell>
          <cell r="G1898" t="str">
            <v>Australia Rep.O.</v>
          </cell>
          <cell r="H1898" t="str">
            <v>1218</v>
          </cell>
          <cell r="I1898" t="str">
            <v>汤加</v>
          </cell>
          <cell r="J1898" t="str">
            <v>Tonga</v>
          </cell>
          <cell r="K1898" t="str">
            <v>Local employees</v>
          </cell>
          <cell r="L1898" t="str">
            <v>L2</v>
          </cell>
          <cell r="M1898" t="str">
            <v>ALL</v>
          </cell>
          <cell r="N1898" t="str">
            <v>FLPC(含奖金)</v>
          </cell>
          <cell r="O1898" t="str">
            <v>USD/小时</v>
          </cell>
          <cell r="P1898">
            <v>90.1</v>
          </cell>
        </row>
        <row r="1899">
          <cell r="A1899" t="str">
            <v>Tonga - Local employees - L3</v>
          </cell>
          <cell r="B1899" t="str">
            <v>Current version</v>
          </cell>
          <cell r="C1899" t="str">
            <v>V2009R2</v>
          </cell>
          <cell r="D1899" t="str">
            <v>Labor Rate</v>
          </cell>
          <cell r="E1899" t="str">
            <v>AP</v>
          </cell>
          <cell r="F1899" t="str">
            <v>Southern Pacific Sub-Regional Division</v>
          </cell>
          <cell r="G1899" t="str">
            <v>Australia Rep.O.</v>
          </cell>
          <cell r="H1899" t="str">
            <v>1218</v>
          </cell>
          <cell r="I1899" t="str">
            <v>汤加</v>
          </cell>
          <cell r="J1899" t="str">
            <v>Tonga</v>
          </cell>
          <cell r="K1899" t="str">
            <v>Local employees</v>
          </cell>
          <cell r="L1899" t="str">
            <v>L3</v>
          </cell>
          <cell r="M1899" t="str">
            <v>ALL</v>
          </cell>
          <cell r="N1899" t="str">
            <v>FLPC(含奖金)</v>
          </cell>
          <cell r="O1899" t="str">
            <v>USD/小时</v>
          </cell>
          <cell r="P1899">
            <v>146.30000000000001</v>
          </cell>
        </row>
        <row r="1900">
          <cell r="A1900" t="str">
            <v>Tonga - Local employees - L4</v>
          </cell>
          <cell r="B1900" t="str">
            <v>Current version</v>
          </cell>
          <cell r="C1900" t="str">
            <v>V2009R2</v>
          </cell>
          <cell r="D1900" t="str">
            <v>Labor Rate</v>
          </cell>
          <cell r="E1900" t="str">
            <v>AP</v>
          </cell>
          <cell r="F1900" t="str">
            <v>Southern Pacific Sub-Regional Division</v>
          </cell>
          <cell r="G1900" t="str">
            <v>Australia Rep.O.</v>
          </cell>
          <cell r="H1900" t="str">
            <v>1218</v>
          </cell>
          <cell r="I1900" t="str">
            <v>汤加</v>
          </cell>
          <cell r="J1900" t="str">
            <v>Tonga</v>
          </cell>
          <cell r="K1900" t="str">
            <v>Local employees</v>
          </cell>
          <cell r="L1900" t="str">
            <v>L4</v>
          </cell>
          <cell r="M1900" t="str">
            <v>ALL</v>
          </cell>
          <cell r="N1900" t="str">
            <v>FLPC(含奖金)</v>
          </cell>
          <cell r="O1900" t="str">
            <v>USD/小时</v>
          </cell>
          <cell r="P1900">
            <v>255.95</v>
          </cell>
        </row>
        <row r="1901">
          <cell r="A1901" t="str">
            <v>New Zealand - Local employees - L1</v>
          </cell>
          <cell r="B1901" t="str">
            <v>Current version</v>
          </cell>
          <cell r="C1901" t="str">
            <v>V2009R2</v>
          </cell>
          <cell r="D1901" t="str">
            <v>Labor Rate</v>
          </cell>
          <cell r="E1901" t="str">
            <v>AP</v>
          </cell>
          <cell r="F1901" t="str">
            <v>Southern Pacific Sub-Regional Division</v>
          </cell>
          <cell r="G1901" t="str">
            <v>Australia Rep.O.</v>
          </cell>
          <cell r="H1901" t="str">
            <v>1219</v>
          </cell>
          <cell r="I1901" t="str">
            <v>新西兰</v>
          </cell>
          <cell r="J1901" t="str">
            <v>New Zealand</v>
          </cell>
          <cell r="K1901" t="str">
            <v>Local employees</v>
          </cell>
          <cell r="L1901" t="str">
            <v>L1</v>
          </cell>
          <cell r="M1901" t="str">
            <v>ALL</v>
          </cell>
          <cell r="N1901" t="str">
            <v>FLPC(含奖金)</v>
          </cell>
          <cell r="O1901" t="str">
            <v>USD/小时</v>
          </cell>
          <cell r="P1901">
            <v>53.78</v>
          </cell>
        </row>
        <row r="1902">
          <cell r="A1902" t="str">
            <v>New Zealand - Local employees - L2</v>
          </cell>
          <cell r="B1902" t="str">
            <v>Current version</v>
          </cell>
          <cell r="C1902" t="str">
            <v>V2009R2</v>
          </cell>
          <cell r="D1902" t="str">
            <v>Labor Rate</v>
          </cell>
          <cell r="E1902" t="str">
            <v>AP</v>
          </cell>
          <cell r="F1902" t="str">
            <v>Southern Pacific Sub-Regional Division</v>
          </cell>
          <cell r="G1902" t="str">
            <v>Australia Rep.O.</v>
          </cell>
          <cell r="H1902" t="str">
            <v>1219</v>
          </cell>
          <cell r="I1902" t="str">
            <v>新西兰</v>
          </cell>
          <cell r="J1902" t="str">
            <v>New Zealand</v>
          </cell>
          <cell r="K1902" t="str">
            <v>Local employees</v>
          </cell>
          <cell r="L1902" t="str">
            <v>L2</v>
          </cell>
          <cell r="M1902" t="str">
            <v>ALL</v>
          </cell>
          <cell r="N1902" t="str">
            <v>FLPC(含奖金)</v>
          </cell>
          <cell r="O1902" t="str">
            <v>USD/小时</v>
          </cell>
          <cell r="P1902">
            <v>75.45</v>
          </cell>
        </row>
        <row r="1903">
          <cell r="A1903" t="str">
            <v>New Zealand - Local employees - L3</v>
          </cell>
          <cell r="B1903" t="str">
            <v>Current version</v>
          </cell>
          <cell r="C1903" t="str">
            <v>V2009R2</v>
          </cell>
          <cell r="D1903" t="str">
            <v>Labor Rate</v>
          </cell>
          <cell r="E1903" t="str">
            <v>AP</v>
          </cell>
          <cell r="F1903" t="str">
            <v>Southern Pacific Sub-Regional Division</v>
          </cell>
          <cell r="G1903" t="str">
            <v>Australia Rep.O.</v>
          </cell>
          <cell r="H1903" t="str">
            <v>1219</v>
          </cell>
          <cell r="I1903" t="str">
            <v>新西兰</v>
          </cell>
          <cell r="J1903" t="str">
            <v>New Zealand</v>
          </cell>
          <cell r="K1903" t="str">
            <v>Local employees</v>
          </cell>
          <cell r="L1903" t="str">
            <v>L3</v>
          </cell>
          <cell r="M1903" t="str">
            <v>ALL</v>
          </cell>
          <cell r="N1903" t="str">
            <v>FLPC(含奖金)</v>
          </cell>
          <cell r="O1903" t="str">
            <v>USD/小时</v>
          </cell>
          <cell r="P1903">
            <v>91.59</v>
          </cell>
        </row>
        <row r="1904">
          <cell r="A1904" t="str">
            <v>New Zealand - Local employees - L4</v>
          </cell>
          <cell r="B1904" t="str">
            <v>Current version</v>
          </cell>
          <cell r="C1904" t="str">
            <v>V2009R2</v>
          </cell>
          <cell r="D1904" t="str">
            <v>Labor Rate</v>
          </cell>
          <cell r="E1904" t="str">
            <v>AP</v>
          </cell>
          <cell r="F1904" t="str">
            <v>Southern Pacific Sub-Regional Division</v>
          </cell>
          <cell r="G1904" t="str">
            <v>Australia Rep.O.</v>
          </cell>
          <cell r="H1904" t="str">
            <v>1219</v>
          </cell>
          <cell r="I1904" t="str">
            <v>新西兰</v>
          </cell>
          <cell r="J1904" t="str">
            <v>New Zealand</v>
          </cell>
          <cell r="K1904" t="str">
            <v>Local employees</v>
          </cell>
          <cell r="L1904" t="str">
            <v>L4</v>
          </cell>
          <cell r="M1904" t="str">
            <v>ALL</v>
          </cell>
          <cell r="N1904" t="str">
            <v>FLPC(含奖金)</v>
          </cell>
          <cell r="O1904" t="str">
            <v>USD/小时</v>
          </cell>
          <cell r="P1904">
            <v>132.57</v>
          </cell>
        </row>
        <row r="1905">
          <cell r="A1905" t="str">
            <v>Samoa - Local employees - L1</v>
          </cell>
          <cell r="B1905" t="str">
            <v>Current version</v>
          </cell>
          <cell r="C1905" t="str">
            <v>V2009R2</v>
          </cell>
          <cell r="D1905" t="str">
            <v>Labor Rate</v>
          </cell>
          <cell r="E1905" t="str">
            <v>AP</v>
          </cell>
          <cell r="F1905" t="str">
            <v>Southern Pacific Sub-Regional Division</v>
          </cell>
          <cell r="G1905" t="str">
            <v>Australia Rep.O.</v>
          </cell>
          <cell r="H1905" t="str">
            <v>1220</v>
          </cell>
          <cell r="I1905" t="str">
            <v>萨犘亚群岛</v>
          </cell>
          <cell r="J1905" t="str">
            <v>Samoa</v>
          </cell>
          <cell r="K1905" t="str">
            <v>Local employees</v>
          </cell>
          <cell r="L1905" t="str">
            <v>L1</v>
          </cell>
          <cell r="M1905" t="str">
            <v>ALL</v>
          </cell>
          <cell r="N1905" t="str">
            <v>FLPC(含奖金)</v>
          </cell>
          <cell r="O1905" t="str">
            <v>USD/小时</v>
          </cell>
          <cell r="P1905">
            <v>63.62</v>
          </cell>
        </row>
        <row r="1906">
          <cell r="A1906" t="str">
            <v>Samoa - Local employees - L2</v>
          </cell>
          <cell r="B1906" t="str">
            <v>Current version</v>
          </cell>
          <cell r="C1906" t="str">
            <v>V2009R2</v>
          </cell>
          <cell r="D1906" t="str">
            <v>Labor Rate</v>
          </cell>
          <cell r="E1906" t="str">
            <v>AP</v>
          </cell>
          <cell r="F1906" t="str">
            <v>Southern Pacific Sub-Regional Division</v>
          </cell>
          <cell r="G1906" t="str">
            <v>Australia Rep.O.</v>
          </cell>
          <cell r="H1906" t="str">
            <v>1220</v>
          </cell>
          <cell r="I1906" t="str">
            <v>萨犘亚群岛</v>
          </cell>
          <cell r="J1906" t="str">
            <v>Samoa</v>
          </cell>
          <cell r="K1906" t="str">
            <v>Local employees</v>
          </cell>
          <cell r="L1906" t="str">
            <v>L2</v>
          </cell>
          <cell r="M1906" t="str">
            <v>ALL</v>
          </cell>
          <cell r="N1906" t="str">
            <v>FLPC(含奖金)</v>
          </cell>
          <cell r="O1906" t="str">
            <v>USD/小时</v>
          </cell>
          <cell r="P1906">
            <v>90.1</v>
          </cell>
        </row>
        <row r="1907">
          <cell r="A1907" t="str">
            <v>Samoa - Local employees - L3</v>
          </cell>
          <cell r="B1907" t="str">
            <v>Current version</v>
          </cell>
          <cell r="C1907" t="str">
            <v>V2009R2</v>
          </cell>
          <cell r="D1907" t="str">
            <v>Labor Rate</v>
          </cell>
          <cell r="E1907" t="str">
            <v>AP</v>
          </cell>
          <cell r="F1907" t="str">
            <v>Southern Pacific Sub-Regional Division</v>
          </cell>
          <cell r="G1907" t="str">
            <v>Australia Rep.O.</v>
          </cell>
          <cell r="H1907" t="str">
            <v>1220</v>
          </cell>
          <cell r="I1907" t="str">
            <v>萨犘亚群岛</v>
          </cell>
          <cell r="J1907" t="str">
            <v>Samoa</v>
          </cell>
          <cell r="K1907" t="str">
            <v>Local employees</v>
          </cell>
          <cell r="L1907" t="str">
            <v>L3</v>
          </cell>
          <cell r="M1907" t="str">
            <v>ALL</v>
          </cell>
          <cell r="N1907" t="str">
            <v>FLPC(含奖金)</v>
          </cell>
          <cell r="O1907" t="str">
            <v>USD/小时</v>
          </cell>
          <cell r="P1907">
            <v>146.30000000000001</v>
          </cell>
        </row>
        <row r="1908">
          <cell r="A1908" t="str">
            <v>Samoa - Local employees - L4</v>
          </cell>
          <cell r="B1908" t="str">
            <v>Current version</v>
          </cell>
          <cell r="C1908" t="str">
            <v>V2009R2</v>
          </cell>
          <cell r="D1908" t="str">
            <v>Labor Rate</v>
          </cell>
          <cell r="E1908" t="str">
            <v>AP</v>
          </cell>
          <cell r="F1908" t="str">
            <v>Southern Pacific Sub-Regional Division</v>
          </cell>
          <cell r="G1908" t="str">
            <v>Australia Rep.O.</v>
          </cell>
          <cell r="H1908" t="str">
            <v>1220</v>
          </cell>
          <cell r="I1908" t="str">
            <v>萨犘亚群岛</v>
          </cell>
          <cell r="J1908" t="str">
            <v>Samoa</v>
          </cell>
          <cell r="K1908" t="str">
            <v>Local employees</v>
          </cell>
          <cell r="L1908" t="str">
            <v>L4</v>
          </cell>
          <cell r="M1908" t="str">
            <v>ALL</v>
          </cell>
          <cell r="N1908" t="str">
            <v>FLPC(含奖金)</v>
          </cell>
          <cell r="O1908" t="str">
            <v>USD/小时</v>
          </cell>
          <cell r="P1908">
            <v>132.57</v>
          </cell>
        </row>
        <row r="1909">
          <cell r="A1909" t="str">
            <v>FIJI - Local employees - L1</v>
          </cell>
          <cell r="B1909" t="str">
            <v>Current version</v>
          </cell>
          <cell r="C1909" t="str">
            <v>V2009R2</v>
          </cell>
          <cell r="D1909" t="str">
            <v>Labor Rate</v>
          </cell>
          <cell r="E1909" t="str">
            <v>AP</v>
          </cell>
          <cell r="F1909" t="str">
            <v>Southern Pacific Sub-Regional Division</v>
          </cell>
          <cell r="G1909" t="str">
            <v>Australia Rep.O.</v>
          </cell>
          <cell r="H1909" t="str">
            <v>1224</v>
          </cell>
          <cell r="I1909" t="str">
            <v>斐济</v>
          </cell>
          <cell r="J1909" t="str">
            <v>FIJI</v>
          </cell>
          <cell r="K1909" t="str">
            <v>Local employees</v>
          </cell>
          <cell r="L1909" t="str">
            <v>L1</v>
          </cell>
          <cell r="M1909" t="str">
            <v>ALL</v>
          </cell>
          <cell r="N1909" t="str">
            <v>FLPC(含奖金)</v>
          </cell>
          <cell r="O1909" t="str">
            <v>USD/小时</v>
          </cell>
          <cell r="P1909">
            <v>63.62</v>
          </cell>
        </row>
        <row r="1910">
          <cell r="A1910" t="str">
            <v>FIJI - Local employees - L2</v>
          </cell>
          <cell r="B1910" t="str">
            <v>Current version</v>
          </cell>
          <cell r="C1910" t="str">
            <v>V2009R2</v>
          </cell>
          <cell r="D1910" t="str">
            <v>Labor Rate</v>
          </cell>
          <cell r="E1910" t="str">
            <v>AP</v>
          </cell>
          <cell r="F1910" t="str">
            <v>Southern Pacific Sub-Regional Division</v>
          </cell>
          <cell r="G1910" t="str">
            <v>Australia Rep.O.</v>
          </cell>
          <cell r="H1910" t="str">
            <v>1224</v>
          </cell>
          <cell r="I1910" t="str">
            <v>斐济</v>
          </cell>
          <cell r="J1910" t="str">
            <v>FIJI</v>
          </cell>
          <cell r="K1910" t="str">
            <v>Local employees</v>
          </cell>
          <cell r="L1910" t="str">
            <v>L2</v>
          </cell>
          <cell r="M1910" t="str">
            <v>ALL</v>
          </cell>
          <cell r="N1910" t="str">
            <v>FLPC(含奖金)</v>
          </cell>
          <cell r="O1910" t="str">
            <v>USD/小时</v>
          </cell>
          <cell r="P1910">
            <v>90.1</v>
          </cell>
        </row>
        <row r="1911">
          <cell r="A1911" t="str">
            <v>FIJI - Local employees - L3</v>
          </cell>
          <cell r="B1911" t="str">
            <v>Current version</v>
          </cell>
          <cell r="C1911" t="str">
            <v>V2009R2</v>
          </cell>
          <cell r="D1911" t="str">
            <v>Labor Rate</v>
          </cell>
          <cell r="E1911" t="str">
            <v>AP</v>
          </cell>
          <cell r="F1911" t="str">
            <v>Southern Pacific Sub-Regional Division</v>
          </cell>
          <cell r="G1911" t="str">
            <v>Australia Rep.O.</v>
          </cell>
          <cell r="H1911" t="str">
            <v>1224</v>
          </cell>
          <cell r="I1911" t="str">
            <v>斐济</v>
          </cell>
          <cell r="J1911" t="str">
            <v>FIJI</v>
          </cell>
          <cell r="K1911" t="str">
            <v>Local employees</v>
          </cell>
          <cell r="L1911" t="str">
            <v>L3</v>
          </cell>
          <cell r="M1911" t="str">
            <v>ALL</v>
          </cell>
          <cell r="N1911" t="str">
            <v>FLPC(含奖金)</v>
          </cell>
          <cell r="O1911" t="str">
            <v>USD/小时</v>
          </cell>
          <cell r="P1911">
            <v>146.30000000000001</v>
          </cell>
        </row>
        <row r="1912">
          <cell r="A1912" t="str">
            <v>FIJI - Local employees - L4</v>
          </cell>
          <cell r="B1912" t="str">
            <v>Current version</v>
          </cell>
          <cell r="C1912" t="str">
            <v>V2009R2</v>
          </cell>
          <cell r="D1912" t="str">
            <v>Labor Rate</v>
          </cell>
          <cell r="E1912" t="str">
            <v>AP</v>
          </cell>
          <cell r="F1912" t="str">
            <v>Southern Pacific Sub-Regional Division</v>
          </cell>
          <cell r="G1912" t="str">
            <v>Australia Rep.O.</v>
          </cell>
          <cell r="H1912" t="str">
            <v>1224</v>
          </cell>
          <cell r="I1912" t="str">
            <v>斐济</v>
          </cell>
          <cell r="J1912" t="str">
            <v>FIJI</v>
          </cell>
          <cell r="K1912" t="str">
            <v>Local employees</v>
          </cell>
          <cell r="L1912" t="str">
            <v>L4</v>
          </cell>
          <cell r="M1912" t="str">
            <v>ALL</v>
          </cell>
          <cell r="N1912" t="str">
            <v>FLPC(含奖金)</v>
          </cell>
          <cell r="O1912" t="str">
            <v>USD/小时</v>
          </cell>
          <cell r="P1912">
            <v>132.57</v>
          </cell>
        </row>
        <row r="1913">
          <cell r="A1913" t="str">
            <v>Micronesia - Local employees - L1</v>
          </cell>
          <cell r="B1913" t="str">
            <v>Current version</v>
          </cell>
          <cell r="C1913" t="str">
            <v>V2009R2</v>
          </cell>
          <cell r="D1913" t="str">
            <v>Labor Rate</v>
          </cell>
          <cell r="E1913" t="str">
            <v>AP</v>
          </cell>
          <cell r="F1913" t="str">
            <v>Southern Pacific Sub-Regional Division</v>
          </cell>
          <cell r="G1913" t="str">
            <v>Australia Rep.O.</v>
          </cell>
          <cell r="H1913" t="str">
            <v>1227</v>
          </cell>
          <cell r="I1913" t="str">
            <v>密克罗尼西亚</v>
          </cell>
          <cell r="J1913" t="str">
            <v>Micronesia</v>
          </cell>
          <cell r="K1913" t="str">
            <v>Local employees</v>
          </cell>
          <cell r="L1913" t="str">
            <v>L1</v>
          </cell>
          <cell r="M1913" t="str">
            <v>ALL</v>
          </cell>
          <cell r="N1913" t="str">
            <v>FLPC(含奖金)</v>
          </cell>
          <cell r="O1913" t="str">
            <v>USD/小时</v>
          </cell>
          <cell r="P1913">
            <v>63.62</v>
          </cell>
        </row>
        <row r="1914">
          <cell r="A1914" t="str">
            <v>Micronesia - Local employees - L2</v>
          </cell>
          <cell r="B1914" t="str">
            <v>Current version</v>
          </cell>
          <cell r="C1914" t="str">
            <v>V2009R2</v>
          </cell>
          <cell r="D1914" t="str">
            <v>Labor Rate</v>
          </cell>
          <cell r="E1914" t="str">
            <v>AP</v>
          </cell>
          <cell r="F1914" t="str">
            <v>Southern Pacific Sub-Regional Division</v>
          </cell>
          <cell r="G1914" t="str">
            <v>Australia Rep.O.</v>
          </cell>
          <cell r="H1914" t="str">
            <v>1227</v>
          </cell>
          <cell r="I1914" t="str">
            <v>密克罗尼西亚</v>
          </cell>
          <cell r="J1914" t="str">
            <v>Micronesia</v>
          </cell>
          <cell r="K1914" t="str">
            <v>Local employees</v>
          </cell>
          <cell r="L1914" t="str">
            <v>L2</v>
          </cell>
          <cell r="M1914" t="str">
            <v>ALL</v>
          </cell>
          <cell r="N1914" t="str">
            <v>FLPC(含奖金)</v>
          </cell>
          <cell r="O1914" t="str">
            <v>USD/小时</v>
          </cell>
          <cell r="P1914">
            <v>90.1</v>
          </cell>
        </row>
        <row r="1915">
          <cell r="A1915" t="str">
            <v>Micronesia - Local employees - L3</v>
          </cell>
          <cell r="B1915" t="str">
            <v>Current version</v>
          </cell>
          <cell r="C1915" t="str">
            <v>V2009R2</v>
          </cell>
          <cell r="D1915" t="str">
            <v>Labor Rate</v>
          </cell>
          <cell r="E1915" t="str">
            <v>AP</v>
          </cell>
          <cell r="F1915" t="str">
            <v>Southern Pacific Sub-Regional Division</v>
          </cell>
          <cell r="G1915" t="str">
            <v>Australia Rep.O.</v>
          </cell>
          <cell r="H1915" t="str">
            <v>1227</v>
          </cell>
          <cell r="I1915" t="str">
            <v>密克罗尼西亚</v>
          </cell>
          <cell r="J1915" t="str">
            <v>Micronesia</v>
          </cell>
          <cell r="K1915" t="str">
            <v>Local employees</v>
          </cell>
          <cell r="L1915" t="str">
            <v>L3</v>
          </cell>
          <cell r="M1915" t="str">
            <v>ALL</v>
          </cell>
          <cell r="N1915" t="str">
            <v>FLPC(含奖金)</v>
          </cell>
          <cell r="O1915" t="str">
            <v>USD/小时</v>
          </cell>
          <cell r="P1915">
            <v>146.30000000000001</v>
          </cell>
        </row>
        <row r="1916">
          <cell r="A1916" t="str">
            <v>Micronesia - Local employees - L4</v>
          </cell>
          <cell r="B1916" t="str">
            <v>Current version</v>
          </cell>
          <cell r="C1916" t="str">
            <v>V2009R2</v>
          </cell>
          <cell r="D1916" t="str">
            <v>Labor Rate</v>
          </cell>
          <cell r="E1916" t="str">
            <v>AP</v>
          </cell>
          <cell r="F1916" t="str">
            <v>Southern Pacific Sub-Regional Division</v>
          </cell>
          <cell r="G1916" t="str">
            <v>Australia Rep.O.</v>
          </cell>
          <cell r="H1916" t="str">
            <v>1227</v>
          </cell>
          <cell r="I1916" t="str">
            <v>密克罗尼西亚</v>
          </cell>
          <cell r="J1916" t="str">
            <v>Micronesia</v>
          </cell>
          <cell r="K1916" t="str">
            <v>Local employees</v>
          </cell>
          <cell r="L1916" t="str">
            <v>L4</v>
          </cell>
          <cell r="M1916" t="str">
            <v>ALL</v>
          </cell>
          <cell r="N1916" t="str">
            <v>FLPC(含奖金)</v>
          </cell>
          <cell r="O1916" t="str">
            <v>USD/小时</v>
          </cell>
          <cell r="P1916">
            <v>132.57</v>
          </cell>
        </row>
        <row r="1917">
          <cell r="A1917" t="str">
            <v>Solomon Islands - Local employees - L1</v>
          </cell>
          <cell r="B1917" t="str">
            <v>Current version</v>
          </cell>
          <cell r="C1917" t="str">
            <v>V2009R2</v>
          </cell>
          <cell r="D1917" t="str">
            <v>Labor Rate</v>
          </cell>
          <cell r="E1917" t="str">
            <v>AP</v>
          </cell>
          <cell r="F1917" t="str">
            <v>Southern Pacific Sub-Regional Division</v>
          </cell>
          <cell r="G1917" t="str">
            <v>Australia Rep.O.</v>
          </cell>
          <cell r="H1917" t="str">
            <v>1228</v>
          </cell>
          <cell r="I1917" t="str">
            <v>所罗门群岛</v>
          </cell>
          <cell r="J1917" t="str">
            <v>Solomon Islands</v>
          </cell>
          <cell r="K1917" t="str">
            <v>Local employees</v>
          </cell>
          <cell r="L1917" t="str">
            <v>L1</v>
          </cell>
          <cell r="M1917" t="str">
            <v>ALL</v>
          </cell>
          <cell r="N1917" t="str">
            <v>FLPC(含奖金)</v>
          </cell>
          <cell r="O1917" t="str">
            <v>USD/小时</v>
          </cell>
          <cell r="P1917">
            <v>63.62</v>
          </cell>
        </row>
        <row r="1918">
          <cell r="A1918" t="str">
            <v>Solomon Islands - Local employees - L2</v>
          </cell>
          <cell r="B1918" t="str">
            <v>Current version</v>
          </cell>
          <cell r="C1918" t="str">
            <v>V2009R2</v>
          </cell>
          <cell r="D1918" t="str">
            <v>Labor Rate</v>
          </cell>
          <cell r="E1918" t="str">
            <v>AP</v>
          </cell>
          <cell r="F1918" t="str">
            <v>Southern Pacific Sub-Regional Division</v>
          </cell>
          <cell r="G1918" t="str">
            <v>Australia Rep.O.</v>
          </cell>
          <cell r="H1918" t="str">
            <v>1228</v>
          </cell>
          <cell r="I1918" t="str">
            <v>所罗门群岛</v>
          </cell>
          <cell r="J1918" t="str">
            <v>Solomon Islands</v>
          </cell>
          <cell r="K1918" t="str">
            <v>Local employees</v>
          </cell>
          <cell r="L1918" t="str">
            <v>L2</v>
          </cell>
          <cell r="M1918" t="str">
            <v>ALL</v>
          </cell>
          <cell r="N1918" t="str">
            <v>FLPC(含奖金)</v>
          </cell>
          <cell r="O1918" t="str">
            <v>USD/小时</v>
          </cell>
          <cell r="P1918">
            <v>90.1</v>
          </cell>
        </row>
        <row r="1919">
          <cell r="A1919" t="str">
            <v>Solomon Islands - Local employees - L3</v>
          </cell>
          <cell r="B1919" t="str">
            <v>Current version</v>
          </cell>
          <cell r="C1919" t="str">
            <v>V2009R2</v>
          </cell>
          <cell r="D1919" t="str">
            <v>Labor Rate</v>
          </cell>
          <cell r="E1919" t="str">
            <v>AP</v>
          </cell>
          <cell r="F1919" t="str">
            <v>Southern Pacific Sub-Regional Division</v>
          </cell>
          <cell r="G1919" t="str">
            <v>Australia Rep.O.</v>
          </cell>
          <cell r="H1919" t="str">
            <v>1228</v>
          </cell>
          <cell r="I1919" t="str">
            <v>所罗门群岛</v>
          </cell>
          <cell r="J1919" t="str">
            <v>Solomon Islands</v>
          </cell>
          <cell r="K1919" t="str">
            <v>Local employees</v>
          </cell>
          <cell r="L1919" t="str">
            <v>L3</v>
          </cell>
          <cell r="M1919" t="str">
            <v>ALL</v>
          </cell>
          <cell r="N1919" t="str">
            <v>FLPC(含奖金)</v>
          </cell>
          <cell r="O1919" t="str">
            <v>USD/小时</v>
          </cell>
          <cell r="P1919">
            <v>146.30000000000001</v>
          </cell>
        </row>
        <row r="1920">
          <cell r="A1920" t="str">
            <v>Solomon Islands - Local employees - L4</v>
          </cell>
          <cell r="B1920" t="str">
            <v>Current version</v>
          </cell>
          <cell r="C1920" t="str">
            <v>V2009R2</v>
          </cell>
          <cell r="D1920" t="str">
            <v>Labor Rate</v>
          </cell>
          <cell r="E1920" t="str">
            <v>AP</v>
          </cell>
          <cell r="F1920" t="str">
            <v>Southern Pacific Sub-Regional Division</v>
          </cell>
          <cell r="G1920" t="str">
            <v>Australia Rep.O.</v>
          </cell>
          <cell r="H1920" t="str">
            <v>1228</v>
          </cell>
          <cell r="I1920" t="str">
            <v>所罗门群岛</v>
          </cell>
          <cell r="J1920" t="str">
            <v>Solomon Islands</v>
          </cell>
          <cell r="K1920" t="str">
            <v>Local employees</v>
          </cell>
          <cell r="L1920" t="str">
            <v>L4</v>
          </cell>
          <cell r="M1920" t="str">
            <v>ALL</v>
          </cell>
          <cell r="N1920" t="str">
            <v>FLPC(含奖金)</v>
          </cell>
          <cell r="O1920" t="str">
            <v>USD/小时</v>
          </cell>
          <cell r="P1920">
            <v>132.57</v>
          </cell>
        </row>
        <row r="1921">
          <cell r="A1921" t="str">
            <v>Vanuatu - Local employees - L1</v>
          </cell>
          <cell r="B1921" t="str">
            <v>Current version</v>
          </cell>
          <cell r="C1921" t="str">
            <v>V2009R2</v>
          </cell>
          <cell r="D1921" t="str">
            <v>Labor Rate</v>
          </cell>
          <cell r="E1921" t="str">
            <v>AP</v>
          </cell>
          <cell r="F1921" t="str">
            <v>Southern Pacific Sub-Regional Division</v>
          </cell>
          <cell r="G1921" t="str">
            <v>Australia Rep.O.</v>
          </cell>
          <cell r="H1921" t="str">
            <v>1229</v>
          </cell>
          <cell r="I1921" t="str">
            <v>瓦努阿图</v>
          </cell>
          <cell r="J1921" t="str">
            <v>Vanuatu</v>
          </cell>
          <cell r="K1921" t="str">
            <v>Local employees</v>
          </cell>
          <cell r="L1921" t="str">
            <v>L1</v>
          </cell>
          <cell r="M1921" t="str">
            <v>ALL</v>
          </cell>
          <cell r="N1921" t="str">
            <v>FLPC(含奖金)</v>
          </cell>
          <cell r="O1921" t="str">
            <v>USD/小时</v>
          </cell>
          <cell r="P1921">
            <v>63.62</v>
          </cell>
        </row>
        <row r="1922">
          <cell r="A1922" t="str">
            <v>Vanuatu - Local employees - L2</v>
          </cell>
          <cell r="B1922" t="str">
            <v>Current version</v>
          </cell>
          <cell r="C1922" t="str">
            <v>V2009R2</v>
          </cell>
          <cell r="D1922" t="str">
            <v>Labor Rate</v>
          </cell>
          <cell r="E1922" t="str">
            <v>AP</v>
          </cell>
          <cell r="F1922" t="str">
            <v>Southern Pacific Sub-Regional Division</v>
          </cell>
          <cell r="G1922" t="str">
            <v>Australia Rep.O.</v>
          </cell>
          <cell r="H1922" t="str">
            <v>1229</v>
          </cell>
          <cell r="I1922" t="str">
            <v>瓦努阿图</v>
          </cell>
          <cell r="J1922" t="str">
            <v>Vanuatu</v>
          </cell>
          <cell r="K1922" t="str">
            <v>Local employees</v>
          </cell>
          <cell r="L1922" t="str">
            <v>L2</v>
          </cell>
          <cell r="M1922" t="str">
            <v>ALL</v>
          </cell>
          <cell r="N1922" t="str">
            <v>FLPC(含奖金)</v>
          </cell>
          <cell r="O1922" t="str">
            <v>USD/小时</v>
          </cell>
          <cell r="P1922">
            <v>90.1</v>
          </cell>
        </row>
        <row r="1923">
          <cell r="A1923" t="str">
            <v>Vanuatu - Local employees - L3</v>
          </cell>
          <cell r="B1923" t="str">
            <v>Current version</v>
          </cell>
          <cell r="C1923" t="str">
            <v>V2009R2</v>
          </cell>
          <cell r="D1923" t="str">
            <v>Labor Rate</v>
          </cell>
          <cell r="E1923" t="str">
            <v>AP</v>
          </cell>
          <cell r="F1923" t="str">
            <v>Southern Pacific Sub-Regional Division</v>
          </cell>
          <cell r="G1923" t="str">
            <v>Australia Rep.O.</v>
          </cell>
          <cell r="H1923" t="str">
            <v>1229</v>
          </cell>
          <cell r="I1923" t="str">
            <v>瓦努阿图</v>
          </cell>
          <cell r="J1923" t="str">
            <v>Vanuatu</v>
          </cell>
          <cell r="K1923" t="str">
            <v>Local employees</v>
          </cell>
          <cell r="L1923" t="str">
            <v>L3</v>
          </cell>
          <cell r="M1923" t="str">
            <v>ALL</v>
          </cell>
          <cell r="N1923" t="str">
            <v>FLPC(含奖金)</v>
          </cell>
          <cell r="O1923" t="str">
            <v>USD/小时</v>
          </cell>
          <cell r="P1923">
            <v>146.30000000000001</v>
          </cell>
        </row>
        <row r="1924">
          <cell r="A1924" t="str">
            <v>Vanuatu - Local employees - L4</v>
          </cell>
          <cell r="B1924" t="str">
            <v>Current version</v>
          </cell>
          <cell r="C1924" t="str">
            <v>V2009R2</v>
          </cell>
          <cell r="D1924" t="str">
            <v>Labor Rate</v>
          </cell>
          <cell r="E1924" t="str">
            <v>AP</v>
          </cell>
          <cell r="F1924" t="str">
            <v>Southern Pacific Sub-Regional Division</v>
          </cell>
          <cell r="G1924" t="str">
            <v>Australia Rep.O.</v>
          </cell>
          <cell r="H1924" t="str">
            <v>1229</v>
          </cell>
          <cell r="I1924" t="str">
            <v>瓦努阿图</v>
          </cell>
          <cell r="J1924" t="str">
            <v>Vanuatu</v>
          </cell>
          <cell r="K1924" t="str">
            <v>Local employees</v>
          </cell>
          <cell r="L1924" t="str">
            <v>L4</v>
          </cell>
          <cell r="M1924" t="str">
            <v>ALL</v>
          </cell>
          <cell r="N1924" t="str">
            <v>FLPC(含奖金)</v>
          </cell>
          <cell r="O1924" t="str">
            <v>USD/小时</v>
          </cell>
          <cell r="P1924">
            <v>132.57</v>
          </cell>
        </row>
        <row r="1925">
          <cell r="A1925" t="str">
            <v>New Caledonia - Local employees - L1</v>
          </cell>
          <cell r="B1925" t="str">
            <v>Current version</v>
          </cell>
          <cell r="C1925" t="str">
            <v>V2009R2</v>
          </cell>
          <cell r="D1925" t="str">
            <v>Labor Rate</v>
          </cell>
          <cell r="E1925" t="str">
            <v>AP</v>
          </cell>
          <cell r="F1925" t="str">
            <v>Southern Pacific Sub-Regional Division</v>
          </cell>
          <cell r="G1925" t="str">
            <v>Australia Rep.O.</v>
          </cell>
          <cell r="H1925" t="str">
            <v>1230</v>
          </cell>
          <cell r="I1925" t="str">
            <v>新喀里多尼亚</v>
          </cell>
          <cell r="J1925" t="str">
            <v>New Caledonia</v>
          </cell>
          <cell r="K1925" t="str">
            <v>Local employees</v>
          </cell>
          <cell r="L1925" t="str">
            <v>L1</v>
          </cell>
          <cell r="M1925" t="str">
            <v>ALL</v>
          </cell>
          <cell r="N1925" t="str">
            <v>FLPC(含奖金)</v>
          </cell>
          <cell r="O1925" t="str">
            <v>USD/小时</v>
          </cell>
          <cell r="P1925">
            <v>63.62</v>
          </cell>
        </row>
        <row r="1926">
          <cell r="A1926" t="str">
            <v>New Caledonia - Local employees - L2</v>
          </cell>
          <cell r="B1926" t="str">
            <v>Current version</v>
          </cell>
          <cell r="C1926" t="str">
            <v>V2009R2</v>
          </cell>
          <cell r="D1926" t="str">
            <v>Labor Rate</v>
          </cell>
          <cell r="E1926" t="str">
            <v>AP</v>
          </cell>
          <cell r="F1926" t="str">
            <v>Southern Pacific Sub-Regional Division</v>
          </cell>
          <cell r="G1926" t="str">
            <v>Australia Rep.O.</v>
          </cell>
          <cell r="H1926" t="str">
            <v>1230</v>
          </cell>
          <cell r="I1926" t="str">
            <v>新喀里多尼亚</v>
          </cell>
          <cell r="J1926" t="str">
            <v>New Caledonia</v>
          </cell>
          <cell r="K1926" t="str">
            <v>Local employees</v>
          </cell>
          <cell r="L1926" t="str">
            <v>L2</v>
          </cell>
          <cell r="M1926" t="str">
            <v>ALL</v>
          </cell>
          <cell r="N1926" t="str">
            <v>FLPC(含奖金)</v>
          </cell>
          <cell r="O1926" t="str">
            <v>USD/小时</v>
          </cell>
          <cell r="P1926">
            <v>90.1</v>
          </cell>
        </row>
        <row r="1927">
          <cell r="A1927" t="str">
            <v>New Caledonia - Local employees - L3</v>
          </cell>
          <cell r="B1927" t="str">
            <v>Current version</v>
          </cell>
          <cell r="C1927" t="str">
            <v>V2009R2</v>
          </cell>
          <cell r="D1927" t="str">
            <v>Labor Rate</v>
          </cell>
          <cell r="E1927" t="str">
            <v>AP</v>
          </cell>
          <cell r="F1927" t="str">
            <v>Southern Pacific Sub-Regional Division</v>
          </cell>
          <cell r="G1927" t="str">
            <v>Australia Rep.O.</v>
          </cell>
          <cell r="H1927" t="str">
            <v>1230</v>
          </cell>
          <cell r="I1927" t="str">
            <v>新喀里多尼亚</v>
          </cell>
          <cell r="J1927" t="str">
            <v>New Caledonia</v>
          </cell>
          <cell r="K1927" t="str">
            <v>Local employees</v>
          </cell>
          <cell r="L1927" t="str">
            <v>L3</v>
          </cell>
          <cell r="M1927" t="str">
            <v>ALL</v>
          </cell>
          <cell r="N1927" t="str">
            <v>FLPC(含奖金)</v>
          </cell>
          <cell r="O1927" t="str">
            <v>USD/小时</v>
          </cell>
          <cell r="P1927">
            <v>146.30000000000001</v>
          </cell>
        </row>
        <row r="1928">
          <cell r="A1928" t="str">
            <v>New Caledonia - Local employees - L4</v>
          </cell>
          <cell r="B1928" t="str">
            <v>Current version</v>
          </cell>
          <cell r="C1928" t="str">
            <v>V2009R2</v>
          </cell>
          <cell r="D1928" t="str">
            <v>Labor Rate</v>
          </cell>
          <cell r="E1928" t="str">
            <v>AP</v>
          </cell>
          <cell r="F1928" t="str">
            <v>Southern Pacific Sub-Regional Division</v>
          </cell>
          <cell r="G1928" t="str">
            <v>Australia Rep.O.</v>
          </cell>
          <cell r="H1928" t="str">
            <v>1230</v>
          </cell>
          <cell r="I1928" t="str">
            <v>新喀里多尼亚</v>
          </cell>
          <cell r="J1928" t="str">
            <v>New Caledonia</v>
          </cell>
          <cell r="K1928" t="str">
            <v>Local employees</v>
          </cell>
          <cell r="L1928" t="str">
            <v>L4</v>
          </cell>
          <cell r="M1928" t="str">
            <v>ALL</v>
          </cell>
          <cell r="N1928" t="str">
            <v>FLPC(含奖金)</v>
          </cell>
          <cell r="O1928" t="str">
            <v>USD/小时</v>
          </cell>
          <cell r="P1928">
            <v>132.57</v>
          </cell>
        </row>
        <row r="1929">
          <cell r="A1929" t="str">
            <v>Kiribati - Local employees - L1</v>
          </cell>
          <cell r="B1929" t="str">
            <v>Current version</v>
          </cell>
          <cell r="C1929" t="str">
            <v>V2009R2</v>
          </cell>
          <cell r="D1929" t="str">
            <v>Labor Rate</v>
          </cell>
          <cell r="E1929" t="str">
            <v>AP</v>
          </cell>
          <cell r="F1929" t="str">
            <v>Southern Pacific Sub-Regional Division</v>
          </cell>
          <cell r="G1929" t="str">
            <v>Australia Rep.O.</v>
          </cell>
          <cell r="H1929" t="str">
            <v>1231</v>
          </cell>
          <cell r="I1929" t="str">
            <v>基里巴斯</v>
          </cell>
          <cell r="J1929" t="str">
            <v>Kiribati</v>
          </cell>
          <cell r="K1929" t="str">
            <v>Local employees</v>
          </cell>
          <cell r="L1929" t="str">
            <v>L1</v>
          </cell>
          <cell r="M1929" t="str">
            <v>ALL</v>
          </cell>
          <cell r="N1929" t="str">
            <v>FLPC(含奖金)</v>
          </cell>
          <cell r="O1929" t="str">
            <v>USD/小时</v>
          </cell>
          <cell r="P1929">
            <v>63.62</v>
          </cell>
        </row>
        <row r="1930">
          <cell r="A1930" t="str">
            <v>Kiribati - Local employees - L2</v>
          </cell>
          <cell r="B1930" t="str">
            <v>Current version</v>
          </cell>
          <cell r="C1930" t="str">
            <v>V2009R2</v>
          </cell>
          <cell r="D1930" t="str">
            <v>Labor Rate</v>
          </cell>
          <cell r="E1930" t="str">
            <v>AP</v>
          </cell>
          <cell r="F1930" t="str">
            <v>Southern Pacific Sub-Regional Division</v>
          </cell>
          <cell r="G1930" t="str">
            <v>Australia Rep.O.</v>
          </cell>
          <cell r="H1930" t="str">
            <v>1231</v>
          </cell>
          <cell r="I1930" t="str">
            <v>基里巴斯</v>
          </cell>
          <cell r="J1930" t="str">
            <v>Kiribati</v>
          </cell>
          <cell r="K1930" t="str">
            <v>Local employees</v>
          </cell>
          <cell r="L1930" t="str">
            <v>L2</v>
          </cell>
          <cell r="M1930" t="str">
            <v>ALL</v>
          </cell>
          <cell r="N1930" t="str">
            <v>FLPC(含奖金)</v>
          </cell>
          <cell r="O1930" t="str">
            <v>USD/小时</v>
          </cell>
          <cell r="P1930">
            <v>90.1</v>
          </cell>
        </row>
        <row r="1931">
          <cell r="A1931" t="str">
            <v>Kiribati - Local employees - L3</v>
          </cell>
          <cell r="B1931" t="str">
            <v>Current version</v>
          </cell>
          <cell r="C1931" t="str">
            <v>V2009R2</v>
          </cell>
          <cell r="D1931" t="str">
            <v>Labor Rate</v>
          </cell>
          <cell r="E1931" t="str">
            <v>AP</v>
          </cell>
          <cell r="F1931" t="str">
            <v>Southern Pacific Sub-Regional Division</v>
          </cell>
          <cell r="G1931" t="str">
            <v>Australia Rep.O.</v>
          </cell>
          <cell r="H1931" t="str">
            <v>1231</v>
          </cell>
          <cell r="I1931" t="str">
            <v>基里巴斯</v>
          </cell>
          <cell r="J1931" t="str">
            <v>Kiribati</v>
          </cell>
          <cell r="K1931" t="str">
            <v>Local employees</v>
          </cell>
          <cell r="L1931" t="str">
            <v>L3</v>
          </cell>
          <cell r="M1931" t="str">
            <v>ALL</v>
          </cell>
          <cell r="N1931" t="str">
            <v>FLPC(含奖金)</v>
          </cell>
          <cell r="O1931" t="str">
            <v>USD/小时</v>
          </cell>
          <cell r="P1931">
            <v>146.30000000000001</v>
          </cell>
        </row>
        <row r="1932">
          <cell r="A1932" t="str">
            <v>Kiribati - Local employees - L4</v>
          </cell>
          <cell r="B1932" t="str">
            <v>Current version</v>
          </cell>
          <cell r="C1932" t="str">
            <v>V2009R2</v>
          </cell>
          <cell r="D1932" t="str">
            <v>Labor Rate</v>
          </cell>
          <cell r="E1932" t="str">
            <v>AP</v>
          </cell>
          <cell r="F1932" t="str">
            <v>Southern Pacific Sub-Regional Division</v>
          </cell>
          <cell r="G1932" t="str">
            <v>Australia Rep.O.</v>
          </cell>
          <cell r="H1932" t="str">
            <v>1231</v>
          </cell>
          <cell r="I1932" t="str">
            <v>基里巴斯</v>
          </cell>
          <cell r="J1932" t="str">
            <v>Kiribati</v>
          </cell>
          <cell r="K1932" t="str">
            <v>Local employees</v>
          </cell>
          <cell r="L1932" t="str">
            <v>L4</v>
          </cell>
          <cell r="M1932" t="str">
            <v>ALL</v>
          </cell>
          <cell r="N1932" t="str">
            <v>FLPC(含奖金)</v>
          </cell>
          <cell r="O1932" t="str">
            <v>USD/小时</v>
          </cell>
          <cell r="P1932">
            <v>132.57</v>
          </cell>
        </row>
        <row r="1933">
          <cell r="A1933" t="str">
            <v>Cook Islands - Local employees - L1</v>
          </cell>
          <cell r="B1933" t="str">
            <v>Current version</v>
          </cell>
          <cell r="C1933" t="str">
            <v>V2009R2</v>
          </cell>
          <cell r="D1933" t="str">
            <v>Labor Rate</v>
          </cell>
          <cell r="E1933" t="str">
            <v>AP</v>
          </cell>
          <cell r="F1933" t="str">
            <v>Southern Pacific Sub-Regional Division</v>
          </cell>
          <cell r="G1933" t="str">
            <v>Australia Rep.O.</v>
          </cell>
          <cell r="H1933" t="str">
            <v>1232</v>
          </cell>
          <cell r="I1933" t="str">
            <v>库克群岛</v>
          </cell>
          <cell r="J1933" t="str">
            <v>Cook Islands</v>
          </cell>
          <cell r="K1933" t="str">
            <v>Local employees</v>
          </cell>
          <cell r="L1933" t="str">
            <v>L1</v>
          </cell>
          <cell r="M1933" t="str">
            <v>ALL</v>
          </cell>
          <cell r="N1933" t="str">
            <v>FLPC(含奖金)</v>
          </cell>
          <cell r="O1933" t="str">
            <v>USD/小时</v>
          </cell>
          <cell r="P1933">
            <v>63.62</v>
          </cell>
        </row>
        <row r="1934">
          <cell r="A1934" t="str">
            <v>Cook Islands - Local employees - L2</v>
          </cell>
          <cell r="B1934" t="str">
            <v>Current version</v>
          </cell>
          <cell r="C1934" t="str">
            <v>V2009R2</v>
          </cell>
          <cell r="D1934" t="str">
            <v>Labor Rate</v>
          </cell>
          <cell r="E1934" t="str">
            <v>AP</v>
          </cell>
          <cell r="F1934" t="str">
            <v>Southern Pacific Sub-Regional Division</v>
          </cell>
          <cell r="G1934" t="str">
            <v>Australia Rep.O.</v>
          </cell>
          <cell r="H1934" t="str">
            <v>1232</v>
          </cell>
          <cell r="I1934" t="str">
            <v>库克群岛</v>
          </cell>
          <cell r="J1934" t="str">
            <v>Cook Islands</v>
          </cell>
          <cell r="K1934" t="str">
            <v>Local employees</v>
          </cell>
          <cell r="L1934" t="str">
            <v>L2</v>
          </cell>
          <cell r="M1934" t="str">
            <v>ALL</v>
          </cell>
          <cell r="N1934" t="str">
            <v>FLPC(含奖金)</v>
          </cell>
          <cell r="O1934" t="str">
            <v>USD/小时</v>
          </cell>
          <cell r="P1934">
            <v>90.1</v>
          </cell>
        </row>
        <row r="1935">
          <cell r="A1935" t="str">
            <v>Cook Islands - Local employees - L3</v>
          </cell>
          <cell r="B1935" t="str">
            <v>Current version</v>
          </cell>
          <cell r="C1935" t="str">
            <v>V2009R2</v>
          </cell>
          <cell r="D1935" t="str">
            <v>Labor Rate</v>
          </cell>
          <cell r="E1935" t="str">
            <v>AP</v>
          </cell>
          <cell r="F1935" t="str">
            <v>Southern Pacific Sub-Regional Division</v>
          </cell>
          <cell r="G1935" t="str">
            <v>Australia Rep.O.</v>
          </cell>
          <cell r="H1935" t="str">
            <v>1232</v>
          </cell>
          <cell r="I1935" t="str">
            <v>库克群岛</v>
          </cell>
          <cell r="J1935" t="str">
            <v>Cook Islands</v>
          </cell>
          <cell r="K1935" t="str">
            <v>Local employees</v>
          </cell>
          <cell r="L1935" t="str">
            <v>L3</v>
          </cell>
          <cell r="M1935" t="str">
            <v>ALL</v>
          </cell>
          <cell r="N1935" t="str">
            <v>FLPC(含奖金)</v>
          </cell>
          <cell r="O1935" t="str">
            <v>USD/小时</v>
          </cell>
          <cell r="P1935">
            <v>146.30000000000001</v>
          </cell>
        </row>
        <row r="1936">
          <cell r="A1936" t="str">
            <v>Cook Islands - Local employees - L4</v>
          </cell>
          <cell r="B1936" t="str">
            <v>Current version</v>
          </cell>
          <cell r="C1936" t="str">
            <v>V2009R2</v>
          </cell>
          <cell r="D1936" t="str">
            <v>Labor Rate</v>
          </cell>
          <cell r="E1936" t="str">
            <v>AP</v>
          </cell>
          <cell r="F1936" t="str">
            <v>Southern Pacific Sub-Regional Division</v>
          </cell>
          <cell r="G1936" t="str">
            <v>Australia Rep.O.</v>
          </cell>
          <cell r="H1936" t="str">
            <v>1232</v>
          </cell>
          <cell r="I1936" t="str">
            <v>库克群岛</v>
          </cell>
          <cell r="J1936" t="str">
            <v>Cook Islands</v>
          </cell>
          <cell r="K1936" t="str">
            <v>Local employees</v>
          </cell>
          <cell r="L1936" t="str">
            <v>L4</v>
          </cell>
          <cell r="M1936" t="str">
            <v>ALL</v>
          </cell>
          <cell r="N1936" t="str">
            <v>FLPC(含奖金)</v>
          </cell>
          <cell r="O1936" t="str">
            <v>USD/小时</v>
          </cell>
          <cell r="P1936">
            <v>132.57</v>
          </cell>
        </row>
        <row r="1937">
          <cell r="A1937" t="str">
            <v>Marshall Islands - Local employees - L1</v>
          </cell>
          <cell r="B1937" t="str">
            <v>Current version</v>
          </cell>
          <cell r="C1937" t="str">
            <v>V2009R2</v>
          </cell>
          <cell r="D1937" t="str">
            <v>Labor Rate</v>
          </cell>
          <cell r="E1937" t="str">
            <v>AP</v>
          </cell>
          <cell r="F1937" t="str">
            <v>Southern Pacific Sub-Regional Division</v>
          </cell>
          <cell r="G1937" t="str">
            <v>Australia Rep.O.</v>
          </cell>
          <cell r="H1937" t="str">
            <v>1233</v>
          </cell>
          <cell r="I1937" t="str">
            <v>马绍尔群岛</v>
          </cell>
          <cell r="J1937" t="str">
            <v>Marshall Islands</v>
          </cell>
          <cell r="K1937" t="str">
            <v>Local employees</v>
          </cell>
          <cell r="L1937" t="str">
            <v>L1</v>
          </cell>
          <cell r="M1937" t="str">
            <v>ALL</v>
          </cell>
          <cell r="N1937" t="str">
            <v>FLPC(含奖金)</v>
          </cell>
          <cell r="O1937" t="str">
            <v>USD/小时</v>
          </cell>
          <cell r="P1937">
            <v>63.62</v>
          </cell>
        </row>
        <row r="1938">
          <cell r="A1938" t="str">
            <v>Marshall Islands - Local employees - L2</v>
          </cell>
          <cell r="B1938" t="str">
            <v>Current version</v>
          </cell>
          <cell r="C1938" t="str">
            <v>V2009R2</v>
          </cell>
          <cell r="D1938" t="str">
            <v>Labor Rate</v>
          </cell>
          <cell r="E1938" t="str">
            <v>AP</v>
          </cell>
          <cell r="F1938" t="str">
            <v>Southern Pacific Sub-Regional Division</v>
          </cell>
          <cell r="G1938" t="str">
            <v>Australia Rep.O.</v>
          </cell>
          <cell r="H1938" t="str">
            <v>1233</v>
          </cell>
          <cell r="I1938" t="str">
            <v>马绍尔群岛</v>
          </cell>
          <cell r="J1938" t="str">
            <v>Marshall Islands</v>
          </cell>
          <cell r="K1938" t="str">
            <v>Local employees</v>
          </cell>
          <cell r="L1938" t="str">
            <v>L2</v>
          </cell>
          <cell r="M1938" t="str">
            <v>ALL</v>
          </cell>
          <cell r="N1938" t="str">
            <v>FLPC(含奖金)</v>
          </cell>
          <cell r="O1938" t="str">
            <v>USD/小时</v>
          </cell>
          <cell r="P1938">
            <v>90.1</v>
          </cell>
        </row>
        <row r="1939">
          <cell r="A1939" t="str">
            <v>Marshall Islands - Local employees - L3</v>
          </cell>
          <cell r="B1939" t="str">
            <v>Current version</v>
          </cell>
          <cell r="C1939" t="str">
            <v>V2009R2</v>
          </cell>
          <cell r="D1939" t="str">
            <v>Labor Rate</v>
          </cell>
          <cell r="E1939" t="str">
            <v>AP</v>
          </cell>
          <cell r="F1939" t="str">
            <v>Southern Pacific Sub-Regional Division</v>
          </cell>
          <cell r="G1939" t="str">
            <v>Australia Rep.O.</v>
          </cell>
          <cell r="H1939" t="str">
            <v>1233</v>
          </cell>
          <cell r="I1939" t="str">
            <v>马绍尔群岛</v>
          </cell>
          <cell r="J1939" t="str">
            <v>Marshall Islands</v>
          </cell>
          <cell r="K1939" t="str">
            <v>Local employees</v>
          </cell>
          <cell r="L1939" t="str">
            <v>L3</v>
          </cell>
          <cell r="M1939" t="str">
            <v>ALL</v>
          </cell>
          <cell r="N1939" t="str">
            <v>FLPC(含奖金)</v>
          </cell>
          <cell r="O1939" t="str">
            <v>USD/小时</v>
          </cell>
          <cell r="P1939">
            <v>146.30000000000001</v>
          </cell>
        </row>
        <row r="1940">
          <cell r="A1940" t="str">
            <v>Ufa - Local employees - L1</v>
          </cell>
          <cell r="B1940" t="str">
            <v>Current version</v>
          </cell>
          <cell r="C1940" t="str">
            <v>V2009R2</v>
          </cell>
          <cell r="D1940" t="str">
            <v>Labor Rate</v>
          </cell>
          <cell r="E1940" t="str">
            <v>CIS</v>
          </cell>
          <cell r="F1940" t="str">
            <v>Russia</v>
          </cell>
          <cell r="G1940" t="str">
            <v>Russia Rep.O.</v>
          </cell>
          <cell r="H1940" t="str">
            <v>3009</v>
          </cell>
          <cell r="I1940" t="str">
            <v>乌法</v>
          </cell>
          <cell r="J1940" t="str">
            <v>Ufa</v>
          </cell>
          <cell r="K1940" t="str">
            <v>Local employees</v>
          </cell>
          <cell r="L1940" t="str">
            <v>L1</v>
          </cell>
          <cell r="M1940" t="str">
            <v>ALL</v>
          </cell>
          <cell r="N1940" t="str">
            <v>FLPC(含奖金)</v>
          </cell>
          <cell r="O1940" t="str">
            <v>USD/小时</v>
          </cell>
          <cell r="P1940">
            <v>36.72</v>
          </cell>
        </row>
        <row r="1941">
          <cell r="A1941" t="str">
            <v>Ufa - Local employees - L2</v>
          </cell>
          <cell r="B1941" t="str">
            <v>Current version</v>
          </cell>
          <cell r="C1941" t="str">
            <v>V2009R2</v>
          </cell>
          <cell r="D1941" t="str">
            <v>Labor Rate</v>
          </cell>
          <cell r="E1941" t="str">
            <v>CIS</v>
          </cell>
          <cell r="F1941" t="str">
            <v>Russia</v>
          </cell>
          <cell r="G1941" t="str">
            <v>Russia Rep.O.</v>
          </cell>
          <cell r="H1941" t="str">
            <v>3009</v>
          </cell>
          <cell r="I1941" t="str">
            <v>乌法</v>
          </cell>
          <cell r="J1941" t="str">
            <v>Ufa</v>
          </cell>
          <cell r="K1941" t="str">
            <v>Local employees</v>
          </cell>
          <cell r="L1941" t="str">
            <v>L2</v>
          </cell>
          <cell r="M1941" t="str">
            <v>ALL</v>
          </cell>
          <cell r="N1941" t="str">
            <v>FLPC(含奖金)</v>
          </cell>
          <cell r="O1941" t="str">
            <v>USD/小时</v>
          </cell>
          <cell r="P1941">
            <v>47.39</v>
          </cell>
        </row>
        <row r="1942">
          <cell r="A1942" t="str">
            <v>Ufa - Local employees - L3</v>
          </cell>
          <cell r="B1942" t="str">
            <v>Current version</v>
          </cell>
          <cell r="C1942" t="str">
            <v>V2009R2</v>
          </cell>
          <cell r="D1942" t="str">
            <v>Labor Rate</v>
          </cell>
          <cell r="E1942" t="str">
            <v>CIS</v>
          </cell>
          <cell r="F1942" t="str">
            <v>Russia</v>
          </cell>
          <cell r="G1942" t="str">
            <v>Russia Rep.O.</v>
          </cell>
          <cell r="H1942" t="str">
            <v>3009</v>
          </cell>
          <cell r="I1942" t="str">
            <v>乌法</v>
          </cell>
          <cell r="J1942" t="str">
            <v>Ufa</v>
          </cell>
          <cell r="K1942" t="str">
            <v>Local employees</v>
          </cell>
          <cell r="L1942" t="str">
            <v>L3</v>
          </cell>
          <cell r="M1942" t="str">
            <v>ALL</v>
          </cell>
          <cell r="N1942" t="str">
            <v>FLPC(含奖金)</v>
          </cell>
          <cell r="O1942" t="str">
            <v>USD/小时</v>
          </cell>
          <cell r="P1942">
            <v>57.27</v>
          </cell>
        </row>
        <row r="1943">
          <cell r="A1943" t="str">
            <v>Ufa - Local employees - L4</v>
          </cell>
          <cell r="B1943" t="str">
            <v>Current version</v>
          </cell>
          <cell r="C1943" t="str">
            <v>V2009R2</v>
          </cell>
          <cell r="D1943" t="str">
            <v>Labor Rate</v>
          </cell>
          <cell r="E1943" t="str">
            <v>CIS</v>
          </cell>
          <cell r="F1943" t="str">
            <v>Russia</v>
          </cell>
          <cell r="G1943" t="str">
            <v>Russia Rep.O.</v>
          </cell>
          <cell r="H1943" t="str">
            <v>3009</v>
          </cell>
          <cell r="I1943" t="str">
            <v>乌法</v>
          </cell>
          <cell r="J1943" t="str">
            <v>Ufa</v>
          </cell>
          <cell r="K1943" t="str">
            <v>Local employees</v>
          </cell>
          <cell r="L1943" t="str">
            <v>L4</v>
          </cell>
          <cell r="M1943" t="str">
            <v>ALL</v>
          </cell>
          <cell r="N1943" t="str">
            <v>FLPC(含奖金)</v>
          </cell>
          <cell r="O1943" t="str">
            <v>USD/小时</v>
          </cell>
          <cell r="P1943">
            <v>73.87</v>
          </cell>
        </row>
        <row r="1944">
          <cell r="A1944" t="str">
            <v>Moscow - Local employees - L0</v>
          </cell>
          <cell r="B1944" t="str">
            <v>Current version</v>
          </cell>
          <cell r="C1944" t="str">
            <v>V2009R2</v>
          </cell>
          <cell r="D1944" t="str">
            <v>Labor Rate</v>
          </cell>
          <cell r="E1944" t="str">
            <v>CIS</v>
          </cell>
          <cell r="F1944" t="str">
            <v>Russia</v>
          </cell>
          <cell r="G1944" t="str">
            <v>Russia Rep.O.</v>
          </cell>
          <cell r="H1944" t="str">
            <v>3010</v>
          </cell>
          <cell r="I1944" t="str">
            <v>莫斯科</v>
          </cell>
          <cell r="J1944" t="str">
            <v>Moscow</v>
          </cell>
          <cell r="K1944" t="str">
            <v>Local employees</v>
          </cell>
          <cell r="L1944" t="str">
            <v>L0</v>
          </cell>
          <cell r="M1944" t="str">
            <v>ALL</v>
          </cell>
          <cell r="N1944" t="str">
            <v>FLPC(含奖金)</v>
          </cell>
          <cell r="O1944" t="str">
            <v>USD/小时</v>
          </cell>
          <cell r="P1944">
            <v>30.59</v>
          </cell>
        </row>
        <row r="1945">
          <cell r="A1945" t="str">
            <v>Moscow - Local employees - L1</v>
          </cell>
          <cell r="B1945" t="str">
            <v>Current version</v>
          </cell>
          <cell r="C1945" t="str">
            <v>V2009R2</v>
          </cell>
          <cell r="D1945" t="str">
            <v>Labor Rate</v>
          </cell>
          <cell r="E1945" t="str">
            <v>CIS</v>
          </cell>
          <cell r="F1945" t="str">
            <v>Russia</v>
          </cell>
          <cell r="G1945" t="str">
            <v>Russia Rep.O.</v>
          </cell>
          <cell r="H1945" t="str">
            <v>3010</v>
          </cell>
          <cell r="I1945" t="str">
            <v>莫斯科</v>
          </cell>
          <cell r="J1945" t="str">
            <v>Moscow</v>
          </cell>
          <cell r="K1945" t="str">
            <v>Local employees</v>
          </cell>
          <cell r="L1945" t="str">
            <v>L1</v>
          </cell>
          <cell r="M1945" t="str">
            <v>ALL</v>
          </cell>
          <cell r="N1945" t="str">
            <v>FLPC(含奖金)</v>
          </cell>
          <cell r="O1945" t="str">
            <v>USD/小时</v>
          </cell>
          <cell r="P1945">
            <v>36.72</v>
          </cell>
        </row>
        <row r="1946">
          <cell r="A1946" t="str">
            <v>Moscow - Local employees - L2</v>
          </cell>
          <cell r="B1946" t="str">
            <v>Current version</v>
          </cell>
          <cell r="C1946" t="str">
            <v>V2009R2</v>
          </cell>
          <cell r="D1946" t="str">
            <v>Labor Rate</v>
          </cell>
          <cell r="E1946" t="str">
            <v>CIS</v>
          </cell>
          <cell r="F1946" t="str">
            <v>Russia</v>
          </cell>
          <cell r="G1946" t="str">
            <v>Russia Rep.O.</v>
          </cell>
          <cell r="H1946" t="str">
            <v>3010</v>
          </cell>
          <cell r="I1946" t="str">
            <v>莫斯科</v>
          </cell>
          <cell r="J1946" t="str">
            <v>Moscow</v>
          </cell>
          <cell r="K1946" t="str">
            <v>Local employees</v>
          </cell>
          <cell r="L1946" t="str">
            <v>L2</v>
          </cell>
          <cell r="M1946" t="str">
            <v>ALL</v>
          </cell>
          <cell r="N1946" t="str">
            <v>FLPC(含奖金)</v>
          </cell>
          <cell r="O1946" t="str">
            <v>USD/小时</v>
          </cell>
          <cell r="P1946">
            <v>47.39</v>
          </cell>
        </row>
        <row r="1947">
          <cell r="A1947" t="str">
            <v>Moscow - Local employees - L3</v>
          </cell>
          <cell r="B1947" t="str">
            <v>Current version</v>
          </cell>
          <cell r="C1947" t="str">
            <v>V2009R2</v>
          </cell>
          <cell r="D1947" t="str">
            <v>Labor Rate</v>
          </cell>
          <cell r="E1947" t="str">
            <v>CIS</v>
          </cell>
          <cell r="F1947" t="str">
            <v>Russia</v>
          </cell>
          <cell r="G1947" t="str">
            <v>Russia Rep.O.</v>
          </cell>
          <cell r="H1947" t="str">
            <v>3010</v>
          </cell>
          <cell r="I1947" t="str">
            <v>莫斯科</v>
          </cell>
          <cell r="J1947" t="str">
            <v>Moscow</v>
          </cell>
          <cell r="K1947" t="str">
            <v>Local employees</v>
          </cell>
          <cell r="L1947" t="str">
            <v>L3</v>
          </cell>
          <cell r="M1947" t="str">
            <v>ALL</v>
          </cell>
          <cell r="N1947" t="str">
            <v>FLPC(含奖金)</v>
          </cell>
          <cell r="O1947" t="str">
            <v>USD/小时</v>
          </cell>
          <cell r="P1947">
            <v>57.27</v>
          </cell>
        </row>
        <row r="1948">
          <cell r="A1948" t="str">
            <v>Moscow - Local employees - L4</v>
          </cell>
          <cell r="B1948" t="str">
            <v>Current version</v>
          </cell>
          <cell r="C1948" t="str">
            <v>V2009R2</v>
          </cell>
          <cell r="D1948" t="str">
            <v>Labor Rate</v>
          </cell>
          <cell r="E1948" t="str">
            <v>CIS</v>
          </cell>
          <cell r="F1948" t="str">
            <v>Russia</v>
          </cell>
          <cell r="G1948" t="str">
            <v>Russia Rep.O.</v>
          </cell>
          <cell r="H1948" t="str">
            <v>3010</v>
          </cell>
          <cell r="I1948" t="str">
            <v>莫斯科</v>
          </cell>
          <cell r="J1948" t="str">
            <v>Moscow</v>
          </cell>
          <cell r="K1948" t="str">
            <v>Local employees</v>
          </cell>
          <cell r="L1948" t="str">
            <v>L4</v>
          </cell>
          <cell r="M1948" t="str">
            <v>ALL</v>
          </cell>
          <cell r="N1948" t="str">
            <v>FLPC(含奖金)</v>
          </cell>
          <cell r="O1948" t="str">
            <v>USD/小时</v>
          </cell>
          <cell r="P1948">
            <v>73.87</v>
          </cell>
        </row>
        <row r="1949">
          <cell r="A1949" t="str">
            <v>St. Petersburg - Local employees - L0</v>
          </cell>
          <cell r="B1949" t="str">
            <v>Current version</v>
          </cell>
          <cell r="C1949" t="str">
            <v>V2009R2</v>
          </cell>
          <cell r="D1949" t="str">
            <v>Labor Rate</v>
          </cell>
          <cell r="E1949" t="str">
            <v>CIS</v>
          </cell>
          <cell r="F1949" t="str">
            <v>Russia</v>
          </cell>
          <cell r="G1949" t="str">
            <v>Russia Rep.O.</v>
          </cell>
          <cell r="H1949" t="str">
            <v>3011</v>
          </cell>
          <cell r="I1949" t="str">
            <v>圣彼得堡</v>
          </cell>
          <cell r="J1949" t="str">
            <v>St. Petersburg</v>
          </cell>
          <cell r="K1949" t="str">
            <v>Local employees</v>
          </cell>
          <cell r="L1949" t="str">
            <v>L0</v>
          </cell>
          <cell r="M1949" t="str">
            <v>ALL</v>
          </cell>
          <cell r="N1949" t="str">
            <v>FLPC(含奖金)</v>
          </cell>
          <cell r="O1949" t="str">
            <v>USD/小时</v>
          </cell>
          <cell r="P1949">
            <v>30.59</v>
          </cell>
        </row>
        <row r="1950">
          <cell r="A1950" t="str">
            <v>St. Petersburg - Local employees - L1</v>
          </cell>
          <cell r="B1950" t="str">
            <v>Current version</v>
          </cell>
          <cell r="C1950" t="str">
            <v>V2009R2</v>
          </cell>
          <cell r="D1950" t="str">
            <v>Labor Rate</v>
          </cell>
          <cell r="E1950" t="str">
            <v>CIS</v>
          </cell>
          <cell r="F1950" t="str">
            <v>Russia</v>
          </cell>
          <cell r="G1950" t="str">
            <v>Russia Rep.O.</v>
          </cell>
          <cell r="H1950" t="str">
            <v>3011</v>
          </cell>
          <cell r="I1950" t="str">
            <v>圣彼得堡</v>
          </cell>
          <cell r="J1950" t="str">
            <v>St. Petersburg</v>
          </cell>
          <cell r="K1950" t="str">
            <v>Local employees</v>
          </cell>
          <cell r="L1950" t="str">
            <v>L1</v>
          </cell>
          <cell r="M1950" t="str">
            <v>ALL</v>
          </cell>
          <cell r="N1950" t="str">
            <v>FLPC(含奖金)</v>
          </cell>
          <cell r="O1950" t="str">
            <v>USD/小时</v>
          </cell>
          <cell r="P1950">
            <v>36.72</v>
          </cell>
        </row>
        <row r="1951">
          <cell r="A1951" t="str">
            <v>St. Petersburg - Local employees - L2</v>
          </cell>
          <cell r="B1951" t="str">
            <v>Current version</v>
          </cell>
          <cell r="C1951" t="str">
            <v>V2009R2</v>
          </cell>
          <cell r="D1951" t="str">
            <v>Labor Rate</v>
          </cell>
          <cell r="E1951" t="str">
            <v>CIS</v>
          </cell>
          <cell r="F1951" t="str">
            <v>Russia</v>
          </cell>
          <cell r="G1951" t="str">
            <v>Russia Rep.O.</v>
          </cell>
          <cell r="H1951" t="str">
            <v>3011</v>
          </cell>
          <cell r="I1951" t="str">
            <v>圣彼得堡</v>
          </cell>
          <cell r="J1951" t="str">
            <v>St. Petersburg</v>
          </cell>
          <cell r="K1951" t="str">
            <v>Local employees</v>
          </cell>
          <cell r="L1951" t="str">
            <v>L2</v>
          </cell>
          <cell r="M1951" t="str">
            <v>ALL</v>
          </cell>
          <cell r="N1951" t="str">
            <v>FLPC(含奖金)</v>
          </cell>
          <cell r="O1951" t="str">
            <v>USD/小时</v>
          </cell>
          <cell r="P1951">
            <v>47.39</v>
          </cell>
        </row>
        <row r="1952">
          <cell r="A1952" t="str">
            <v>St. Petersburg - Local employees - L3</v>
          </cell>
          <cell r="B1952" t="str">
            <v>Current version</v>
          </cell>
          <cell r="C1952" t="str">
            <v>V2009R2</v>
          </cell>
          <cell r="D1952" t="str">
            <v>Labor Rate</v>
          </cell>
          <cell r="E1952" t="str">
            <v>CIS</v>
          </cell>
          <cell r="F1952" t="str">
            <v>Russia</v>
          </cell>
          <cell r="G1952" t="str">
            <v>Russia Rep.O.</v>
          </cell>
          <cell r="H1952" t="str">
            <v>3011</v>
          </cell>
          <cell r="I1952" t="str">
            <v>圣彼得堡</v>
          </cell>
          <cell r="J1952" t="str">
            <v>St. Petersburg</v>
          </cell>
          <cell r="K1952" t="str">
            <v>Local employees</v>
          </cell>
          <cell r="L1952" t="str">
            <v>L3</v>
          </cell>
          <cell r="M1952" t="str">
            <v>ALL</v>
          </cell>
          <cell r="N1952" t="str">
            <v>FLPC(含奖金)</v>
          </cell>
          <cell r="O1952" t="str">
            <v>USD/小时</v>
          </cell>
          <cell r="P1952">
            <v>57.27</v>
          </cell>
        </row>
        <row r="1953">
          <cell r="A1953" t="str">
            <v>St. Petersburg - Local employees - L4</v>
          </cell>
          <cell r="B1953" t="str">
            <v>Current version</v>
          </cell>
          <cell r="C1953" t="str">
            <v>V2009R2</v>
          </cell>
          <cell r="D1953" t="str">
            <v>Labor Rate</v>
          </cell>
          <cell r="E1953" t="str">
            <v>CIS</v>
          </cell>
          <cell r="F1953" t="str">
            <v>Russia</v>
          </cell>
          <cell r="G1953" t="str">
            <v>Russia Rep.O.</v>
          </cell>
          <cell r="H1953" t="str">
            <v>3011</v>
          </cell>
          <cell r="I1953" t="str">
            <v>圣彼得堡</v>
          </cell>
          <cell r="J1953" t="str">
            <v>St. Petersburg</v>
          </cell>
          <cell r="K1953" t="str">
            <v>Local employees</v>
          </cell>
          <cell r="L1953" t="str">
            <v>L4</v>
          </cell>
          <cell r="M1953" t="str">
            <v>ALL</v>
          </cell>
          <cell r="N1953" t="str">
            <v>FLPC(含奖金)</v>
          </cell>
          <cell r="O1953" t="str">
            <v>USD/小时</v>
          </cell>
          <cell r="P1953">
            <v>73.87</v>
          </cell>
        </row>
        <row r="1954">
          <cell r="A1954" t="str">
            <v>Perm - Local employees - L0</v>
          </cell>
          <cell r="B1954" t="str">
            <v>Current version</v>
          </cell>
          <cell r="C1954" t="str">
            <v>V2009R2</v>
          </cell>
          <cell r="D1954" t="str">
            <v>Labor Rate</v>
          </cell>
          <cell r="E1954" t="str">
            <v>CIS</v>
          </cell>
          <cell r="F1954" t="str">
            <v>Russia</v>
          </cell>
          <cell r="G1954" t="str">
            <v>Russia Rep.O.</v>
          </cell>
          <cell r="H1954" t="str">
            <v>3012</v>
          </cell>
          <cell r="I1954" t="str">
            <v>别尔姆</v>
          </cell>
          <cell r="J1954" t="str">
            <v>Perm</v>
          </cell>
          <cell r="K1954" t="str">
            <v>Local employees</v>
          </cell>
          <cell r="L1954" t="str">
            <v>L0</v>
          </cell>
          <cell r="M1954" t="str">
            <v>ALL</v>
          </cell>
          <cell r="N1954" t="str">
            <v>FLPC(含奖金)</v>
          </cell>
          <cell r="O1954" t="str">
            <v>USD/小时</v>
          </cell>
          <cell r="P1954">
            <v>30.59</v>
          </cell>
        </row>
        <row r="1955">
          <cell r="A1955" t="str">
            <v>Perm - Local employees - L1</v>
          </cell>
          <cell r="B1955" t="str">
            <v>Current version</v>
          </cell>
          <cell r="C1955" t="str">
            <v>V2009R2</v>
          </cell>
          <cell r="D1955" t="str">
            <v>Labor Rate</v>
          </cell>
          <cell r="E1955" t="str">
            <v>CIS</v>
          </cell>
          <cell r="F1955" t="str">
            <v>Russia</v>
          </cell>
          <cell r="G1955" t="str">
            <v>Russia Rep.O.</v>
          </cell>
          <cell r="H1955" t="str">
            <v>3012</v>
          </cell>
          <cell r="I1955" t="str">
            <v>别尔姆</v>
          </cell>
          <cell r="J1955" t="str">
            <v>Perm</v>
          </cell>
          <cell r="K1955" t="str">
            <v>Local employees</v>
          </cell>
          <cell r="L1955" t="str">
            <v>L1</v>
          </cell>
          <cell r="M1955" t="str">
            <v>ALL</v>
          </cell>
          <cell r="N1955" t="str">
            <v>FLPC(含奖金)</v>
          </cell>
          <cell r="O1955" t="str">
            <v>USD/小时</v>
          </cell>
          <cell r="P1955">
            <v>36.72</v>
          </cell>
        </row>
        <row r="1956">
          <cell r="A1956" t="str">
            <v>Perm - Local employees - L2</v>
          </cell>
          <cell r="B1956" t="str">
            <v>Current version</v>
          </cell>
          <cell r="C1956" t="str">
            <v>V2009R2</v>
          </cell>
          <cell r="D1956" t="str">
            <v>Labor Rate</v>
          </cell>
          <cell r="E1956" t="str">
            <v>CIS</v>
          </cell>
          <cell r="F1956" t="str">
            <v>Russia</v>
          </cell>
          <cell r="G1956" t="str">
            <v>Russia Rep.O.</v>
          </cell>
          <cell r="H1956" t="str">
            <v>3012</v>
          </cell>
          <cell r="I1956" t="str">
            <v>别尔姆</v>
          </cell>
          <cell r="J1956" t="str">
            <v>Perm</v>
          </cell>
          <cell r="K1956" t="str">
            <v>Local employees</v>
          </cell>
          <cell r="L1956" t="str">
            <v>L2</v>
          </cell>
          <cell r="M1956" t="str">
            <v>ALL</v>
          </cell>
          <cell r="N1956" t="str">
            <v>FLPC(含奖金)</v>
          </cell>
          <cell r="O1956" t="str">
            <v>USD/小时</v>
          </cell>
          <cell r="P1956">
            <v>47.39</v>
          </cell>
        </row>
        <row r="1957">
          <cell r="A1957" t="str">
            <v>Perm - Local employees - L3</v>
          </cell>
          <cell r="B1957" t="str">
            <v>Current version</v>
          </cell>
          <cell r="C1957" t="str">
            <v>V2009R2</v>
          </cell>
          <cell r="D1957" t="str">
            <v>Labor Rate</v>
          </cell>
          <cell r="E1957" t="str">
            <v>CIS</v>
          </cell>
          <cell r="F1957" t="str">
            <v>Russia</v>
          </cell>
          <cell r="G1957" t="str">
            <v>Russia Rep.O.</v>
          </cell>
          <cell r="H1957" t="str">
            <v>3012</v>
          </cell>
          <cell r="I1957" t="str">
            <v>别尔姆</v>
          </cell>
          <cell r="J1957" t="str">
            <v>Perm</v>
          </cell>
          <cell r="K1957" t="str">
            <v>Local employees</v>
          </cell>
          <cell r="L1957" t="str">
            <v>L3</v>
          </cell>
          <cell r="M1957" t="str">
            <v>ALL</v>
          </cell>
          <cell r="N1957" t="str">
            <v>FLPC(含奖金)</v>
          </cell>
          <cell r="O1957" t="str">
            <v>USD/小时</v>
          </cell>
          <cell r="P1957">
            <v>57.27</v>
          </cell>
        </row>
        <row r="1958">
          <cell r="A1958" t="str">
            <v>Perm - Local employees - L4</v>
          </cell>
          <cell r="B1958" t="str">
            <v>Current version</v>
          </cell>
          <cell r="C1958" t="str">
            <v>V2009R2</v>
          </cell>
          <cell r="D1958" t="str">
            <v>Labor Rate</v>
          </cell>
          <cell r="E1958" t="str">
            <v>CIS</v>
          </cell>
          <cell r="F1958" t="str">
            <v>Russia</v>
          </cell>
          <cell r="G1958" t="str">
            <v>Russia Rep.O.</v>
          </cell>
          <cell r="H1958" t="str">
            <v>3012</v>
          </cell>
          <cell r="I1958" t="str">
            <v>别尔姆</v>
          </cell>
          <cell r="J1958" t="str">
            <v>Perm</v>
          </cell>
          <cell r="K1958" t="str">
            <v>Local employees</v>
          </cell>
          <cell r="L1958" t="str">
            <v>L4</v>
          </cell>
          <cell r="M1958" t="str">
            <v>ALL</v>
          </cell>
          <cell r="N1958" t="str">
            <v>FLPC(含奖金)</v>
          </cell>
          <cell r="O1958" t="str">
            <v>USD/小时</v>
          </cell>
          <cell r="P1958">
            <v>73.87</v>
          </cell>
        </row>
        <row r="1959">
          <cell r="A1959" t="str">
            <v>Rostov - Local employees - L0</v>
          </cell>
          <cell r="B1959" t="str">
            <v>Current version</v>
          </cell>
          <cell r="C1959" t="str">
            <v>V2009R2</v>
          </cell>
          <cell r="D1959" t="str">
            <v>Labor Rate</v>
          </cell>
          <cell r="E1959" t="str">
            <v>CIS</v>
          </cell>
          <cell r="F1959" t="str">
            <v>Russia</v>
          </cell>
          <cell r="G1959" t="str">
            <v>Russia Rep.O.</v>
          </cell>
          <cell r="H1959" t="str">
            <v>3013</v>
          </cell>
          <cell r="I1959" t="str">
            <v>罗斯托夫</v>
          </cell>
          <cell r="J1959" t="str">
            <v>Rostov</v>
          </cell>
          <cell r="K1959" t="str">
            <v>Local employees</v>
          </cell>
          <cell r="L1959" t="str">
            <v>L0</v>
          </cell>
          <cell r="M1959" t="str">
            <v>ALL</v>
          </cell>
          <cell r="N1959" t="str">
            <v>FLPC(含奖金)</v>
          </cell>
          <cell r="O1959" t="str">
            <v>USD/小时</v>
          </cell>
          <cell r="P1959">
            <v>30.59</v>
          </cell>
        </row>
        <row r="1960">
          <cell r="A1960" t="str">
            <v>Rostov - Local employees - L1</v>
          </cell>
          <cell r="B1960" t="str">
            <v>Current version</v>
          </cell>
          <cell r="C1960" t="str">
            <v>V2009R2</v>
          </cell>
          <cell r="D1960" t="str">
            <v>Labor Rate</v>
          </cell>
          <cell r="E1960" t="str">
            <v>CIS</v>
          </cell>
          <cell r="F1960" t="str">
            <v>Russia</v>
          </cell>
          <cell r="G1960" t="str">
            <v>Russia Rep.O.</v>
          </cell>
          <cell r="H1960" t="str">
            <v>3013</v>
          </cell>
          <cell r="I1960" t="str">
            <v>罗斯托夫</v>
          </cell>
          <cell r="J1960" t="str">
            <v>Rostov</v>
          </cell>
          <cell r="K1960" t="str">
            <v>Local employees</v>
          </cell>
          <cell r="L1960" t="str">
            <v>L1</v>
          </cell>
          <cell r="M1960" t="str">
            <v>ALL</v>
          </cell>
          <cell r="N1960" t="str">
            <v>FLPC(含奖金)</v>
          </cell>
          <cell r="O1960" t="str">
            <v>USD/小时</v>
          </cell>
          <cell r="P1960">
            <v>36.72</v>
          </cell>
        </row>
        <row r="1961">
          <cell r="A1961" t="str">
            <v>Rostov - Local employees - L2</v>
          </cell>
          <cell r="B1961" t="str">
            <v>Current version</v>
          </cell>
          <cell r="C1961" t="str">
            <v>V2009R2</v>
          </cell>
          <cell r="D1961" t="str">
            <v>Labor Rate</v>
          </cell>
          <cell r="E1961" t="str">
            <v>CIS</v>
          </cell>
          <cell r="F1961" t="str">
            <v>Russia</v>
          </cell>
          <cell r="G1961" t="str">
            <v>Russia Rep.O.</v>
          </cell>
          <cell r="H1961" t="str">
            <v>3013</v>
          </cell>
          <cell r="I1961" t="str">
            <v>罗斯托夫</v>
          </cell>
          <cell r="J1961" t="str">
            <v>Rostov</v>
          </cell>
          <cell r="K1961" t="str">
            <v>Local employees</v>
          </cell>
          <cell r="L1961" t="str">
            <v>L2</v>
          </cell>
          <cell r="M1961" t="str">
            <v>ALL</v>
          </cell>
          <cell r="N1961" t="str">
            <v>FLPC(含奖金)</v>
          </cell>
          <cell r="O1961" t="str">
            <v>USD/小时</v>
          </cell>
          <cell r="P1961">
            <v>47.39</v>
          </cell>
        </row>
        <row r="1962">
          <cell r="A1962" t="str">
            <v>Rostov - Local employees - L3</v>
          </cell>
          <cell r="B1962" t="str">
            <v>Current version</v>
          </cell>
          <cell r="C1962" t="str">
            <v>V2009R2</v>
          </cell>
          <cell r="D1962" t="str">
            <v>Labor Rate</v>
          </cell>
          <cell r="E1962" t="str">
            <v>CIS</v>
          </cell>
          <cell r="F1962" t="str">
            <v>Russia</v>
          </cell>
          <cell r="G1962" t="str">
            <v>Russia Rep.O.</v>
          </cell>
          <cell r="H1962" t="str">
            <v>3013</v>
          </cell>
          <cell r="I1962" t="str">
            <v>罗斯托夫</v>
          </cell>
          <cell r="J1962" t="str">
            <v>Rostov</v>
          </cell>
          <cell r="K1962" t="str">
            <v>Local employees</v>
          </cell>
          <cell r="L1962" t="str">
            <v>L3</v>
          </cell>
          <cell r="M1962" t="str">
            <v>ALL</v>
          </cell>
          <cell r="N1962" t="str">
            <v>FLPC(含奖金)</v>
          </cell>
          <cell r="O1962" t="str">
            <v>USD/小时</v>
          </cell>
          <cell r="P1962">
            <v>57.27</v>
          </cell>
        </row>
        <row r="1963">
          <cell r="A1963" t="str">
            <v>Rostov - Local employees - L4</v>
          </cell>
          <cell r="B1963" t="str">
            <v>Current version</v>
          </cell>
          <cell r="C1963" t="str">
            <v>V2009R2</v>
          </cell>
          <cell r="D1963" t="str">
            <v>Labor Rate</v>
          </cell>
          <cell r="E1963" t="str">
            <v>CIS</v>
          </cell>
          <cell r="F1963" t="str">
            <v>Russia</v>
          </cell>
          <cell r="G1963" t="str">
            <v>Russia Rep.O.</v>
          </cell>
          <cell r="H1963" t="str">
            <v>3013</v>
          </cell>
          <cell r="I1963" t="str">
            <v>罗斯托夫</v>
          </cell>
          <cell r="J1963" t="str">
            <v>Rostov</v>
          </cell>
          <cell r="K1963" t="str">
            <v>Local employees</v>
          </cell>
          <cell r="L1963" t="str">
            <v>L4</v>
          </cell>
          <cell r="M1963" t="str">
            <v>ALL</v>
          </cell>
          <cell r="N1963" t="str">
            <v>FLPC(含奖金)</v>
          </cell>
          <cell r="O1963" t="str">
            <v>USD/小时</v>
          </cell>
          <cell r="P1963">
            <v>73.87</v>
          </cell>
        </row>
        <row r="1964">
          <cell r="A1964" t="str">
            <v>Novosibirsk - Local employees - L0</v>
          </cell>
          <cell r="B1964" t="str">
            <v>Current version</v>
          </cell>
          <cell r="C1964" t="str">
            <v>V2009R2</v>
          </cell>
          <cell r="D1964" t="str">
            <v>Labor Rate</v>
          </cell>
          <cell r="E1964" t="str">
            <v>CIS</v>
          </cell>
          <cell r="F1964" t="str">
            <v>Russia</v>
          </cell>
          <cell r="G1964" t="str">
            <v>Russia Rep.O.</v>
          </cell>
          <cell r="H1964" t="str">
            <v>3014</v>
          </cell>
          <cell r="I1964" t="str">
            <v>新西伯利亚</v>
          </cell>
          <cell r="J1964" t="str">
            <v>Novosibirsk</v>
          </cell>
          <cell r="K1964" t="str">
            <v>Local employees</v>
          </cell>
          <cell r="L1964" t="str">
            <v>L0</v>
          </cell>
          <cell r="M1964" t="str">
            <v>ALL</v>
          </cell>
          <cell r="N1964" t="str">
            <v>FLPC(含奖金)</v>
          </cell>
          <cell r="O1964" t="str">
            <v>USD/小时</v>
          </cell>
          <cell r="P1964">
            <v>30.59</v>
          </cell>
        </row>
        <row r="1965">
          <cell r="A1965" t="str">
            <v>Novosibirsk - Local employees - L1</v>
          </cell>
          <cell r="B1965" t="str">
            <v>Current version</v>
          </cell>
          <cell r="C1965" t="str">
            <v>V2009R2</v>
          </cell>
          <cell r="D1965" t="str">
            <v>Labor Rate</v>
          </cell>
          <cell r="E1965" t="str">
            <v>CIS</v>
          </cell>
          <cell r="F1965" t="str">
            <v>Russia</v>
          </cell>
          <cell r="G1965" t="str">
            <v>Russia Rep.O.</v>
          </cell>
          <cell r="H1965" t="str">
            <v>3014</v>
          </cell>
          <cell r="I1965" t="str">
            <v>新西伯利亚</v>
          </cell>
          <cell r="J1965" t="str">
            <v>Novosibirsk</v>
          </cell>
          <cell r="K1965" t="str">
            <v>Local employees</v>
          </cell>
          <cell r="L1965" t="str">
            <v>L1</v>
          </cell>
          <cell r="M1965" t="str">
            <v>ALL</v>
          </cell>
          <cell r="N1965" t="str">
            <v>FLPC(含奖金)</v>
          </cell>
          <cell r="O1965" t="str">
            <v>USD/小时</v>
          </cell>
          <cell r="P1965">
            <v>36.72</v>
          </cell>
        </row>
        <row r="1966">
          <cell r="A1966" t="str">
            <v>Novosibirsk - Local employees - L2</v>
          </cell>
          <cell r="B1966" t="str">
            <v>Current version</v>
          </cell>
          <cell r="C1966" t="str">
            <v>V2009R2</v>
          </cell>
          <cell r="D1966" t="str">
            <v>Labor Rate</v>
          </cell>
          <cell r="E1966" t="str">
            <v>CIS</v>
          </cell>
          <cell r="F1966" t="str">
            <v>Russia</v>
          </cell>
          <cell r="G1966" t="str">
            <v>Russia Rep.O.</v>
          </cell>
          <cell r="H1966" t="str">
            <v>3014</v>
          </cell>
          <cell r="I1966" t="str">
            <v>新西伯利亚</v>
          </cell>
          <cell r="J1966" t="str">
            <v>Novosibirsk</v>
          </cell>
          <cell r="K1966" t="str">
            <v>Local employees</v>
          </cell>
          <cell r="L1966" t="str">
            <v>L2</v>
          </cell>
          <cell r="M1966" t="str">
            <v>ALL</v>
          </cell>
          <cell r="N1966" t="str">
            <v>FLPC(含奖金)</v>
          </cell>
          <cell r="O1966" t="str">
            <v>USD/小时</v>
          </cell>
          <cell r="P1966">
            <v>47.39</v>
          </cell>
        </row>
        <row r="1967">
          <cell r="A1967" t="str">
            <v>Novosibirsk - Local employees - L3</v>
          </cell>
          <cell r="B1967" t="str">
            <v>Current version</v>
          </cell>
          <cell r="C1967" t="str">
            <v>V2009R2</v>
          </cell>
          <cell r="D1967" t="str">
            <v>Labor Rate</v>
          </cell>
          <cell r="E1967" t="str">
            <v>CIS</v>
          </cell>
          <cell r="F1967" t="str">
            <v>Russia</v>
          </cell>
          <cell r="G1967" t="str">
            <v>Russia Rep.O.</v>
          </cell>
          <cell r="H1967" t="str">
            <v>3014</v>
          </cell>
          <cell r="I1967" t="str">
            <v>新西伯利亚</v>
          </cell>
          <cell r="J1967" t="str">
            <v>Novosibirsk</v>
          </cell>
          <cell r="K1967" t="str">
            <v>Local employees</v>
          </cell>
          <cell r="L1967" t="str">
            <v>L3</v>
          </cell>
          <cell r="M1967" t="str">
            <v>ALL</v>
          </cell>
          <cell r="N1967" t="str">
            <v>FLPC(含奖金)</v>
          </cell>
          <cell r="O1967" t="str">
            <v>USD/小时</v>
          </cell>
          <cell r="P1967">
            <v>57.27</v>
          </cell>
        </row>
        <row r="1968">
          <cell r="A1968" t="str">
            <v>Novosibirsk - Local employees - L4</v>
          </cell>
          <cell r="B1968" t="str">
            <v>Current version</v>
          </cell>
          <cell r="C1968" t="str">
            <v>V2009R2</v>
          </cell>
          <cell r="D1968" t="str">
            <v>Labor Rate</v>
          </cell>
          <cell r="E1968" t="str">
            <v>CIS</v>
          </cell>
          <cell r="F1968" t="str">
            <v>Russia</v>
          </cell>
          <cell r="G1968" t="str">
            <v>Russia Rep.O.</v>
          </cell>
          <cell r="H1968" t="str">
            <v>3014</v>
          </cell>
          <cell r="I1968" t="str">
            <v>新西伯利亚</v>
          </cell>
          <cell r="J1968" t="str">
            <v>Novosibirsk</v>
          </cell>
          <cell r="K1968" t="str">
            <v>Local employees</v>
          </cell>
          <cell r="L1968" t="str">
            <v>L4</v>
          </cell>
          <cell r="M1968" t="str">
            <v>ALL</v>
          </cell>
          <cell r="N1968" t="str">
            <v>FLPC(含奖金)</v>
          </cell>
          <cell r="O1968" t="str">
            <v>USD/小时</v>
          </cell>
          <cell r="P1968">
            <v>73.87</v>
          </cell>
        </row>
        <row r="1969">
          <cell r="A1969" t="str">
            <v>N/Novgorod - Local employees - L0</v>
          </cell>
          <cell r="B1969" t="str">
            <v>Current version</v>
          </cell>
          <cell r="C1969" t="str">
            <v>V2009R2</v>
          </cell>
          <cell r="D1969" t="str">
            <v>Labor Rate</v>
          </cell>
          <cell r="E1969" t="str">
            <v>CIS</v>
          </cell>
          <cell r="F1969" t="str">
            <v>Russia</v>
          </cell>
          <cell r="G1969" t="str">
            <v>Russia Rep.O.</v>
          </cell>
          <cell r="H1969" t="str">
            <v>3015</v>
          </cell>
          <cell r="I1969" t="str">
            <v>下新城</v>
          </cell>
          <cell r="J1969" t="str">
            <v>N/Novgorod</v>
          </cell>
          <cell r="K1969" t="str">
            <v>Local employees</v>
          </cell>
          <cell r="L1969" t="str">
            <v>L0</v>
          </cell>
          <cell r="M1969" t="str">
            <v>ALL</v>
          </cell>
          <cell r="N1969" t="str">
            <v>FLPC(含奖金)</v>
          </cell>
          <cell r="O1969" t="str">
            <v>USD/小时</v>
          </cell>
          <cell r="P1969">
            <v>30.59</v>
          </cell>
        </row>
        <row r="1970">
          <cell r="A1970" t="str">
            <v>N/Novgorod - Local employees - L1</v>
          </cell>
          <cell r="B1970" t="str">
            <v>Current version</v>
          </cell>
          <cell r="C1970" t="str">
            <v>V2009R2</v>
          </cell>
          <cell r="D1970" t="str">
            <v>Labor Rate</v>
          </cell>
          <cell r="E1970" t="str">
            <v>CIS</v>
          </cell>
          <cell r="F1970" t="str">
            <v>Russia</v>
          </cell>
          <cell r="G1970" t="str">
            <v>Russia Rep.O.</v>
          </cell>
          <cell r="H1970" t="str">
            <v>3015</v>
          </cell>
          <cell r="I1970" t="str">
            <v>下新城</v>
          </cell>
          <cell r="J1970" t="str">
            <v>N/Novgorod</v>
          </cell>
          <cell r="K1970" t="str">
            <v>Local employees</v>
          </cell>
          <cell r="L1970" t="str">
            <v>L1</v>
          </cell>
          <cell r="M1970" t="str">
            <v>ALL</v>
          </cell>
          <cell r="N1970" t="str">
            <v>FLPC(含奖金)</v>
          </cell>
          <cell r="O1970" t="str">
            <v>USD/小时</v>
          </cell>
          <cell r="P1970">
            <v>36.72</v>
          </cell>
        </row>
        <row r="1971">
          <cell r="A1971" t="str">
            <v>N/Novgorod - Local employees - L2</v>
          </cell>
          <cell r="B1971" t="str">
            <v>Current version</v>
          </cell>
          <cell r="C1971" t="str">
            <v>V2009R2</v>
          </cell>
          <cell r="D1971" t="str">
            <v>Labor Rate</v>
          </cell>
          <cell r="E1971" t="str">
            <v>CIS</v>
          </cell>
          <cell r="F1971" t="str">
            <v>Russia</v>
          </cell>
          <cell r="G1971" t="str">
            <v>Russia Rep.O.</v>
          </cell>
          <cell r="H1971" t="str">
            <v>3015</v>
          </cell>
          <cell r="I1971" t="str">
            <v>下新城</v>
          </cell>
          <cell r="J1971" t="str">
            <v>N/Novgorod</v>
          </cell>
          <cell r="K1971" t="str">
            <v>Local employees</v>
          </cell>
          <cell r="L1971" t="str">
            <v>L2</v>
          </cell>
          <cell r="M1971" t="str">
            <v>ALL</v>
          </cell>
          <cell r="N1971" t="str">
            <v>FLPC(含奖金)</v>
          </cell>
          <cell r="O1971" t="str">
            <v>USD/小时</v>
          </cell>
          <cell r="P1971">
            <v>47.39</v>
          </cell>
        </row>
        <row r="1972">
          <cell r="A1972" t="str">
            <v>N/Novgorod - Local employees - L3</v>
          </cell>
          <cell r="B1972" t="str">
            <v>Current version</v>
          </cell>
          <cell r="C1972" t="str">
            <v>V2009R2</v>
          </cell>
          <cell r="D1972" t="str">
            <v>Labor Rate</v>
          </cell>
          <cell r="E1972" t="str">
            <v>CIS</v>
          </cell>
          <cell r="F1972" t="str">
            <v>Russia</v>
          </cell>
          <cell r="G1972" t="str">
            <v>Russia Rep.O.</v>
          </cell>
          <cell r="H1972" t="str">
            <v>3015</v>
          </cell>
          <cell r="I1972" t="str">
            <v>下新城</v>
          </cell>
          <cell r="J1972" t="str">
            <v>N/Novgorod</v>
          </cell>
          <cell r="K1972" t="str">
            <v>Local employees</v>
          </cell>
          <cell r="L1972" t="str">
            <v>L3</v>
          </cell>
          <cell r="M1972" t="str">
            <v>ALL</v>
          </cell>
          <cell r="N1972" t="str">
            <v>FLPC(含奖金)</v>
          </cell>
          <cell r="O1972" t="str">
            <v>USD/小时</v>
          </cell>
          <cell r="P1972">
            <v>57.27</v>
          </cell>
        </row>
        <row r="1973">
          <cell r="A1973" t="str">
            <v>N/Novgorod - Local employees - L4</v>
          </cell>
          <cell r="B1973" t="str">
            <v>Current version</v>
          </cell>
          <cell r="C1973" t="str">
            <v>V2009R2</v>
          </cell>
          <cell r="D1973" t="str">
            <v>Labor Rate</v>
          </cell>
          <cell r="E1973" t="str">
            <v>CIS</v>
          </cell>
          <cell r="F1973" t="str">
            <v>Russia</v>
          </cell>
          <cell r="G1973" t="str">
            <v>Russia Rep.O.</v>
          </cell>
          <cell r="H1973" t="str">
            <v>3015</v>
          </cell>
          <cell r="I1973" t="str">
            <v>下新城</v>
          </cell>
          <cell r="J1973" t="str">
            <v>N/Novgorod</v>
          </cell>
          <cell r="K1973" t="str">
            <v>Local employees</v>
          </cell>
          <cell r="L1973" t="str">
            <v>L4</v>
          </cell>
          <cell r="M1973" t="str">
            <v>ALL</v>
          </cell>
          <cell r="N1973" t="str">
            <v>FLPC(含奖金)</v>
          </cell>
          <cell r="O1973" t="str">
            <v>USD/小时</v>
          </cell>
          <cell r="P1973">
            <v>73.87</v>
          </cell>
        </row>
        <row r="1974">
          <cell r="A1974" t="str">
            <v>Vladivostok - Local employees - L0</v>
          </cell>
          <cell r="B1974" t="str">
            <v>Current version</v>
          </cell>
          <cell r="C1974" t="str">
            <v>V2009R2</v>
          </cell>
          <cell r="D1974" t="str">
            <v>Labor Rate</v>
          </cell>
          <cell r="E1974" t="str">
            <v>CIS</v>
          </cell>
          <cell r="F1974" t="str">
            <v>Russia</v>
          </cell>
          <cell r="G1974" t="str">
            <v>Russia Rep.O.</v>
          </cell>
          <cell r="H1974" t="str">
            <v>3017</v>
          </cell>
          <cell r="I1974" t="str">
            <v>海參崴</v>
          </cell>
          <cell r="J1974" t="str">
            <v>Vladivostok</v>
          </cell>
          <cell r="K1974" t="str">
            <v>Local employees</v>
          </cell>
          <cell r="L1974" t="str">
            <v>L0</v>
          </cell>
          <cell r="M1974" t="str">
            <v>ALL</v>
          </cell>
          <cell r="N1974" t="str">
            <v>FLPC(含奖金)</v>
          </cell>
          <cell r="O1974" t="str">
            <v>USD/小时</v>
          </cell>
          <cell r="P1974">
            <v>30.59</v>
          </cell>
        </row>
        <row r="1975">
          <cell r="A1975" t="str">
            <v>Vladivostok - Local employees - L1</v>
          </cell>
          <cell r="B1975" t="str">
            <v>Current version</v>
          </cell>
          <cell r="C1975" t="str">
            <v>V2009R2</v>
          </cell>
          <cell r="D1975" t="str">
            <v>Labor Rate</v>
          </cell>
          <cell r="E1975" t="str">
            <v>CIS</v>
          </cell>
          <cell r="F1975" t="str">
            <v>Russia</v>
          </cell>
          <cell r="G1975" t="str">
            <v>Russia Rep.O.</v>
          </cell>
          <cell r="H1975" t="str">
            <v>3017</v>
          </cell>
          <cell r="I1975" t="str">
            <v>海參崴</v>
          </cell>
          <cell r="J1975" t="str">
            <v>Vladivostok</v>
          </cell>
          <cell r="K1975" t="str">
            <v>Local employees</v>
          </cell>
          <cell r="L1975" t="str">
            <v>L1</v>
          </cell>
          <cell r="M1975" t="str">
            <v>ALL</v>
          </cell>
          <cell r="N1975" t="str">
            <v>FLPC(含奖金)</v>
          </cell>
          <cell r="O1975" t="str">
            <v>USD/小时</v>
          </cell>
          <cell r="P1975">
            <v>36.72</v>
          </cell>
        </row>
        <row r="1976">
          <cell r="A1976" t="str">
            <v>Vladivostok - Local employees - L2</v>
          </cell>
          <cell r="B1976" t="str">
            <v>Current version</v>
          </cell>
          <cell r="C1976" t="str">
            <v>V2009R2</v>
          </cell>
          <cell r="D1976" t="str">
            <v>Labor Rate</v>
          </cell>
          <cell r="E1976" t="str">
            <v>CIS</v>
          </cell>
          <cell r="F1976" t="str">
            <v>Russia</v>
          </cell>
          <cell r="G1976" t="str">
            <v>Russia Rep.O.</v>
          </cell>
          <cell r="H1976" t="str">
            <v>3017</v>
          </cell>
          <cell r="I1976" t="str">
            <v>海參崴</v>
          </cell>
          <cell r="J1976" t="str">
            <v>Vladivostok</v>
          </cell>
          <cell r="K1976" t="str">
            <v>Local employees</v>
          </cell>
          <cell r="L1976" t="str">
            <v>L2</v>
          </cell>
          <cell r="M1976" t="str">
            <v>ALL</v>
          </cell>
          <cell r="N1976" t="str">
            <v>FLPC(含奖金)</v>
          </cell>
          <cell r="O1976" t="str">
            <v>USD/小时</v>
          </cell>
          <cell r="P1976">
            <v>47.39</v>
          </cell>
        </row>
        <row r="1977">
          <cell r="A1977" t="str">
            <v>Vladivostok - Local employees - L3</v>
          </cell>
          <cell r="B1977" t="str">
            <v>Current version</v>
          </cell>
          <cell r="C1977" t="str">
            <v>V2009R2</v>
          </cell>
          <cell r="D1977" t="str">
            <v>Labor Rate</v>
          </cell>
          <cell r="E1977" t="str">
            <v>CIS</v>
          </cell>
          <cell r="F1977" t="str">
            <v>Russia</v>
          </cell>
          <cell r="G1977" t="str">
            <v>Russia Rep.O.</v>
          </cell>
          <cell r="H1977" t="str">
            <v>3017</v>
          </cell>
          <cell r="I1977" t="str">
            <v>海參崴</v>
          </cell>
          <cell r="J1977" t="str">
            <v>Vladivostok</v>
          </cell>
          <cell r="K1977" t="str">
            <v>Local employees</v>
          </cell>
          <cell r="L1977" t="str">
            <v>L3</v>
          </cell>
          <cell r="M1977" t="str">
            <v>ALL</v>
          </cell>
          <cell r="N1977" t="str">
            <v>FLPC(含奖金)</v>
          </cell>
          <cell r="O1977" t="str">
            <v>USD/小时</v>
          </cell>
          <cell r="P1977">
            <v>57.27</v>
          </cell>
        </row>
        <row r="1978">
          <cell r="A1978" t="str">
            <v>Vladivostok - Local employees - L4</v>
          </cell>
          <cell r="B1978" t="str">
            <v>Current version</v>
          </cell>
          <cell r="C1978" t="str">
            <v>V2009R2</v>
          </cell>
          <cell r="D1978" t="str">
            <v>Labor Rate</v>
          </cell>
          <cell r="E1978" t="str">
            <v>CIS</v>
          </cell>
          <cell r="F1978" t="str">
            <v>Russia</v>
          </cell>
          <cell r="G1978" t="str">
            <v>Russia Rep.O.</v>
          </cell>
          <cell r="H1978" t="str">
            <v>3017</v>
          </cell>
          <cell r="I1978" t="str">
            <v>海參崴</v>
          </cell>
          <cell r="J1978" t="str">
            <v>Vladivostok</v>
          </cell>
          <cell r="K1978" t="str">
            <v>Local employees</v>
          </cell>
          <cell r="L1978" t="str">
            <v>L4</v>
          </cell>
          <cell r="M1978" t="str">
            <v>ALL</v>
          </cell>
          <cell r="N1978" t="str">
            <v>FLPC(含奖金)</v>
          </cell>
          <cell r="O1978" t="str">
            <v>USD/小时</v>
          </cell>
          <cell r="P1978">
            <v>73.87</v>
          </cell>
        </row>
        <row r="1979">
          <cell r="A1979" t="str">
            <v>Samara - Local employees - L0</v>
          </cell>
          <cell r="B1979" t="str">
            <v>Current version</v>
          </cell>
          <cell r="C1979" t="str">
            <v>V2009R2</v>
          </cell>
          <cell r="D1979" t="str">
            <v>Labor Rate</v>
          </cell>
          <cell r="E1979" t="str">
            <v>CIS</v>
          </cell>
          <cell r="F1979" t="str">
            <v>Russia</v>
          </cell>
          <cell r="G1979" t="str">
            <v>Russia Rep.O.</v>
          </cell>
          <cell r="H1979" t="str">
            <v>3018</v>
          </cell>
          <cell r="I1979" t="str">
            <v>萨马拉</v>
          </cell>
          <cell r="J1979" t="str">
            <v>Samara</v>
          </cell>
          <cell r="K1979" t="str">
            <v>Local employees</v>
          </cell>
          <cell r="L1979" t="str">
            <v>L0</v>
          </cell>
          <cell r="M1979" t="str">
            <v>ALL</v>
          </cell>
          <cell r="N1979" t="str">
            <v>FLPC(含奖金)</v>
          </cell>
          <cell r="O1979" t="str">
            <v>USD/小时</v>
          </cell>
          <cell r="P1979">
            <v>30.59</v>
          </cell>
        </row>
        <row r="1980">
          <cell r="A1980" t="str">
            <v>Samara - Local employees - L1</v>
          </cell>
          <cell r="B1980" t="str">
            <v>Current version</v>
          </cell>
          <cell r="C1980" t="str">
            <v>V2009R2</v>
          </cell>
          <cell r="D1980" t="str">
            <v>Labor Rate</v>
          </cell>
          <cell r="E1980" t="str">
            <v>CIS</v>
          </cell>
          <cell r="F1980" t="str">
            <v>Russia</v>
          </cell>
          <cell r="G1980" t="str">
            <v>Russia Rep.O.</v>
          </cell>
          <cell r="H1980" t="str">
            <v>3018</v>
          </cell>
          <cell r="I1980" t="str">
            <v>萨马拉</v>
          </cell>
          <cell r="J1980" t="str">
            <v>Samara</v>
          </cell>
          <cell r="K1980" t="str">
            <v>Local employees</v>
          </cell>
          <cell r="L1980" t="str">
            <v>L1</v>
          </cell>
          <cell r="M1980" t="str">
            <v>ALL</v>
          </cell>
          <cell r="N1980" t="str">
            <v>FLPC(含奖金)</v>
          </cell>
          <cell r="O1980" t="str">
            <v>USD/小时</v>
          </cell>
          <cell r="P1980">
            <v>36.72</v>
          </cell>
        </row>
        <row r="1981">
          <cell r="A1981" t="str">
            <v>Samara - Local employees - L2</v>
          </cell>
          <cell r="B1981" t="str">
            <v>Current version</v>
          </cell>
          <cell r="C1981" t="str">
            <v>V2009R2</v>
          </cell>
          <cell r="D1981" t="str">
            <v>Labor Rate</v>
          </cell>
          <cell r="E1981" t="str">
            <v>CIS</v>
          </cell>
          <cell r="F1981" t="str">
            <v>Russia</v>
          </cell>
          <cell r="G1981" t="str">
            <v>Russia Rep.O.</v>
          </cell>
          <cell r="H1981" t="str">
            <v>3018</v>
          </cell>
          <cell r="I1981" t="str">
            <v>萨马拉</v>
          </cell>
          <cell r="J1981" t="str">
            <v>Samara</v>
          </cell>
          <cell r="K1981" t="str">
            <v>Local employees</v>
          </cell>
          <cell r="L1981" t="str">
            <v>L2</v>
          </cell>
          <cell r="M1981" t="str">
            <v>ALL</v>
          </cell>
          <cell r="N1981" t="str">
            <v>FLPC(含奖金)</v>
          </cell>
          <cell r="O1981" t="str">
            <v>USD/小时</v>
          </cell>
          <cell r="P1981">
            <v>47.39</v>
          </cell>
        </row>
        <row r="1982">
          <cell r="A1982" t="str">
            <v>Tonga - Local employees - L1</v>
          </cell>
          <cell r="B1982" t="str">
            <v>Current version</v>
          </cell>
          <cell r="C1982" t="str">
            <v>V2009R2</v>
          </cell>
          <cell r="D1982" t="str">
            <v>Labor Rate</v>
          </cell>
          <cell r="E1982" t="str">
            <v>AP</v>
          </cell>
          <cell r="F1982" t="str">
            <v>Southern Pacific Sub-Regional Division</v>
          </cell>
          <cell r="G1982" t="str">
            <v>Australia Rep.O.</v>
          </cell>
          <cell r="H1982" t="str">
            <v>1218</v>
          </cell>
          <cell r="I1982" t="str">
            <v>汤加</v>
          </cell>
          <cell r="J1982" t="str">
            <v>Tonga</v>
          </cell>
          <cell r="K1982" t="str">
            <v>Local employees</v>
          </cell>
          <cell r="L1982" t="str">
            <v>L1</v>
          </cell>
          <cell r="M1982" t="str">
            <v>ALL</v>
          </cell>
          <cell r="N1982" t="str">
            <v>FLPC(含奖金)</v>
          </cell>
          <cell r="O1982" t="str">
            <v>USD/小时</v>
          </cell>
          <cell r="P1982">
            <v>63.62</v>
          </cell>
        </row>
        <row r="1983">
          <cell r="A1983" t="str">
            <v>Marshall Islands - Local employees - L4</v>
          </cell>
          <cell r="B1983" t="str">
            <v>Current version</v>
          </cell>
          <cell r="C1983" t="str">
            <v>V2009R2</v>
          </cell>
          <cell r="D1983" t="str">
            <v>Labor Rate</v>
          </cell>
          <cell r="E1983" t="str">
            <v>AP</v>
          </cell>
          <cell r="F1983" t="str">
            <v>Southern Pacific Sub-Regional Division</v>
          </cell>
          <cell r="G1983" t="str">
            <v>Australia Rep.O.</v>
          </cell>
          <cell r="H1983" t="str">
            <v>1233</v>
          </cell>
          <cell r="I1983" t="str">
            <v>马绍尔群岛</v>
          </cell>
          <cell r="J1983" t="str">
            <v>Marshall Islands</v>
          </cell>
          <cell r="K1983" t="str">
            <v>Local employees</v>
          </cell>
          <cell r="L1983" t="str">
            <v>L4</v>
          </cell>
          <cell r="M1983" t="str">
            <v>ALL</v>
          </cell>
          <cell r="N1983" t="str">
            <v>FLPC(含奖金)</v>
          </cell>
          <cell r="O1983" t="str">
            <v>USD/小时</v>
          </cell>
          <cell r="P1983">
            <v>132.57</v>
          </cell>
        </row>
        <row r="1984">
          <cell r="A1984" t="str">
            <v>Taiwan - Local employees - L1</v>
          </cell>
          <cell r="B1984" t="str">
            <v>Current version</v>
          </cell>
          <cell r="C1984" t="str">
            <v>V2009R2</v>
          </cell>
          <cell r="D1984" t="str">
            <v>Labor Rate</v>
          </cell>
          <cell r="E1984" t="str">
            <v>AP</v>
          </cell>
          <cell r="F1984" t="str">
            <v>Eastern Asia Sub-Regional Division</v>
          </cell>
          <cell r="G1984" t="str">
            <v>Taiwan</v>
          </cell>
          <cell r="H1984" t="str">
            <v>1101</v>
          </cell>
          <cell r="I1984" t="str">
            <v>台湾</v>
          </cell>
          <cell r="J1984" t="str">
            <v>Taiwan</v>
          </cell>
          <cell r="K1984" t="str">
            <v>Local employees</v>
          </cell>
          <cell r="L1984" t="str">
            <v>L1</v>
          </cell>
          <cell r="M1984" t="str">
            <v>ALL</v>
          </cell>
          <cell r="N1984" t="str">
            <v>FLPC(含奖金)</v>
          </cell>
          <cell r="O1984" t="str">
            <v>USD/小时</v>
          </cell>
          <cell r="P1984">
            <v>31.52</v>
          </cell>
        </row>
        <row r="1985">
          <cell r="A1985" t="str">
            <v>Taiwan - Local employees - L2</v>
          </cell>
          <cell r="B1985" t="str">
            <v>Current version</v>
          </cell>
          <cell r="C1985" t="str">
            <v>V2009R2</v>
          </cell>
          <cell r="D1985" t="str">
            <v>Labor Rate</v>
          </cell>
          <cell r="E1985" t="str">
            <v>AP</v>
          </cell>
          <cell r="F1985" t="str">
            <v>Eastern Asia Sub-Regional Division</v>
          </cell>
          <cell r="G1985" t="str">
            <v>Taiwan</v>
          </cell>
          <cell r="H1985" t="str">
            <v>1101</v>
          </cell>
          <cell r="I1985" t="str">
            <v>台湾</v>
          </cell>
          <cell r="J1985" t="str">
            <v>Taiwan</v>
          </cell>
          <cell r="K1985" t="str">
            <v>Local employees</v>
          </cell>
          <cell r="L1985" t="str">
            <v>L2</v>
          </cell>
          <cell r="M1985" t="str">
            <v>ALL</v>
          </cell>
          <cell r="N1985" t="str">
            <v>FLPC(含奖金)</v>
          </cell>
          <cell r="O1985" t="str">
            <v>USD/小时</v>
          </cell>
          <cell r="P1985">
            <v>43.17</v>
          </cell>
        </row>
        <row r="1986">
          <cell r="A1986" t="str">
            <v>Taiwan - Local employees - L3</v>
          </cell>
          <cell r="B1986" t="str">
            <v>Current version</v>
          </cell>
          <cell r="C1986" t="str">
            <v>V2009R2</v>
          </cell>
          <cell r="D1986" t="str">
            <v>Labor Rate</v>
          </cell>
          <cell r="E1986" t="str">
            <v>AP</v>
          </cell>
          <cell r="F1986" t="str">
            <v>Eastern Asia Sub-Regional Division</v>
          </cell>
          <cell r="G1986" t="str">
            <v>Taiwan</v>
          </cell>
          <cell r="H1986" t="str">
            <v>1101</v>
          </cell>
          <cell r="I1986" t="str">
            <v>台湾</v>
          </cell>
          <cell r="J1986" t="str">
            <v>Taiwan</v>
          </cell>
          <cell r="K1986" t="str">
            <v>Local employees</v>
          </cell>
          <cell r="L1986" t="str">
            <v>L3</v>
          </cell>
          <cell r="M1986" t="str">
            <v>ALL</v>
          </cell>
          <cell r="N1986" t="str">
            <v>FLPC(含奖金)</v>
          </cell>
          <cell r="O1986" t="str">
            <v>USD/小时</v>
          </cell>
          <cell r="P1986">
            <v>69.77</v>
          </cell>
        </row>
        <row r="1987">
          <cell r="A1987" t="str">
            <v>Korea - Local employees - L1</v>
          </cell>
          <cell r="B1987" t="str">
            <v>Current version</v>
          </cell>
          <cell r="C1987" t="str">
            <v>V2009R2</v>
          </cell>
          <cell r="D1987" t="str">
            <v>Labor Rate</v>
          </cell>
          <cell r="E1987" t="str">
            <v>AP</v>
          </cell>
          <cell r="F1987" t="str">
            <v>Eastern Asia Sub-Regional Division</v>
          </cell>
          <cell r="G1987" t="str">
            <v>Korea</v>
          </cell>
          <cell r="H1987" t="str">
            <v>1102</v>
          </cell>
          <cell r="I1987" t="str">
            <v>韩国</v>
          </cell>
          <cell r="J1987" t="str">
            <v>Korea</v>
          </cell>
          <cell r="K1987" t="str">
            <v>Local employees</v>
          </cell>
          <cell r="L1987" t="str">
            <v>L1</v>
          </cell>
          <cell r="M1987" t="str">
            <v>ALL</v>
          </cell>
          <cell r="N1987" t="str">
            <v>FLPC(含奖金)</v>
          </cell>
          <cell r="O1987" t="str">
            <v>USD/小时</v>
          </cell>
          <cell r="P1987">
            <v>38.43</v>
          </cell>
        </row>
        <row r="1988">
          <cell r="A1988" t="str">
            <v>Korea - Local employees - L2</v>
          </cell>
          <cell r="B1988" t="str">
            <v>Current version</v>
          </cell>
          <cell r="C1988" t="str">
            <v>V2009R2</v>
          </cell>
          <cell r="D1988" t="str">
            <v>Labor Rate</v>
          </cell>
          <cell r="E1988" t="str">
            <v>AP</v>
          </cell>
          <cell r="F1988" t="str">
            <v>Eastern Asia Sub-Regional Division</v>
          </cell>
          <cell r="G1988" t="str">
            <v>Korea</v>
          </cell>
          <cell r="H1988" t="str">
            <v>1102</v>
          </cell>
          <cell r="I1988" t="str">
            <v>韩国</v>
          </cell>
          <cell r="J1988" t="str">
            <v>Korea</v>
          </cell>
          <cell r="K1988" t="str">
            <v>Local employees</v>
          </cell>
          <cell r="L1988" t="str">
            <v>L2</v>
          </cell>
          <cell r="M1988" t="str">
            <v>ALL</v>
          </cell>
          <cell r="N1988" t="str">
            <v>FLPC(含奖金)</v>
          </cell>
          <cell r="O1988" t="str">
            <v>USD/小时</v>
          </cell>
          <cell r="P1988">
            <v>46.02</v>
          </cell>
        </row>
        <row r="1989">
          <cell r="A1989" t="str">
            <v>Japan - Local employees - L0</v>
          </cell>
          <cell r="B1989" t="str">
            <v>Current version</v>
          </cell>
          <cell r="C1989" t="str">
            <v>V2009R2</v>
          </cell>
          <cell r="D1989" t="str">
            <v>Labor Rate</v>
          </cell>
          <cell r="E1989" t="str">
            <v>AP</v>
          </cell>
          <cell r="F1989" t="str">
            <v>Eastern Asia Sub-Regional Division</v>
          </cell>
          <cell r="G1989" t="str">
            <v>Japan</v>
          </cell>
          <cell r="H1989" t="str">
            <v>1103</v>
          </cell>
          <cell r="I1989" t="str">
            <v>日本</v>
          </cell>
          <cell r="J1989" t="str">
            <v>Japan</v>
          </cell>
          <cell r="K1989" t="str">
            <v>Local employees</v>
          </cell>
          <cell r="L1989" t="str">
            <v>L0</v>
          </cell>
          <cell r="M1989" t="str">
            <v>ALL</v>
          </cell>
          <cell r="N1989" t="str">
            <v>FLPC(含奖金)</v>
          </cell>
          <cell r="O1989" t="str">
            <v>USD/小时</v>
          </cell>
          <cell r="P1989">
            <v>67.92</v>
          </cell>
        </row>
        <row r="1990">
          <cell r="A1990" t="str">
            <v>Japan - Local employees - L1</v>
          </cell>
          <cell r="B1990" t="str">
            <v>Current version</v>
          </cell>
          <cell r="C1990" t="str">
            <v>V2009R2</v>
          </cell>
          <cell r="D1990" t="str">
            <v>Labor Rate</v>
          </cell>
          <cell r="E1990" t="str">
            <v>AP</v>
          </cell>
          <cell r="F1990" t="str">
            <v>Eastern Asia Sub-Regional Division</v>
          </cell>
          <cell r="G1990" t="str">
            <v>Japan</v>
          </cell>
          <cell r="H1990" t="str">
            <v>1103</v>
          </cell>
          <cell r="I1990" t="str">
            <v>日本</v>
          </cell>
          <cell r="J1990" t="str">
            <v>Japan</v>
          </cell>
          <cell r="K1990" t="str">
            <v>Local employees</v>
          </cell>
          <cell r="L1990" t="str">
            <v>L1</v>
          </cell>
          <cell r="M1990" t="str">
            <v>ALL</v>
          </cell>
          <cell r="N1990" t="str">
            <v>FLPC(含奖金)</v>
          </cell>
          <cell r="O1990" t="str">
            <v>USD/小时</v>
          </cell>
          <cell r="P1990">
            <v>77.510000000000005</v>
          </cell>
        </row>
        <row r="1991">
          <cell r="A1991" t="str">
            <v>Japan - Local employees - L2</v>
          </cell>
          <cell r="B1991" t="str">
            <v>Current version</v>
          </cell>
          <cell r="C1991" t="str">
            <v>V2009R2</v>
          </cell>
          <cell r="D1991" t="str">
            <v>Labor Rate</v>
          </cell>
          <cell r="E1991" t="str">
            <v>AP</v>
          </cell>
          <cell r="F1991" t="str">
            <v>Eastern Asia Sub-Regional Division</v>
          </cell>
          <cell r="G1991" t="str">
            <v>Japan</v>
          </cell>
          <cell r="H1991" t="str">
            <v>1103</v>
          </cell>
          <cell r="I1991" t="str">
            <v>日本</v>
          </cell>
          <cell r="J1991" t="str">
            <v>Japan</v>
          </cell>
          <cell r="K1991" t="str">
            <v>Local employees</v>
          </cell>
          <cell r="L1991" t="str">
            <v>L2</v>
          </cell>
          <cell r="M1991" t="str">
            <v>ALL</v>
          </cell>
          <cell r="N1991" t="str">
            <v>FLPC(含奖金)</v>
          </cell>
          <cell r="O1991" t="str">
            <v>USD/小时</v>
          </cell>
          <cell r="P1991">
            <v>110.72</v>
          </cell>
        </row>
        <row r="1992">
          <cell r="A1992" t="str">
            <v>Japan - Local employees - L3</v>
          </cell>
          <cell r="B1992" t="str">
            <v>Current version</v>
          </cell>
          <cell r="C1992" t="str">
            <v>V2009R2</v>
          </cell>
          <cell r="D1992" t="str">
            <v>Labor Rate</v>
          </cell>
          <cell r="E1992" t="str">
            <v>AP</v>
          </cell>
          <cell r="F1992" t="str">
            <v>Eastern Asia Sub-Regional Division</v>
          </cell>
          <cell r="G1992" t="str">
            <v>Japan</v>
          </cell>
          <cell r="H1992" t="str">
            <v>1103</v>
          </cell>
          <cell r="I1992" t="str">
            <v>日本</v>
          </cell>
          <cell r="J1992" t="str">
            <v>Japan</v>
          </cell>
          <cell r="K1992" t="str">
            <v>Local employees</v>
          </cell>
          <cell r="L1992" t="str">
            <v>L3</v>
          </cell>
          <cell r="M1992" t="str">
            <v>ALL</v>
          </cell>
          <cell r="N1992" t="str">
            <v>FLPC(含奖金)</v>
          </cell>
          <cell r="O1992" t="str">
            <v>USD/小时</v>
          </cell>
          <cell r="P1992">
            <v>130.91</v>
          </cell>
        </row>
        <row r="1993">
          <cell r="A1993" t="str">
            <v>Japan - Local employees - L4</v>
          </cell>
          <cell r="B1993" t="str">
            <v>Current version</v>
          </cell>
          <cell r="C1993" t="str">
            <v>V2009R2</v>
          </cell>
          <cell r="D1993" t="str">
            <v>Labor Rate</v>
          </cell>
          <cell r="E1993" t="str">
            <v>AP</v>
          </cell>
          <cell r="F1993" t="str">
            <v>Eastern Asia Sub-Regional Division</v>
          </cell>
          <cell r="G1993" t="str">
            <v>Japan</v>
          </cell>
          <cell r="H1993" t="str">
            <v>1103</v>
          </cell>
          <cell r="I1993" t="str">
            <v>日本</v>
          </cell>
          <cell r="J1993" t="str">
            <v>Japan</v>
          </cell>
          <cell r="K1993" t="str">
            <v>Local employees</v>
          </cell>
          <cell r="L1993" t="str">
            <v>L4</v>
          </cell>
          <cell r="M1993" t="str">
            <v>ALL</v>
          </cell>
          <cell r="N1993" t="str">
            <v>FLPC(含奖金)</v>
          </cell>
          <cell r="O1993" t="str">
            <v>USD/小时</v>
          </cell>
          <cell r="P1993">
            <v>162.91999999999999</v>
          </cell>
        </row>
        <row r="1994">
          <cell r="A1994" t="str">
            <v>Hong Kong - Local employees - L1</v>
          </cell>
          <cell r="B1994" t="str">
            <v>Current version</v>
          </cell>
          <cell r="C1994" t="str">
            <v>V2009R2</v>
          </cell>
          <cell r="D1994" t="str">
            <v>Labor Rate</v>
          </cell>
          <cell r="E1994" t="str">
            <v>AP</v>
          </cell>
          <cell r="F1994" t="str">
            <v>Eastern Asia Sub-Regional Division</v>
          </cell>
          <cell r="G1994" t="str">
            <v>Hongkong Rep.O.</v>
          </cell>
          <cell r="H1994" t="str">
            <v>1100</v>
          </cell>
          <cell r="I1994" t="str">
            <v>香港</v>
          </cell>
          <cell r="J1994" t="str">
            <v>Hong Kong</v>
          </cell>
          <cell r="K1994" t="str">
            <v>Local employees</v>
          </cell>
          <cell r="L1994" t="str">
            <v>L1</v>
          </cell>
          <cell r="M1994" t="str">
            <v>ALL</v>
          </cell>
          <cell r="N1994" t="str">
            <v>FLPC(含奖金)</v>
          </cell>
          <cell r="O1994" t="str">
            <v>USD/小时</v>
          </cell>
          <cell r="P1994">
            <v>43.54</v>
          </cell>
        </row>
        <row r="1995">
          <cell r="A1995" t="str">
            <v>Hong Kong - Local employees - L2</v>
          </cell>
          <cell r="B1995" t="str">
            <v>Current version</v>
          </cell>
          <cell r="C1995" t="str">
            <v>V2009R2</v>
          </cell>
          <cell r="D1995" t="str">
            <v>Labor Rate</v>
          </cell>
          <cell r="E1995" t="str">
            <v>AP</v>
          </cell>
          <cell r="F1995" t="str">
            <v>Eastern Asia Sub-Regional Division</v>
          </cell>
          <cell r="G1995" t="str">
            <v>Hongkong Rep.O.</v>
          </cell>
          <cell r="H1995" t="str">
            <v>1100</v>
          </cell>
          <cell r="I1995" t="str">
            <v>香港</v>
          </cell>
          <cell r="J1995" t="str">
            <v>Hong Kong</v>
          </cell>
          <cell r="K1995" t="str">
            <v>Local employees</v>
          </cell>
          <cell r="L1995" t="str">
            <v>L2</v>
          </cell>
          <cell r="M1995" t="str">
            <v>ALL</v>
          </cell>
          <cell r="N1995" t="str">
            <v>FLPC(含奖金)</v>
          </cell>
          <cell r="O1995" t="str">
            <v>USD/小时</v>
          </cell>
          <cell r="P1995">
            <v>59.18</v>
          </cell>
        </row>
        <row r="1996">
          <cell r="A1996" t="str">
            <v>Hong Kong - Local employees - L3</v>
          </cell>
          <cell r="B1996" t="str">
            <v>Current version</v>
          </cell>
          <cell r="C1996" t="str">
            <v>V2009R2</v>
          </cell>
          <cell r="D1996" t="str">
            <v>Labor Rate</v>
          </cell>
          <cell r="E1996" t="str">
            <v>AP</v>
          </cell>
          <cell r="F1996" t="str">
            <v>Eastern Asia Sub-Regional Division</v>
          </cell>
          <cell r="G1996" t="str">
            <v>Hongkong Rep.O.</v>
          </cell>
          <cell r="H1996" t="str">
            <v>1100</v>
          </cell>
          <cell r="I1996" t="str">
            <v>香港</v>
          </cell>
          <cell r="J1996" t="str">
            <v>Hong Kong</v>
          </cell>
          <cell r="K1996" t="str">
            <v>Local employees</v>
          </cell>
          <cell r="L1996" t="str">
            <v>L3</v>
          </cell>
          <cell r="M1996" t="str">
            <v>ALL</v>
          </cell>
          <cell r="N1996" t="str">
            <v>FLPC(含奖金)</v>
          </cell>
          <cell r="O1996" t="str">
            <v>USD/小时</v>
          </cell>
          <cell r="P1996">
            <v>84.64</v>
          </cell>
        </row>
        <row r="1997">
          <cell r="A1997" t="str">
            <v>Hong Kong - Local employees - L4</v>
          </cell>
          <cell r="B1997" t="str">
            <v>Current version</v>
          </cell>
          <cell r="C1997" t="str">
            <v>V2009R2</v>
          </cell>
          <cell r="D1997" t="str">
            <v>Labor Rate</v>
          </cell>
          <cell r="E1997" t="str">
            <v>AP</v>
          </cell>
          <cell r="F1997" t="str">
            <v>Eastern Asia Sub-Regional Division</v>
          </cell>
          <cell r="G1997" t="str">
            <v>Hongkong Rep.O.</v>
          </cell>
          <cell r="H1997" t="str">
            <v>1100</v>
          </cell>
          <cell r="I1997" t="str">
            <v>香港</v>
          </cell>
          <cell r="J1997" t="str">
            <v>Hong Kong</v>
          </cell>
          <cell r="K1997" t="str">
            <v>Local employees</v>
          </cell>
          <cell r="L1997" t="str">
            <v>L4</v>
          </cell>
          <cell r="M1997" t="str">
            <v>ALL</v>
          </cell>
          <cell r="N1997" t="str">
            <v>FLPC(含奖金)</v>
          </cell>
          <cell r="O1997" t="str">
            <v>USD/小时</v>
          </cell>
          <cell r="P1997">
            <v>99.11</v>
          </cell>
        </row>
        <row r="1998">
          <cell r="A1998" t="str">
            <v>Macau - Local employees - L1</v>
          </cell>
          <cell r="B1998" t="str">
            <v>Current version</v>
          </cell>
          <cell r="C1998" t="str">
            <v>V2009R2</v>
          </cell>
          <cell r="D1998" t="str">
            <v>Labor Rate</v>
          </cell>
          <cell r="E1998" t="str">
            <v>AP</v>
          </cell>
          <cell r="F1998" t="str">
            <v>Eastern Asia Sub-Regional Division</v>
          </cell>
          <cell r="G1998" t="str">
            <v>Hongkong Rep.O.</v>
          </cell>
          <cell r="H1998" t="str">
            <v>1104</v>
          </cell>
          <cell r="I1998" t="str">
            <v>澳门</v>
          </cell>
          <cell r="J1998" t="str">
            <v>Macau</v>
          </cell>
          <cell r="K1998" t="str">
            <v>Local employees</v>
          </cell>
          <cell r="L1998" t="str">
            <v>L1</v>
          </cell>
          <cell r="M1998" t="str">
            <v>ALL</v>
          </cell>
          <cell r="N1998" t="str">
            <v>FLPC(含奖金)</v>
          </cell>
          <cell r="O1998" t="str">
            <v>USD/小时</v>
          </cell>
          <cell r="P1998">
            <v>43.54</v>
          </cell>
        </row>
        <row r="1999">
          <cell r="A1999" t="str">
            <v>Macau - Local employees - L2</v>
          </cell>
          <cell r="B1999" t="str">
            <v>Current version</v>
          </cell>
          <cell r="C1999" t="str">
            <v>V2009R2</v>
          </cell>
          <cell r="D1999" t="str">
            <v>Labor Rate</v>
          </cell>
          <cell r="E1999" t="str">
            <v>AP</v>
          </cell>
          <cell r="F1999" t="str">
            <v>Eastern Asia Sub-Regional Division</v>
          </cell>
          <cell r="G1999" t="str">
            <v>Hongkong Rep.O.</v>
          </cell>
          <cell r="H1999" t="str">
            <v>1104</v>
          </cell>
          <cell r="I1999" t="str">
            <v>澳门</v>
          </cell>
          <cell r="J1999" t="str">
            <v>Macau</v>
          </cell>
          <cell r="K1999" t="str">
            <v>Local employees</v>
          </cell>
          <cell r="L1999" t="str">
            <v>L2</v>
          </cell>
          <cell r="M1999" t="str">
            <v>ALL</v>
          </cell>
          <cell r="N1999" t="str">
            <v>FLPC(含奖金)</v>
          </cell>
          <cell r="O1999" t="str">
            <v>USD/小时</v>
          </cell>
          <cell r="P1999">
            <v>59.18</v>
          </cell>
        </row>
        <row r="2000">
          <cell r="A2000" t="str">
            <v>Macau - Local employees - L3</v>
          </cell>
          <cell r="B2000" t="str">
            <v>Current version</v>
          </cell>
          <cell r="C2000" t="str">
            <v>V2009R2</v>
          </cell>
          <cell r="D2000" t="str">
            <v>Labor Rate</v>
          </cell>
          <cell r="E2000" t="str">
            <v>AP</v>
          </cell>
          <cell r="F2000" t="str">
            <v>Eastern Asia Sub-Regional Division</v>
          </cell>
          <cell r="G2000" t="str">
            <v>Hongkong Rep.O.</v>
          </cell>
          <cell r="H2000" t="str">
            <v>1104</v>
          </cell>
          <cell r="I2000" t="str">
            <v>澳门</v>
          </cell>
          <cell r="J2000" t="str">
            <v>Macau</v>
          </cell>
          <cell r="K2000" t="str">
            <v>Local employees</v>
          </cell>
          <cell r="L2000" t="str">
            <v>L3</v>
          </cell>
          <cell r="M2000" t="str">
            <v>ALL</v>
          </cell>
          <cell r="N2000" t="str">
            <v>FLPC(含奖金)</v>
          </cell>
          <cell r="O2000" t="str">
            <v>USD/小时</v>
          </cell>
          <cell r="P2000">
            <v>84.64</v>
          </cell>
        </row>
        <row r="2001">
          <cell r="A2001" t="str">
            <v>Macau - Local employees - L4</v>
          </cell>
          <cell r="B2001" t="str">
            <v>Current version</v>
          </cell>
          <cell r="C2001" t="str">
            <v>V2009R2</v>
          </cell>
          <cell r="D2001" t="str">
            <v>Labor Rate</v>
          </cell>
          <cell r="E2001" t="str">
            <v>AP</v>
          </cell>
          <cell r="F2001" t="str">
            <v>Eastern Asia Sub-Regional Division</v>
          </cell>
          <cell r="G2001" t="str">
            <v>Hongkong Rep.O.</v>
          </cell>
          <cell r="H2001" t="str">
            <v>1104</v>
          </cell>
          <cell r="I2001" t="str">
            <v>澳门</v>
          </cell>
          <cell r="J2001" t="str">
            <v>Macau</v>
          </cell>
          <cell r="K2001" t="str">
            <v>Local employees</v>
          </cell>
          <cell r="L2001" t="str">
            <v>L4</v>
          </cell>
          <cell r="M2001" t="str">
            <v>ALL</v>
          </cell>
          <cell r="N2001" t="str">
            <v>FLPC(含奖金)</v>
          </cell>
          <cell r="O2001" t="str">
            <v>USD/小时</v>
          </cell>
          <cell r="P2001">
            <v>99.11</v>
          </cell>
        </row>
        <row r="2002">
          <cell r="A2002" t="str">
            <v>Vietnam - Local employees - L0</v>
          </cell>
          <cell r="B2002" t="str">
            <v>Current version</v>
          </cell>
          <cell r="C2002" t="str">
            <v>V2009R2</v>
          </cell>
          <cell r="D2002" t="str">
            <v>Labor Rate</v>
          </cell>
          <cell r="E2002" t="str">
            <v>AP</v>
          </cell>
          <cell r="F2002" t="str">
            <v>Southern-East Asia Sub-Regional Division</v>
          </cell>
          <cell r="G2002" t="str">
            <v>Vietnam Rep.O.</v>
          </cell>
          <cell r="H2002" t="str">
            <v>1211</v>
          </cell>
          <cell r="I2002" t="str">
            <v>越南</v>
          </cell>
          <cell r="J2002" t="str">
            <v>Vietnam</v>
          </cell>
          <cell r="K2002" t="str">
            <v>Local employees</v>
          </cell>
          <cell r="L2002" t="str">
            <v>L0</v>
          </cell>
          <cell r="M2002" t="str">
            <v>ALL</v>
          </cell>
          <cell r="N2002" t="str">
            <v>FLPC(含奖金)</v>
          </cell>
          <cell r="O2002" t="str">
            <v>USD/小时</v>
          </cell>
          <cell r="P2002">
            <v>10.97</v>
          </cell>
        </row>
        <row r="2003">
          <cell r="A2003" t="str">
            <v>Vietnam - Local employees - L1</v>
          </cell>
          <cell r="B2003" t="str">
            <v>Current version</v>
          </cell>
          <cell r="C2003" t="str">
            <v>V2009R2</v>
          </cell>
          <cell r="D2003" t="str">
            <v>Labor Rate</v>
          </cell>
          <cell r="E2003" t="str">
            <v>AP</v>
          </cell>
          <cell r="F2003" t="str">
            <v>Southern-East Asia Sub-Regional Division</v>
          </cell>
          <cell r="G2003" t="str">
            <v>Vietnam Rep.O.</v>
          </cell>
          <cell r="H2003" t="str">
            <v>1211</v>
          </cell>
          <cell r="I2003" t="str">
            <v>越南</v>
          </cell>
          <cell r="J2003" t="str">
            <v>Vietnam</v>
          </cell>
          <cell r="K2003" t="str">
            <v>Local employees</v>
          </cell>
          <cell r="L2003" t="str">
            <v>L1</v>
          </cell>
          <cell r="M2003" t="str">
            <v>ALL</v>
          </cell>
          <cell r="N2003" t="str">
            <v>FLPC(含奖金)</v>
          </cell>
          <cell r="O2003" t="str">
            <v>USD/小时</v>
          </cell>
          <cell r="P2003">
            <v>13.45</v>
          </cell>
        </row>
        <row r="2004">
          <cell r="A2004" t="str">
            <v>Vietnam - Local employees - L2</v>
          </cell>
          <cell r="B2004" t="str">
            <v>Current version</v>
          </cell>
          <cell r="C2004" t="str">
            <v>V2009R2</v>
          </cell>
          <cell r="D2004" t="str">
            <v>Labor Rate</v>
          </cell>
          <cell r="E2004" t="str">
            <v>AP</v>
          </cell>
          <cell r="F2004" t="str">
            <v>Southern-East Asia Sub-Regional Division</v>
          </cell>
          <cell r="G2004" t="str">
            <v>Vietnam Rep.O.</v>
          </cell>
          <cell r="H2004" t="str">
            <v>1211</v>
          </cell>
          <cell r="I2004" t="str">
            <v>越南</v>
          </cell>
          <cell r="J2004" t="str">
            <v>Vietnam</v>
          </cell>
          <cell r="K2004" t="str">
            <v>Local employees</v>
          </cell>
          <cell r="L2004" t="str">
            <v>L2</v>
          </cell>
          <cell r="M2004" t="str">
            <v>ALL</v>
          </cell>
          <cell r="N2004" t="str">
            <v>FLPC(含奖金)</v>
          </cell>
          <cell r="O2004" t="str">
            <v>USD/小时</v>
          </cell>
          <cell r="P2004">
            <v>17.75</v>
          </cell>
        </row>
        <row r="2005">
          <cell r="A2005" t="str">
            <v>Vietnam - Local employees - L3</v>
          </cell>
          <cell r="B2005" t="str">
            <v>Current version</v>
          </cell>
          <cell r="C2005" t="str">
            <v>V2009R2</v>
          </cell>
          <cell r="D2005" t="str">
            <v>Labor Rate</v>
          </cell>
          <cell r="E2005" t="str">
            <v>AP</v>
          </cell>
          <cell r="F2005" t="str">
            <v>Southern-East Asia Sub-Regional Division</v>
          </cell>
          <cell r="G2005" t="str">
            <v>Vietnam Rep.O.</v>
          </cell>
          <cell r="H2005" t="str">
            <v>1211</v>
          </cell>
          <cell r="I2005" t="str">
            <v>越南</v>
          </cell>
          <cell r="J2005" t="str">
            <v>Vietnam</v>
          </cell>
          <cell r="K2005" t="str">
            <v>Local employees</v>
          </cell>
          <cell r="L2005" t="str">
            <v>L3</v>
          </cell>
          <cell r="M2005" t="str">
            <v>ALL</v>
          </cell>
          <cell r="N2005" t="str">
            <v>FLPC(含奖金)</v>
          </cell>
          <cell r="O2005" t="str">
            <v>USD/小时</v>
          </cell>
          <cell r="P2005">
            <v>24.78</v>
          </cell>
        </row>
        <row r="2006">
          <cell r="A2006" t="str">
            <v>VIETNAM(HOCHIHMING) - Local employees - L0</v>
          </cell>
          <cell r="B2006" t="str">
            <v>Current version</v>
          </cell>
          <cell r="C2006" t="str">
            <v>V2009R2</v>
          </cell>
          <cell r="D2006" t="str">
            <v>Labor Rate</v>
          </cell>
          <cell r="E2006" t="str">
            <v>AP</v>
          </cell>
          <cell r="F2006" t="str">
            <v>Southern-East Asia Sub-Regional Division</v>
          </cell>
          <cell r="G2006" t="str">
            <v>Vietnam Rep.O.</v>
          </cell>
          <cell r="H2006" t="str">
            <v>1225</v>
          </cell>
          <cell r="I2006" t="str">
            <v>越南（胡志明市）</v>
          </cell>
          <cell r="J2006" t="str">
            <v>VIETNAM(HOCHIHMING)</v>
          </cell>
          <cell r="K2006" t="str">
            <v>Local employees</v>
          </cell>
          <cell r="L2006" t="str">
            <v>L0</v>
          </cell>
          <cell r="M2006" t="str">
            <v>ALL</v>
          </cell>
          <cell r="N2006" t="str">
            <v>FLPC(含奖金)</v>
          </cell>
          <cell r="O2006" t="str">
            <v>USD/小时</v>
          </cell>
          <cell r="P2006">
            <v>10.57</v>
          </cell>
        </row>
        <row r="2007">
          <cell r="A2007" t="str">
            <v>VIETNAM(HOCHIHMING) - Local employees - L1</v>
          </cell>
          <cell r="B2007" t="str">
            <v>Current version</v>
          </cell>
          <cell r="C2007" t="str">
            <v>V2009R2</v>
          </cell>
          <cell r="D2007" t="str">
            <v>Labor Rate</v>
          </cell>
          <cell r="E2007" t="str">
            <v>AP</v>
          </cell>
          <cell r="F2007" t="str">
            <v>Southern-East Asia Sub-Regional Division</v>
          </cell>
          <cell r="G2007" t="str">
            <v>Vietnam Rep.O.</v>
          </cell>
          <cell r="H2007" t="str">
            <v>1225</v>
          </cell>
          <cell r="I2007" t="str">
            <v>越南（胡志明市）</v>
          </cell>
          <cell r="J2007" t="str">
            <v>VIETNAM(HOCHIHMING)</v>
          </cell>
          <cell r="K2007" t="str">
            <v>Local employees</v>
          </cell>
          <cell r="L2007" t="str">
            <v>L1</v>
          </cell>
          <cell r="M2007" t="str">
            <v>ALL</v>
          </cell>
          <cell r="N2007" t="str">
            <v>FLPC(含奖金)</v>
          </cell>
          <cell r="O2007" t="str">
            <v>USD/小时</v>
          </cell>
          <cell r="P2007">
            <v>14.12</v>
          </cell>
        </row>
        <row r="2008">
          <cell r="A2008" t="str">
            <v>VIETNAM(HOCHIHMING) - Local employees - L2</v>
          </cell>
          <cell r="B2008" t="str">
            <v>Current version</v>
          </cell>
          <cell r="C2008" t="str">
            <v>V2009R2</v>
          </cell>
          <cell r="D2008" t="str">
            <v>Labor Rate</v>
          </cell>
          <cell r="E2008" t="str">
            <v>AP</v>
          </cell>
          <cell r="F2008" t="str">
            <v>Southern-East Asia Sub-Regional Division</v>
          </cell>
          <cell r="G2008" t="str">
            <v>Vietnam Rep.O.</v>
          </cell>
          <cell r="H2008" t="str">
            <v>1225</v>
          </cell>
          <cell r="I2008" t="str">
            <v>越南（胡志明市）</v>
          </cell>
          <cell r="J2008" t="str">
            <v>VIETNAM(HOCHIHMING)</v>
          </cell>
          <cell r="K2008" t="str">
            <v>Local employees</v>
          </cell>
          <cell r="L2008" t="str">
            <v>L2</v>
          </cell>
          <cell r="M2008" t="str">
            <v>ALL</v>
          </cell>
          <cell r="N2008" t="str">
            <v>FLPC(含奖金)</v>
          </cell>
          <cell r="O2008" t="str">
            <v>USD/小时</v>
          </cell>
          <cell r="P2008">
            <v>17.09</v>
          </cell>
        </row>
        <row r="2009">
          <cell r="A2009" t="str">
            <v>Thailand - Local employees - L0</v>
          </cell>
          <cell r="B2009" t="str">
            <v>Current version</v>
          </cell>
          <cell r="C2009" t="str">
            <v>V2009R2</v>
          </cell>
          <cell r="D2009" t="str">
            <v>Labor Rate</v>
          </cell>
          <cell r="E2009" t="str">
            <v>AP</v>
          </cell>
          <cell r="F2009" t="str">
            <v>Southern-East Asia Sub-Regional Division</v>
          </cell>
          <cell r="G2009" t="str">
            <v>Thailand Rep.O.</v>
          </cell>
          <cell r="H2009" t="str">
            <v>1202</v>
          </cell>
          <cell r="I2009" t="str">
            <v>泰国</v>
          </cell>
          <cell r="J2009" t="str">
            <v>Thailand</v>
          </cell>
          <cell r="K2009" t="str">
            <v>Local employees</v>
          </cell>
          <cell r="L2009" t="str">
            <v>L0</v>
          </cell>
          <cell r="M2009" t="str">
            <v>ALL</v>
          </cell>
          <cell r="N2009" t="str">
            <v>FLPC(含奖金)</v>
          </cell>
          <cell r="O2009" t="str">
            <v>USD/小时</v>
          </cell>
          <cell r="P2009">
            <v>11.54</v>
          </cell>
        </row>
        <row r="2010">
          <cell r="A2010" t="str">
            <v>Thailand - Local employees - L1</v>
          </cell>
          <cell r="B2010" t="str">
            <v>Current version</v>
          </cell>
          <cell r="C2010" t="str">
            <v>V2009R2</v>
          </cell>
          <cell r="D2010" t="str">
            <v>Labor Rate</v>
          </cell>
          <cell r="E2010" t="str">
            <v>AP</v>
          </cell>
          <cell r="F2010" t="str">
            <v>Southern-East Asia Sub-Regional Division</v>
          </cell>
          <cell r="G2010" t="str">
            <v>Thailand Rep.O.</v>
          </cell>
          <cell r="H2010" t="str">
            <v>1202</v>
          </cell>
          <cell r="I2010" t="str">
            <v>泰国</v>
          </cell>
          <cell r="J2010" t="str">
            <v>Thailand</v>
          </cell>
          <cell r="K2010" t="str">
            <v>Local employees</v>
          </cell>
          <cell r="L2010" t="str">
            <v>L1</v>
          </cell>
          <cell r="M2010" t="str">
            <v>ALL</v>
          </cell>
          <cell r="N2010" t="str">
            <v>FLPC(含奖金)</v>
          </cell>
          <cell r="O2010" t="str">
            <v>USD/小时</v>
          </cell>
          <cell r="P2010">
            <v>12.82</v>
          </cell>
        </row>
        <row r="2011">
          <cell r="A2011" t="str">
            <v>Thailand - Local employees - L2</v>
          </cell>
          <cell r="B2011" t="str">
            <v>Current version</v>
          </cell>
          <cell r="C2011" t="str">
            <v>V2009R2</v>
          </cell>
          <cell r="D2011" t="str">
            <v>Labor Rate</v>
          </cell>
          <cell r="E2011" t="str">
            <v>AP</v>
          </cell>
          <cell r="F2011" t="str">
            <v>Southern-East Asia Sub-Regional Division</v>
          </cell>
          <cell r="G2011" t="str">
            <v>Thailand Rep.O.</v>
          </cell>
          <cell r="H2011" t="str">
            <v>1202</v>
          </cell>
          <cell r="I2011" t="str">
            <v>泰国</v>
          </cell>
          <cell r="J2011" t="str">
            <v>Thailand</v>
          </cell>
          <cell r="K2011" t="str">
            <v>Local employees</v>
          </cell>
          <cell r="L2011" t="str">
            <v>L2</v>
          </cell>
          <cell r="M2011" t="str">
            <v>ALL</v>
          </cell>
          <cell r="N2011" t="str">
            <v>FLPC(含奖金)</v>
          </cell>
          <cell r="O2011" t="str">
            <v>USD/小时</v>
          </cell>
          <cell r="P2011">
            <v>18.98</v>
          </cell>
        </row>
        <row r="2012">
          <cell r="A2012" t="str">
            <v>Thailand - Local employees - L3</v>
          </cell>
          <cell r="B2012" t="str">
            <v>Current version</v>
          </cell>
          <cell r="C2012" t="str">
            <v>V2009R2</v>
          </cell>
          <cell r="D2012" t="str">
            <v>Labor Rate</v>
          </cell>
          <cell r="E2012" t="str">
            <v>AP</v>
          </cell>
          <cell r="F2012" t="str">
            <v>Southern-East Asia Sub-Regional Division</v>
          </cell>
          <cell r="G2012" t="str">
            <v>Thailand Rep.O.</v>
          </cell>
          <cell r="H2012" t="str">
            <v>1202</v>
          </cell>
          <cell r="I2012" t="str">
            <v>泰国</v>
          </cell>
          <cell r="J2012" t="str">
            <v>Thailand</v>
          </cell>
          <cell r="K2012" t="str">
            <v>Local employees</v>
          </cell>
          <cell r="L2012" t="str">
            <v>L3</v>
          </cell>
          <cell r="M2012" t="str">
            <v>ALL</v>
          </cell>
          <cell r="N2012" t="str">
            <v>FLPC(含奖金)</v>
          </cell>
          <cell r="O2012" t="str">
            <v>USD/小时</v>
          </cell>
          <cell r="P2012">
            <v>30.47</v>
          </cell>
        </row>
        <row r="2013">
          <cell r="A2013" t="str">
            <v>Myanmar - Local employees - L0</v>
          </cell>
          <cell r="B2013" t="str">
            <v>Current version</v>
          </cell>
          <cell r="C2013" t="str">
            <v>V2009R2</v>
          </cell>
          <cell r="D2013" t="str">
            <v>Labor Rate</v>
          </cell>
          <cell r="E2013" t="str">
            <v>AP</v>
          </cell>
          <cell r="F2013" t="str">
            <v>Southern-East Asia Sub-Regional Division</v>
          </cell>
          <cell r="G2013" t="str">
            <v>Thailand Rep.O.</v>
          </cell>
          <cell r="H2013" t="str">
            <v>1217</v>
          </cell>
          <cell r="I2013" t="str">
            <v>缅甸</v>
          </cell>
          <cell r="J2013" t="str">
            <v>Myanmar</v>
          </cell>
          <cell r="K2013" t="str">
            <v>Local employees</v>
          </cell>
          <cell r="L2013" t="str">
            <v>L0</v>
          </cell>
          <cell r="M2013" t="str">
            <v>ALL</v>
          </cell>
          <cell r="N2013" t="str">
            <v>FLPC(含奖金)</v>
          </cell>
          <cell r="O2013" t="str">
            <v>USD/小时</v>
          </cell>
          <cell r="P2013">
            <v>6.96</v>
          </cell>
        </row>
        <row r="2014">
          <cell r="A2014" t="str">
            <v>Myanmar - Local employees - L1</v>
          </cell>
          <cell r="B2014" t="str">
            <v>Current version</v>
          </cell>
          <cell r="C2014" t="str">
            <v>V2009R2</v>
          </cell>
          <cell r="D2014" t="str">
            <v>Labor Rate</v>
          </cell>
          <cell r="E2014" t="str">
            <v>AP</v>
          </cell>
          <cell r="F2014" t="str">
            <v>Southern-East Asia Sub-Regional Division</v>
          </cell>
          <cell r="G2014" t="str">
            <v>Thailand Rep.O.</v>
          </cell>
          <cell r="H2014" t="str">
            <v>1217</v>
          </cell>
          <cell r="I2014" t="str">
            <v>缅甸</v>
          </cell>
          <cell r="J2014" t="str">
            <v>Myanmar</v>
          </cell>
          <cell r="K2014" t="str">
            <v>Local employees</v>
          </cell>
          <cell r="L2014" t="str">
            <v>L1</v>
          </cell>
          <cell r="M2014" t="str">
            <v>ALL</v>
          </cell>
          <cell r="N2014" t="str">
            <v>FLPC(含奖金)</v>
          </cell>
          <cell r="O2014" t="str">
            <v>USD/小时</v>
          </cell>
          <cell r="P2014">
            <v>8.23</v>
          </cell>
        </row>
        <row r="2015">
          <cell r="A2015" t="str">
            <v>Sri Lanka - Local employees - L0</v>
          </cell>
          <cell r="B2015" t="str">
            <v>Current version</v>
          </cell>
          <cell r="C2015" t="str">
            <v>V2009R2</v>
          </cell>
          <cell r="D2015" t="str">
            <v>Labor Rate</v>
          </cell>
          <cell r="E2015" t="str">
            <v>AP</v>
          </cell>
          <cell r="F2015" t="str">
            <v>Southern-East Asia Sub-Regional Division</v>
          </cell>
          <cell r="G2015" t="str">
            <v>Sri Lanka</v>
          </cell>
          <cell r="H2015" t="str">
            <v>1208</v>
          </cell>
          <cell r="I2015" t="str">
            <v>斯里兰卡</v>
          </cell>
          <cell r="J2015" t="str">
            <v>Sri Lanka</v>
          </cell>
          <cell r="K2015" t="str">
            <v>Local employees</v>
          </cell>
          <cell r="L2015" t="str">
            <v>L0</v>
          </cell>
          <cell r="M2015" t="str">
            <v>ALL</v>
          </cell>
          <cell r="N2015" t="str">
            <v>FLPC(含奖金)</v>
          </cell>
          <cell r="O2015" t="str">
            <v>USD/小时</v>
          </cell>
          <cell r="P2015">
            <v>11.58</v>
          </cell>
        </row>
        <row r="2016">
          <cell r="A2016" t="str">
            <v>Sri Lanka - Local employees - L1</v>
          </cell>
          <cell r="B2016" t="str">
            <v>Current version</v>
          </cell>
          <cell r="C2016" t="str">
            <v>V2009R2</v>
          </cell>
          <cell r="D2016" t="str">
            <v>Labor Rate</v>
          </cell>
          <cell r="E2016" t="str">
            <v>AP</v>
          </cell>
          <cell r="F2016" t="str">
            <v>Southern-East Asia Sub-Regional Division</v>
          </cell>
          <cell r="G2016" t="str">
            <v>Sri Lanka</v>
          </cell>
          <cell r="H2016" t="str">
            <v>1208</v>
          </cell>
          <cell r="I2016" t="str">
            <v>斯里兰卡</v>
          </cell>
          <cell r="J2016" t="str">
            <v>Sri Lanka</v>
          </cell>
          <cell r="K2016" t="str">
            <v>Local employees</v>
          </cell>
          <cell r="L2016" t="str">
            <v>L1</v>
          </cell>
          <cell r="M2016" t="str">
            <v>ALL</v>
          </cell>
          <cell r="N2016" t="str">
            <v>FLPC(含奖金)</v>
          </cell>
          <cell r="O2016" t="str">
            <v>USD/小时</v>
          </cell>
          <cell r="P2016">
            <v>13.39</v>
          </cell>
        </row>
        <row r="2017">
          <cell r="A2017" t="str">
            <v>Sri Lanka - Local employees - L2</v>
          </cell>
          <cell r="B2017" t="str">
            <v>Current version</v>
          </cell>
          <cell r="C2017" t="str">
            <v>V2009R2</v>
          </cell>
          <cell r="D2017" t="str">
            <v>Labor Rate</v>
          </cell>
          <cell r="E2017" t="str">
            <v>AP</v>
          </cell>
          <cell r="F2017" t="str">
            <v>Southern-East Asia Sub-Regional Division</v>
          </cell>
          <cell r="G2017" t="str">
            <v>Sri Lanka</v>
          </cell>
          <cell r="H2017" t="str">
            <v>1208</v>
          </cell>
          <cell r="I2017" t="str">
            <v>斯里兰卡</v>
          </cell>
          <cell r="J2017" t="str">
            <v>Sri Lanka</v>
          </cell>
          <cell r="K2017" t="str">
            <v>Local employees</v>
          </cell>
          <cell r="L2017" t="str">
            <v>L2</v>
          </cell>
          <cell r="M2017" t="str">
            <v>ALL</v>
          </cell>
          <cell r="N2017" t="str">
            <v>FLPC(含奖金)</v>
          </cell>
          <cell r="O2017" t="str">
            <v>USD/小时</v>
          </cell>
          <cell r="P2017">
            <v>18.09</v>
          </cell>
        </row>
        <row r="2018">
          <cell r="A2018" t="str">
            <v>Philippines - Local employees - L0</v>
          </cell>
          <cell r="B2018" t="str">
            <v>Current version</v>
          </cell>
          <cell r="C2018" t="str">
            <v>V2009R2</v>
          </cell>
          <cell r="D2018" t="str">
            <v>Labor Rate</v>
          </cell>
          <cell r="E2018" t="str">
            <v>AP</v>
          </cell>
          <cell r="F2018" t="str">
            <v>Southern-East Asia Sub-Regional Division</v>
          </cell>
          <cell r="G2018" t="str">
            <v>Philippines</v>
          </cell>
          <cell r="H2018" t="str">
            <v>1212</v>
          </cell>
          <cell r="I2018" t="str">
            <v>菲律宾</v>
          </cell>
          <cell r="J2018" t="str">
            <v>Philippines</v>
          </cell>
          <cell r="K2018" t="str">
            <v>Local employees</v>
          </cell>
          <cell r="L2018" t="str">
            <v>L0</v>
          </cell>
          <cell r="M2018" t="str">
            <v>ALL</v>
          </cell>
          <cell r="N2018" t="str">
            <v>FLPC(含奖金)</v>
          </cell>
          <cell r="O2018" t="str">
            <v>USD/小时</v>
          </cell>
          <cell r="P2018">
            <v>10.199999999999999</v>
          </cell>
        </row>
        <row r="2019">
          <cell r="A2019" t="str">
            <v>Philippines - Local employees - L1</v>
          </cell>
          <cell r="B2019" t="str">
            <v>Current version</v>
          </cell>
          <cell r="C2019" t="str">
            <v>V2009R2</v>
          </cell>
          <cell r="D2019" t="str">
            <v>Labor Rate</v>
          </cell>
          <cell r="E2019" t="str">
            <v>AP</v>
          </cell>
          <cell r="F2019" t="str">
            <v>Southern-East Asia Sub-Regional Division</v>
          </cell>
          <cell r="G2019" t="str">
            <v>Philippines</v>
          </cell>
          <cell r="H2019" t="str">
            <v>1212</v>
          </cell>
          <cell r="I2019" t="str">
            <v>菲律宾</v>
          </cell>
          <cell r="J2019" t="str">
            <v>Philippines</v>
          </cell>
          <cell r="K2019" t="str">
            <v>Local employees</v>
          </cell>
          <cell r="L2019" t="str">
            <v>L1</v>
          </cell>
          <cell r="M2019" t="str">
            <v>ALL</v>
          </cell>
          <cell r="N2019" t="str">
            <v>FLPC(含奖金)</v>
          </cell>
          <cell r="O2019" t="str">
            <v>USD/小时</v>
          </cell>
          <cell r="P2019">
            <v>12.04</v>
          </cell>
        </row>
        <row r="2020">
          <cell r="A2020" t="str">
            <v>Philippines - Local employees - L2</v>
          </cell>
          <cell r="B2020" t="str">
            <v>Current version</v>
          </cell>
          <cell r="C2020" t="str">
            <v>V2009R2</v>
          </cell>
          <cell r="D2020" t="str">
            <v>Labor Rate</v>
          </cell>
          <cell r="E2020" t="str">
            <v>AP</v>
          </cell>
          <cell r="F2020" t="str">
            <v>Southern-East Asia Sub-Regional Division</v>
          </cell>
          <cell r="G2020" t="str">
            <v>Philippines</v>
          </cell>
          <cell r="H2020" t="str">
            <v>1212</v>
          </cell>
          <cell r="I2020" t="str">
            <v>菲律宾</v>
          </cell>
          <cell r="J2020" t="str">
            <v>Philippines</v>
          </cell>
          <cell r="K2020" t="str">
            <v>Local employees</v>
          </cell>
          <cell r="L2020" t="str">
            <v>L2</v>
          </cell>
          <cell r="M2020" t="str">
            <v>ALL</v>
          </cell>
          <cell r="N2020" t="str">
            <v>FLPC(含奖金)</v>
          </cell>
          <cell r="O2020" t="str">
            <v>USD/小时</v>
          </cell>
          <cell r="P2020">
            <v>18.16</v>
          </cell>
        </row>
        <row r="2021">
          <cell r="A2021" t="str">
            <v>Philippines - Local employees - L3</v>
          </cell>
          <cell r="B2021" t="str">
            <v>Current version</v>
          </cell>
          <cell r="C2021" t="str">
            <v>V2009R2</v>
          </cell>
          <cell r="D2021" t="str">
            <v>Labor Rate</v>
          </cell>
          <cell r="E2021" t="str">
            <v>AP</v>
          </cell>
          <cell r="F2021" t="str">
            <v>Southern-East Asia Sub-Regional Division</v>
          </cell>
          <cell r="G2021" t="str">
            <v>Philippines</v>
          </cell>
          <cell r="H2021" t="str">
            <v>1212</v>
          </cell>
          <cell r="I2021" t="str">
            <v>菲律宾</v>
          </cell>
          <cell r="J2021" t="str">
            <v>Philippines</v>
          </cell>
          <cell r="K2021" t="str">
            <v>Local employees</v>
          </cell>
          <cell r="L2021" t="str">
            <v>L3</v>
          </cell>
          <cell r="M2021" t="str">
            <v>ALL</v>
          </cell>
          <cell r="N2021" t="str">
            <v>FLPC(含奖金)</v>
          </cell>
          <cell r="O2021" t="str">
            <v>USD/小时</v>
          </cell>
          <cell r="P2021">
            <v>29.66</v>
          </cell>
        </row>
        <row r="2022">
          <cell r="A2022" t="str">
            <v>Cambodia - Local employees - L0</v>
          </cell>
          <cell r="B2022" t="str">
            <v>Current version</v>
          </cell>
          <cell r="C2022" t="str">
            <v>V2009R2</v>
          </cell>
          <cell r="D2022" t="str">
            <v>Labor Rate</v>
          </cell>
          <cell r="E2022" t="str">
            <v>AP</v>
          </cell>
          <cell r="F2022" t="str">
            <v>Southern-East Asia Sub-Regional Division</v>
          </cell>
          <cell r="G2022" t="str">
            <v>Cambodia Rep.O.</v>
          </cell>
          <cell r="H2022" t="str">
            <v>1215</v>
          </cell>
          <cell r="I2022" t="str">
            <v>柬埔寨</v>
          </cell>
          <cell r="J2022" t="str">
            <v>Cambodia</v>
          </cell>
          <cell r="K2022" t="str">
            <v>Local employees</v>
          </cell>
          <cell r="L2022" t="str">
            <v>L0</v>
          </cell>
          <cell r="M2022" t="str">
            <v>ALL</v>
          </cell>
          <cell r="N2022" t="str">
            <v>FLPC(含奖金)</v>
          </cell>
          <cell r="O2022" t="str">
            <v>USD/小时</v>
          </cell>
          <cell r="P2022">
            <v>11.36</v>
          </cell>
        </row>
        <row r="2023">
          <cell r="A2023" t="str">
            <v>Cambodia - Local employees - L1</v>
          </cell>
          <cell r="B2023" t="str">
            <v>Current version</v>
          </cell>
          <cell r="C2023" t="str">
            <v>V2009R2</v>
          </cell>
          <cell r="D2023" t="str">
            <v>Labor Rate</v>
          </cell>
          <cell r="E2023" t="str">
            <v>AP</v>
          </cell>
          <cell r="F2023" t="str">
            <v>Southern-East Asia Sub-Regional Division</v>
          </cell>
          <cell r="G2023" t="str">
            <v>Cambodia Rep.O.</v>
          </cell>
          <cell r="H2023" t="str">
            <v>1215</v>
          </cell>
          <cell r="I2023" t="str">
            <v>柬埔寨</v>
          </cell>
          <cell r="J2023" t="str">
            <v>Cambodia</v>
          </cell>
          <cell r="K2023" t="str">
            <v>Local employees</v>
          </cell>
          <cell r="L2023" t="str">
            <v>L1</v>
          </cell>
          <cell r="M2023" t="str">
            <v>ALL</v>
          </cell>
          <cell r="N2023" t="str">
            <v>FLPC(含奖金)</v>
          </cell>
          <cell r="O2023" t="str">
            <v>USD/小时</v>
          </cell>
          <cell r="P2023">
            <v>11.71</v>
          </cell>
        </row>
        <row r="2024">
          <cell r="A2024" t="str">
            <v>Samara - Local employees - L3</v>
          </cell>
          <cell r="B2024" t="str">
            <v>Current version</v>
          </cell>
          <cell r="C2024" t="str">
            <v>V2009R2</v>
          </cell>
          <cell r="D2024" t="str">
            <v>Labor Rate</v>
          </cell>
          <cell r="E2024" t="str">
            <v>CIS</v>
          </cell>
          <cell r="F2024" t="str">
            <v>Russia</v>
          </cell>
          <cell r="G2024" t="str">
            <v>Russia Rep.O.</v>
          </cell>
          <cell r="H2024" t="str">
            <v>3018</v>
          </cell>
          <cell r="I2024" t="str">
            <v>萨马拉</v>
          </cell>
          <cell r="J2024" t="str">
            <v>Samara</v>
          </cell>
          <cell r="K2024" t="str">
            <v>Local employees</v>
          </cell>
          <cell r="L2024" t="str">
            <v>L3</v>
          </cell>
          <cell r="M2024" t="str">
            <v>ALL</v>
          </cell>
          <cell r="N2024" t="str">
            <v>FLPC(含奖金)</v>
          </cell>
          <cell r="O2024" t="str">
            <v>USD/小时</v>
          </cell>
          <cell r="P2024">
            <v>57.27</v>
          </cell>
        </row>
        <row r="2025">
          <cell r="A2025" t="str">
            <v>Samara - Local employees - L4</v>
          </cell>
          <cell r="B2025" t="str">
            <v>Current version</v>
          </cell>
          <cell r="C2025" t="str">
            <v>V2009R2</v>
          </cell>
          <cell r="D2025" t="str">
            <v>Labor Rate</v>
          </cell>
          <cell r="E2025" t="str">
            <v>CIS</v>
          </cell>
          <cell r="F2025" t="str">
            <v>Russia</v>
          </cell>
          <cell r="G2025" t="str">
            <v>Russia Rep.O.</v>
          </cell>
          <cell r="H2025" t="str">
            <v>3018</v>
          </cell>
          <cell r="I2025" t="str">
            <v>萨马拉</v>
          </cell>
          <cell r="J2025" t="str">
            <v>Samara</v>
          </cell>
          <cell r="K2025" t="str">
            <v>Local employees</v>
          </cell>
          <cell r="L2025" t="str">
            <v>L4</v>
          </cell>
          <cell r="M2025" t="str">
            <v>ALL</v>
          </cell>
          <cell r="N2025" t="str">
            <v>FLPC(含奖金)</v>
          </cell>
          <cell r="O2025" t="str">
            <v>USD/小时</v>
          </cell>
          <cell r="P2025">
            <v>73.87</v>
          </cell>
        </row>
        <row r="2026">
          <cell r="A2026" t="str">
            <v>East Pacific - Local employees - L0</v>
          </cell>
          <cell r="B2026" t="str">
            <v>Current version</v>
          </cell>
          <cell r="C2026" t="str">
            <v>V2009R2</v>
          </cell>
          <cell r="D2026" t="str">
            <v>Labor Rate</v>
          </cell>
          <cell r="E2026" t="str">
            <v>CIS</v>
          </cell>
          <cell r="F2026" t="str">
            <v>Russia</v>
          </cell>
          <cell r="G2026" t="str">
            <v>Russia Rep.O.</v>
          </cell>
          <cell r="H2026" t="str">
            <v>3023</v>
          </cell>
          <cell r="I2026" t="str">
            <v>远东</v>
          </cell>
          <cell r="J2026" t="str">
            <v>East Pacific</v>
          </cell>
          <cell r="K2026" t="str">
            <v>Local employees</v>
          </cell>
          <cell r="L2026" t="str">
            <v>L0</v>
          </cell>
          <cell r="M2026" t="str">
            <v>ALL</v>
          </cell>
          <cell r="N2026" t="str">
            <v>FLPC(含奖金)</v>
          </cell>
          <cell r="O2026" t="str">
            <v>USD/小时</v>
          </cell>
          <cell r="P2026">
            <v>30.59</v>
          </cell>
        </row>
        <row r="2027">
          <cell r="A2027" t="str">
            <v>East Pacific - Local employees - L1</v>
          </cell>
          <cell r="B2027" t="str">
            <v>Current version</v>
          </cell>
          <cell r="C2027" t="str">
            <v>V2009R2</v>
          </cell>
          <cell r="D2027" t="str">
            <v>Labor Rate</v>
          </cell>
          <cell r="E2027" t="str">
            <v>CIS</v>
          </cell>
          <cell r="F2027" t="str">
            <v>Russia</v>
          </cell>
          <cell r="G2027" t="str">
            <v>Russia Rep.O.</v>
          </cell>
          <cell r="H2027" t="str">
            <v>3023</v>
          </cell>
          <cell r="I2027" t="str">
            <v>远东</v>
          </cell>
          <cell r="J2027" t="str">
            <v>East Pacific</v>
          </cell>
          <cell r="K2027" t="str">
            <v>Local employees</v>
          </cell>
          <cell r="L2027" t="str">
            <v>L1</v>
          </cell>
          <cell r="M2027" t="str">
            <v>ALL</v>
          </cell>
          <cell r="N2027" t="str">
            <v>FLPC(含奖金)</v>
          </cell>
          <cell r="O2027" t="str">
            <v>USD/小时</v>
          </cell>
          <cell r="P2027">
            <v>36.72</v>
          </cell>
        </row>
        <row r="2028">
          <cell r="A2028" t="str">
            <v>East Pacific - Local employees - L2</v>
          </cell>
          <cell r="B2028" t="str">
            <v>Current version</v>
          </cell>
          <cell r="C2028" t="str">
            <v>V2009R2</v>
          </cell>
          <cell r="D2028" t="str">
            <v>Labor Rate</v>
          </cell>
          <cell r="E2028" t="str">
            <v>CIS</v>
          </cell>
          <cell r="F2028" t="str">
            <v>Russia</v>
          </cell>
          <cell r="G2028" t="str">
            <v>Russia Rep.O.</v>
          </cell>
          <cell r="H2028" t="str">
            <v>3023</v>
          </cell>
          <cell r="I2028" t="str">
            <v>远东</v>
          </cell>
          <cell r="J2028" t="str">
            <v>East Pacific</v>
          </cell>
          <cell r="K2028" t="str">
            <v>Local employees</v>
          </cell>
          <cell r="L2028" t="str">
            <v>L2</v>
          </cell>
          <cell r="M2028" t="str">
            <v>ALL</v>
          </cell>
          <cell r="N2028" t="str">
            <v>FLPC(含奖金)</v>
          </cell>
          <cell r="O2028" t="str">
            <v>USD/小时</v>
          </cell>
          <cell r="P2028">
            <v>47.39</v>
          </cell>
        </row>
        <row r="2029">
          <cell r="A2029" t="str">
            <v>East Pacific - Local employees - L3</v>
          </cell>
          <cell r="B2029" t="str">
            <v>Current version</v>
          </cell>
          <cell r="C2029" t="str">
            <v>V2009R2</v>
          </cell>
          <cell r="D2029" t="str">
            <v>Labor Rate</v>
          </cell>
          <cell r="E2029" t="str">
            <v>CIS</v>
          </cell>
          <cell r="F2029" t="str">
            <v>Russia</v>
          </cell>
          <cell r="G2029" t="str">
            <v>Russia Rep.O.</v>
          </cell>
          <cell r="H2029" t="str">
            <v>3023</v>
          </cell>
          <cell r="I2029" t="str">
            <v>远东</v>
          </cell>
          <cell r="J2029" t="str">
            <v>East Pacific</v>
          </cell>
          <cell r="K2029" t="str">
            <v>Local employees</v>
          </cell>
          <cell r="L2029" t="str">
            <v>L3</v>
          </cell>
          <cell r="M2029" t="str">
            <v>ALL</v>
          </cell>
          <cell r="N2029" t="str">
            <v>FLPC(含奖金)</v>
          </cell>
          <cell r="O2029" t="str">
            <v>USD/小时</v>
          </cell>
          <cell r="P2029">
            <v>57.27</v>
          </cell>
        </row>
        <row r="2030">
          <cell r="A2030" t="str">
            <v>East Pacific - Local employees - L4</v>
          </cell>
          <cell r="B2030" t="str">
            <v>Current version</v>
          </cell>
          <cell r="C2030" t="str">
            <v>V2009R2</v>
          </cell>
          <cell r="D2030" t="str">
            <v>Labor Rate</v>
          </cell>
          <cell r="E2030" t="str">
            <v>CIS</v>
          </cell>
          <cell r="F2030" t="str">
            <v>Russia</v>
          </cell>
          <cell r="G2030" t="str">
            <v>Russia Rep.O.</v>
          </cell>
          <cell r="H2030" t="str">
            <v>3023</v>
          </cell>
          <cell r="I2030" t="str">
            <v>远东</v>
          </cell>
          <cell r="J2030" t="str">
            <v>East Pacific</v>
          </cell>
          <cell r="K2030" t="str">
            <v>Local employees</v>
          </cell>
          <cell r="L2030" t="str">
            <v>L4</v>
          </cell>
          <cell r="M2030" t="str">
            <v>ALL</v>
          </cell>
          <cell r="N2030" t="str">
            <v>FLPC(含奖金)</v>
          </cell>
          <cell r="O2030" t="str">
            <v>USD/小时</v>
          </cell>
          <cell r="P2030">
            <v>73.87</v>
          </cell>
        </row>
        <row r="2031">
          <cell r="A2031" t="str">
            <v>Siberian - Local employees - L0</v>
          </cell>
          <cell r="B2031" t="str">
            <v>Current version</v>
          </cell>
          <cell r="C2031" t="str">
            <v>V2009R2</v>
          </cell>
          <cell r="D2031" t="str">
            <v>Labor Rate</v>
          </cell>
          <cell r="E2031" t="str">
            <v>CIS</v>
          </cell>
          <cell r="F2031" t="str">
            <v>Russia</v>
          </cell>
          <cell r="G2031" t="str">
            <v>Russia Rep.O.</v>
          </cell>
          <cell r="H2031" t="str">
            <v>3024</v>
          </cell>
          <cell r="I2031" t="str">
            <v>西伯利亚</v>
          </cell>
          <cell r="J2031" t="str">
            <v>Siberian</v>
          </cell>
          <cell r="K2031" t="str">
            <v>Local employees</v>
          </cell>
          <cell r="L2031" t="str">
            <v>L0</v>
          </cell>
          <cell r="M2031" t="str">
            <v>ALL</v>
          </cell>
          <cell r="N2031" t="str">
            <v>FLPC(含奖金)</v>
          </cell>
          <cell r="O2031" t="str">
            <v>USD/小时</v>
          </cell>
          <cell r="P2031">
            <v>30.59</v>
          </cell>
        </row>
        <row r="2032">
          <cell r="A2032" t="str">
            <v>Siberian - Local employees - L1</v>
          </cell>
          <cell r="B2032" t="str">
            <v>Current version</v>
          </cell>
          <cell r="C2032" t="str">
            <v>V2009R2</v>
          </cell>
          <cell r="D2032" t="str">
            <v>Labor Rate</v>
          </cell>
          <cell r="E2032" t="str">
            <v>CIS</v>
          </cell>
          <cell r="F2032" t="str">
            <v>Russia</v>
          </cell>
          <cell r="G2032" t="str">
            <v>Russia Rep.O.</v>
          </cell>
          <cell r="H2032" t="str">
            <v>3024</v>
          </cell>
          <cell r="I2032" t="str">
            <v>西伯利亚</v>
          </cell>
          <cell r="J2032" t="str">
            <v>Siberian</v>
          </cell>
          <cell r="K2032" t="str">
            <v>Local employees</v>
          </cell>
          <cell r="L2032" t="str">
            <v>L1</v>
          </cell>
          <cell r="M2032" t="str">
            <v>ALL</v>
          </cell>
          <cell r="N2032" t="str">
            <v>FLPC(含奖金)</v>
          </cell>
          <cell r="O2032" t="str">
            <v>USD/小时</v>
          </cell>
          <cell r="P2032">
            <v>36.72</v>
          </cell>
        </row>
        <row r="2033">
          <cell r="A2033" t="str">
            <v>Siberian - Local employees - L2</v>
          </cell>
          <cell r="B2033" t="str">
            <v>Current version</v>
          </cell>
          <cell r="C2033" t="str">
            <v>V2009R2</v>
          </cell>
          <cell r="D2033" t="str">
            <v>Labor Rate</v>
          </cell>
          <cell r="E2033" t="str">
            <v>CIS</v>
          </cell>
          <cell r="F2033" t="str">
            <v>Russia</v>
          </cell>
          <cell r="G2033" t="str">
            <v>Russia Rep.O.</v>
          </cell>
          <cell r="H2033" t="str">
            <v>3024</v>
          </cell>
          <cell r="I2033" t="str">
            <v>西伯利亚</v>
          </cell>
          <cell r="J2033" t="str">
            <v>Siberian</v>
          </cell>
          <cell r="K2033" t="str">
            <v>Local employees</v>
          </cell>
          <cell r="L2033" t="str">
            <v>L2</v>
          </cell>
          <cell r="M2033" t="str">
            <v>ALL</v>
          </cell>
          <cell r="N2033" t="str">
            <v>FLPC(含奖金)</v>
          </cell>
          <cell r="O2033" t="str">
            <v>USD/小时</v>
          </cell>
          <cell r="P2033">
            <v>47.39</v>
          </cell>
        </row>
        <row r="2034">
          <cell r="A2034" t="str">
            <v>Siberian - Local employees - L3</v>
          </cell>
          <cell r="B2034" t="str">
            <v>Current version</v>
          </cell>
          <cell r="C2034" t="str">
            <v>V2009R2</v>
          </cell>
          <cell r="D2034" t="str">
            <v>Labor Rate</v>
          </cell>
          <cell r="E2034" t="str">
            <v>CIS</v>
          </cell>
          <cell r="F2034" t="str">
            <v>Russia</v>
          </cell>
          <cell r="G2034" t="str">
            <v>Russia Rep.O.</v>
          </cell>
          <cell r="H2034" t="str">
            <v>3024</v>
          </cell>
          <cell r="I2034" t="str">
            <v>西伯利亚</v>
          </cell>
          <cell r="J2034" t="str">
            <v>Siberian</v>
          </cell>
          <cell r="K2034" t="str">
            <v>Local employees</v>
          </cell>
          <cell r="L2034" t="str">
            <v>L3</v>
          </cell>
          <cell r="M2034" t="str">
            <v>ALL</v>
          </cell>
          <cell r="N2034" t="str">
            <v>FLPC(含奖金)</v>
          </cell>
          <cell r="O2034" t="str">
            <v>USD/小时</v>
          </cell>
          <cell r="P2034">
            <v>57.27</v>
          </cell>
        </row>
        <row r="2035">
          <cell r="A2035" t="str">
            <v>Siberian - Local employees - L4</v>
          </cell>
          <cell r="B2035" t="str">
            <v>Current version</v>
          </cell>
          <cell r="C2035" t="str">
            <v>V2009R2</v>
          </cell>
          <cell r="D2035" t="str">
            <v>Labor Rate</v>
          </cell>
          <cell r="E2035" t="str">
            <v>CIS</v>
          </cell>
          <cell r="F2035" t="str">
            <v>Russia</v>
          </cell>
          <cell r="G2035" t="str">
            <v>Russia Rep.O.</v>
          </cell>
          <cell r="H2035" t="str">
            <v>3024</v>
          </cell>
          <cell r="I2035" t="str">
            <v>西伯利亚</v>
          </cell>
          <cell r="J2035" t="str">
            <v>Siberian</v>
          </cell>
          <cell r="K2035" t="str">
            <v>Local employees</v>
          </cell>
          <cell r="L2035" t="str">
            <v>L4</v>
          </cell>
          <cell r="M2035" t="str">
            <v>ALL</v>
          </cell>
          <cell r="N2035" t="str">
            <v>FLPC(含奖金)</v>
          </cell>
          <cell r="O2035" t="str">
            <v>USD/小时</v>
          </cell>
          <cell r="P2035">
            <v>73.87</v>
          </cell>
        </row>
        <row r="2036">
          <cell r="A2036" t="str">
            <v>Ural - Local employees - L0</v>
          </cell>
          <cell r="B2036" t="str">
            <v>Current version</v>
          </cell>
          <cell r="C2036" t="str">
            <v>V2009R2</v>
          </cell>
          <cell r="D2036" t="str">
            <v>Labor Rate</v>
          </cell>
          <cell r="E2036" t="str">
            <v>CIS</v>
          </cell>
          <cell r="F2036" t="str">
            <v>Russia</v>
          </cell>
          <cell r="G2036" t="str">
            <v>Russia Rep.O.</v>
          </cell>
          <cell r="H2036" t="str">
            <v>3026</v>
          </cell>
          <cell r="I2036" t="str">
            <v>乌拉尔</v>
          </cell>
          <cell r="J2036" t="str">
            <v>Ural</v>
          </cell>
          <cell r="K2036" t="str">
            <v>Local employees</v>
          </cell>
          <cell r="L2036" t="str">
            <v>L0</v>
          </cell>
          <cell r="M2036" t="str">
            <v>ALL</v>
          </cell>
          <cell r="N2036" t="str">
            <v>FLPC(含奖金)</v>
          </cell>
          <cell r="O2036" t="str">
            <v>USD/小时</v>
          </cell>
          <cell r="P2036">
            <v>30.59</v>
          </cell>
        </row>
        <row r="2037">
          <cell r="A2037" t="str">
            <v>Ural - Local employees - L1</v>
          </cell>
          <cell r="B2037" t="str">
            <v>Current version</v>
          </cell>
          <cell r="C2037" t="str">
            <v>V2009R2</v>
          </cell>
          <cell r="D2037" t="str">
            <v>Labor Rate</v>
          </cell>
          <cell r="E2037" t="str">
            <v>CIS</v>
          </cell>
          <cell r="F2037" t="str">
            <v>Russia</v>
          </cell>
          <cell r="G2037" t="str">
            <v>Russia Rep.O.</v>
          </cell>
          <cell r="H2037" t="str">
            <v>3026</v>
          </cell>
          <cell r="I2037" t="str">
            <v>乌拉尔</v>
          </cell>
          <cell r="J2037" t="str">
            <v>Ural</v>
          </cell>
          <cell r="K2037" t="str">
            <v>Local employees</v>
          </cell>
          <cell r="L2037" t="str">
            <v>L1</v>
          </cell>
          <cell r="M2037" t="str">
            <v>ALL</v>
          </cell>
          <cell r="N2037" t="str">
            <v>FLPC(含奖金)</v>
          </cell>
          <cell r="O2037" t="str">
            <v>USD/小时</v>
          </cell>
          <cell r="P2037">
            <v>36.72</v>
          </cell>
        </row>
        <row r="2038">
          <cell r="A2038" t="str">
            <v>Ural - Local employees - L2</v>
          </cell>
          <cell r="B2038" t="str">
            <v>Current version</v>
          </cell>
          <cell r="C2038" t="str">
            <v>V2009R2</v>
          </cell>
          <cell r="D2038" t="str">
            <v>Labor Rate</v>
          </cell>
          <cell r="E2038" t="str">
            <v>CIS</v>
          </cell>
          <cell r="F2038" t="str">
            <v>Russia</v>
          </cell>
          <cell r="G2038" t="str">
            <v>Russia Rep.O.</v>
          </cell>
          <cell r="H2038" t="str">
            <v>3026</v>
          </cell>
          <cell r="I2038" t="str">
            <v>乌拉尔</v>
          </cell>
          <cell r="J2038" t="str">
            <v>Ural</v>
          </cell>
          <cell r="K2038" t="str">
            <v>Local employees</v>
          </cell>
          <cell r="L2038" t="str">
            <v>L2</v>
          </cell>
          <cell r="M2038" t="str">
            <v>ALL</v>
          </cell>
          <cell r="N2038" t="str">
            <v>FLPC(含奖金)</v>
          </cell>
          <cell r="O2038" t="str">
            <v>USD/小时</v>
          </cell>
          <cell r="P2038">
            <v>47.39</v>
          </cell>
        </row>
        <row r="2039">
          <cell r="A2039" t="str">
            <v>Ural - Local employees - L3</v>
          </cell>
          <cell r="B2039" t="str">
            <v>Current version</v>
          </cell>
          <cell r="C2039" t="str">
            <v>V2009R2</v>
          </cell>
          <cell r="D2039" t="str">
            <v>Labor Rate</v>
          </cell>
          <cell r="E2039" t="str">
            <v>CIS</v>
          </cell>
          <cell r="F2039" t="str">
            <v>Russia</v>
          </cell>
          <cell r="G2039" t="str">
            <v>Russia Rep.O.</v>
          </cell>
          <cell r="H2039" t="str">
            <v>3026</v>
          </cell>
          <cell r="I2039" t="str">
            <v>乌拉尔</v>
          </cell>
          <cell r="J2039" t="str">
            <v>Ural</v>
          </cell>
          <cell r="K2039" t="str">
            <v>Local employees</v>
          </cell>
          <cell r="L2039" t="str">
            <v>L3</v>
          </cell>
          <cell r="M2039" t="str">
            <v>ALL</v>
          </cell>
          <cell r="N2039" t="str">
            <v>FLPC(含奖金)</v>
          </cell>
          <cell r="O2039" t="str">
            <v>USD/小时</v>
          </cell>
          <cell r="P2039">
            <v>57.27</v>
          </cell>
        </row>
        <row r="2040">
          <cell r="A2040" t="str">
            <v>Ural - Local employees - L4</v>
          </cell>
          <cell r="B2040" t="str">
            <v>Current version</v>
          </cell>
          <cell r="C2040" t="str">
            <v>V2009R2</v>
          </cell>
          <cell r="D2040" t="str">
            <v>Labor Rate</v>
          </cell>
          <cell r="E2040" t="str">
            <v>CIS</v>
          </cell>
          <cell r="F2040" t="str">
            <v>Russia</v>
          </cell>
          <cell r="G2040" t="str">
            <v>Russia Rep.O.</v>
          </cell>
          <cell r="H2040" t="str">
            <v>3026</v>
          </cell>
          <cell r="I2040" t="str">
            <v>乌拉尔</v>
          </cell>
          <cell r="J2040" t="str">
            <v>Ural</v>
          </cell>
          <cell r="K2040" t="str">
            <v>Local employees</v>
          </cell>
          <cell r="L2040" t="str">
            <v>L4</v>
          </cell>
          <cell r="M2040" t="str">
            <v>ALL</v>
          </cell>
          <cell r="N2040" t="str">
            <v>FLPC(含奖金)</v>
          </cell>
          <cell r="O2040" t="str">
            <v>USD/小时</v>
          </cell>
          <cell r="P2040">
            <v>73.87</v>
          </cell>
        </row>
        <row r="2041">
          <cell r="A2041" t="str">
            <v>Ekaterinburg - Local employees - L0</v>
          </cell>
          <cell r="B2041" t="str">
            <v>Current version</v>
          </cell>
          <cell r="C2041" t="str">
            <v>V2009R2</v>
          </cell>
          <cell r="D2041" t="str">
            <v>Labor Rate</v>
          </cell>
          <cell r="E2041" t="str">
            <v>CIS</v>
          </cell>
          <cell r="F2041" t="str">
            <v>Russia</v>
          </cell>
          <cell r="G2041" t="str">
            <v>Russia Rep.O.</v>
          </cell>
          <cell r="H2041" t="str">
            <v>3027</v>
          </cell>
          <cell r="I2041" t="str">
            <v>叶卡捷林堡</v>
          </cell>
          <cell r="J2041" t="str">
            <v>Ekaterinburg</v>
          </cell>
          <cell r="K2041" t="str">
            <v>Local employees</v>
          </cell>
          <cell r="L2041" t="str">
            <v>L0</v>
          </cell>
          <cell r="M2041" t="str">
            <v>ALL</v>
          </cell>
          <cell r="N2041" t="str">
            <v>FLPC(含奖金)</v>
          </cell>
          <cell r="O2041" t="str">
            <v>USD/小时</v>
          </cell>
          <cell r="P2041">
            <v>30.59</v>
          </cell>
        </row>
        <row r="2042">
          <cell r="A2042" t="str">
            <v>Ekaterinburg - Local employees - L1</v>
          </cell>
          <cell r="B2042" t="str">
            <v>Current version</v>
          </cell>
          <cell r="C2042" t="str">
            <v>V2009R2</v>
          </cell>
          <cell r="D2042" t="str">
            <v>Labor Rate</v>
          </cell>
          <cell r="E2042" t="str">
            <v>CIS</v>
          </cell>
          <cell r="F2042" t="str">
            <v>Russia</v>
          </cell>
          <cell r="G2042" t="str">
            <v>Russia Rep.O.</v>
          </cell>
          <cell r="H2042" t="str">
            <v>3027</v>
          </cell>
          <cell r="I2042" t="str">
            <v>叶卡捷林堡</v>
          </cell>
          <cell r="J2042" t="str">
            <v>Ekaterinburg</v>
          </cell>
          <cell r="K2042" t="str">
            <v>Local employees</v>
          </cell>
          <cell r="L2042" t="str">
            <v>L1</v>
          </cell>
          <cell r="M2042" t="str">
            <v>ALL</v>
          </cell>
          <cell r="N2042" t="str">
            <v>FLPC(含奖金)</v>
          </cell>
          <cell r="O2042" t="str">
            <v>USD/小时</v>
          </cell>
          <cell r="P2042">
            <v>36.72</v>
          </cell>
        </row>
        <row r="2043">
          <cell r="A2043" t="str">
            <v>Ekaterinburg - Local employees - L2</v>
          </cell>
          <cell r="B2043" t="str">
            <v>Current version</v>
          </cell>
          <cell r="C2043" t="str">
            <v>V2009R2</v>
          </cell>
          <cell r="D2043" t="str">
            <v>Labor Rate</v>
          </cell>
          <cell r="E2043" t="str">
            <v>CIS</v>
          </cell>
          <cell r="F2043" t="str">
            <v>Russia</v>
          </cell>
          <cell r="G2043" t="str">
            <v>Russia Rep.O.</v>
          </cell>
          <cell r="H2043" t="str">
            <v>3027</v>
          </cell>
          <cell r="I2043" t="str">
            <v>叶卡捷林堡</v>
          </cell>
          <cell r="J2043" t="str">
            <v>Ekaterinburg</v>
          </cell>
          <cell r="K2043" t="str">
            <v>Local employees</v>
          </cell>
          <cell r="L2043" t="str">
            <v>L2</v>
          </cell>
          <cell r="M2043" t="str">
            <v>ALL</v>
          </cell>
          <cell r="N2043" t="str">
            <v>FLPC(含奖金)</v>
          </cell>
          <cell r="O2043" t="str">
            <v>USD/小时</v>
          </cell>
          <cell r="P2043">
            <v>47.39</v>
          </cell>
        </row>
        <row r="2044">
          <cell r="A2044" t="str">
            <v>Ekaterinburg - Local employees - L3</v>
          </cell>
          <cell r="B2044" t="str">
            <v>Current version</v>
          </cell>
          <cell r="C2044" t="str">
            <v>V2009R2</v>
          </cell>
          <cell r="D2044" t="str">
            <v>Labor Rate</v>
          </cell>
          <cell r="E2044" t="str">
            <v>CIS</v>
          </cell>
          <cell r="F2044" t="str">
            <v>Russia</v>
          </cell>
          <cell r="G2044" t="str">
            <v>Russia Rep.O.</v>
          </cell>
          <cell r="H2044" t="str">
            <v>3027</v>
          </cell>
          <cell r="I2044" t="str">
            <v>叶卡捷林堡</v>
          </cell>
          <cell r="J2044" t="str">
            <v>Ekaterinburg</v>
          </cell>
          <cell r="K2044" t="str">
            <v>Local employees</v>
          </cell>
          <cell r="L2044" t="str">
            <v>L3</v>
          </cell>
          <cell r="M2044" t="str">
            <v>ALL</v>
          </cell>
          <cell r="N2044" t="str">
            <v>FLPC(含奖金)</v>
          </cell>
          <cell r="O2044" t="str">
            <v>USD/小时</v>
          </cell>
          <cell r="P2044">
            <v>57.27</v>
          </cell>
        </row>
        <row r="2045">
          <cell r="A2045" t="str">
            <v>Ekaterinburg - Local employees - L4</v>
          </cell>
          <cell r="B2045" t="str">
            <v>Current version</v>
          </cell>
          <cell r="C2045" t="str">
            <v>V2009R2</v>
          </cell>
          <cell r="D2045" t="str">
            <v>Labor Rate</v>
          </cell>
          <cell r="E2045" t="str">
            <v>CIS</v>
          </cell>
          <cell r="F2045" t="str">
            <v>Russia</v>
          </cell>
          <cell r="G2045" t="str">
            <v>Russia Rep.O.</v>
          </cell>
          <cell r="H2045" t="str">
            <v>3027</v>
          </cell>
          <cell r="I2045" t="str">
            <v>叶卡捷林堡</v>
          </cell>
          <cell r="J2045" t="str">
            <v>Ekaterinburg</v>
          </cell>
          <cell r="K2045" t="str">
            <v>Local employees</v>
          </cell>
          <cell r="L2045" t="str">
            <v>L4</v>
          </cell>
          <cell r="M2045" t="str">
            <v>ALL</v>
          </cell>
          <cell r="N2045" t="str">
            <v>FLPC(含奖金)</v>
          </cell>
          <cell r="O2045" t="str">
            <v>USD/小时</v>
          </cell>
          <cell r="P2045">
            <v>73.87</v>
          </cell>
        </row>
        <row r="2046">
          <cell r="A2046" t="str">
            <v>Kracnodar - Local employees - L0</v>
          </cell>
          <cell r="B2046" t="str">
            <v>Current version</v>
          </cell>
          <cell r="C2046" t="str">
            <v>V2009R2</v>
          </cell>
          <cell r="D2046" t="str">
            <v>Labor Rate</v>
          </cell>
          <cell r="E2046" t="str">
            <v>CIS</v>
          </cell>
          <cell r="F2046" t="str">
            <v>Russia</v>
          </cell>
          <cell r="G2046" t="str">
            <v>Russia Rep.O.</v>
          </cell>
          <cell r="H2046" t="str">
            <v>3028</v>
          </cell>
          <cell r="I2046" t="str">
            <v>克拉斯诺达尔</v>
          </cell>
          <cell r="J2046" t="str">
            <v>Kracnodar</v>
          </cell>
          <cell r="K2046" t="str">
            <v>Local employees</v>
          </cell>
          <cell r="L2046" t="str">
            <v>L0</v>
          </cell>
          <cell r="M2046" t="str">
            <v>ALL</v>
          </cell>
          <cell r="N2046" t="str">
            <v>FLPC(含奖金)</v>
          </cell>
          <cell r="O2046" t="str">
            <v>USD/小时</v>
          </cell>
          <cell r="P2046">
            <v>30.59</v>
          </cell>
        </row>
        <row r="2047">
          <cell r="A2047" t="str">
            <v>Kracnodar - Local employees - L1</v>
          </cell>
          <cell r="B2047" t="str">
            <v>Current version</v>
          </cell>
          <cell r="C2047" t="str">
            <v>V2009R2</v>
          </cell>
          <cell r="D2047" t="str">
            <v>Labor Rate</v>
          </cell>
          <cell r="E2047" t="str">
            <v>CIS</v>
          </cell>
          <cell r="F2047" t="str">
            <v>Russia</v>
          </cell>
          <cell r="G2047" t="str">
            <v>Russia Rep.O.</v>
          </cell>
          <cell r="H2047" t="str">
            <v>3028</v>
          </cell>
          <cell r="I2047" t="str">
            <v>克拉斯诺达尔</v>
          </cell>
          <cell r="J2047" t="str">
            <v>Kracnodar</v>
          </cell>
          <cell r="K2047" t="str">
            <v>Local employees</v>
          </cell>
          <cell r="L2047" t="str">
            <v>L1</v>
          </cell>
          <cell r="M2047" t="str">
            <v>ALL</v>
          </cell>
          <cell r="N2047" t="str">
            <v>FLPC(含奖金)</v>
          </cell>
          <cell r="O2047" t="str">
            <v>USD/小时</v>
          </cell>
          <cell r="P2047">
            <v>36.72</v>
          </cell>
        </row>
        <row r="2048">
          <cell r="A2048" t="str">
            <v>Kracnodar - Local employees - L2</v>
          </cell>
          <cell r="B2048" t="str">
            <v>Current version</v>
          </cell>
          <cell r="C2048" t="str">
            <v>V2009R2</v>
          </cell>
          <cell r="D2048" t="str">
            <v>Labor Rate</v>
          </cell>
          <cell r="E2048" t="str">
            <v>CIS</v>
          </cell>
          <cell r="F2048" t="str">
            <v>Russia</v>
          </cell>
          <cell r="G2048" t="str">
            <v>Russia Rep.O.</v>
          </cell>
          <cell r="H2048" t="str">
            <v>3028</v>
          </cell>
          <cell r="I2048" t="str">
            <v>克拉斯诺达尔</v>
          </cell>
          <cell r="J2048" t="str">
            <v>Kracnodar</v>
          </cell>
          <cell r="K2048" t="str">
            <v>Local employees</v>
          </cell>
          <cell r="L2048" t="str">
            <v>L2</v>
          </cell>
          <cell r="M2048" t="str">
            <v>ALL</v>
          </cell>
          <cell r="N2048" t="str">
            <v>FLPC(含奖金)</v>
          </cell>
          <cell r="O2048" t="str">
            <v>USD/小时</v>
          </cell>
          <cell r="P2048">
            <v>47.39</v>
          </cell>
        </row>
        <row r="2049">
          <cell r="A2049" t="str">
            <v>Kracnodar - Local employees - L3</v>
          </cell>
          <cell r="B2049" t="str">
            <v>Current version</v>
          </cell>
          <cell r="C2049" t="str">
            <v>V2009R2</v>
          </cell>
          <cell r="D2049" t="str">
            <v>Labor Rate</v>
          </cell>
          <cell r="E2049" t="str">
            <v>CIS</v>
          </cell>
          <cell r="F2049" t="str">
            <v>Russia</v>
          </cell>
          <cell r="G2049" t="str">
            <v>Russia Rep.O.</v>
          </cell>
          <cell r="H2049" t="str">
            <v>3028</v>
          </cell>
          <cell r="I2049" t="str">
            <v>克拉斯诺达尔</v>
          </cell>
          <cell r="J2049" t="str">
            <v>Kracnodar</v>
          </cell>
          <cell r="K2049" t="str">
            <v>Local employees</v>
          </cell>
          <cell r="L2049" t="str">
            <v>L3</v>
          </cell>
          <cell r="M2049" t="str">
            <v>ALL</v>
          </cell>
          <cell r="N2049" t="str">
            <v>FLPC(含奖金)</v>
          </cell>
          <cell r="O2049" t="str">
            <v>USD/小时</v>
          </cell>
          <cell r="P2049">
            <v>57.27</v>
          </cell>
        </row>
        <row r="2050">
          <cell r="A2050" t="str">
            <v>Kracnodar - Local employees - L4</v>
          </cell>
          <cell r="B2050" t="str">
            <v>Current version</v>
          </cell>
          <cell r="C2050" t="str">
            <v>V2009R2</v>
          </cell>
          <cell r="D2050" t="str">
            <v>Labor Rate</v>
          </cell>
          <cell r="E2050" t="str">
            <v>CIS</v>
          </cell>
          <cell r="F2050" t="str">
            <v>Russia</v>
          </cell>
          <cell r="G2050" t="str">
            <v>Russia Rep.O.</v>
          </cell>
          <cell r="H2050" t="str">
            <v>3028</v>
          </cell>
          <cell r="I2050" t="str">
            <v>克拉斯诺达尔</v>
          </cell>
          <cell r="J2050" t="str">
            <v>Kracnodar</v>
          </cell>
          <cell r="K2050" t="str">
            <v>Local employees</v>
          </cell>
          <cell r="L2050" t="str">
            <v>L4</v>
          </cell>
          <cell r="M2050" t="str">
            <v>ALL</v>
          </cell>
          <cell r="N2050" t="str">
            <v>FLPC(含奖金)</v>
          </cell>
          <cell r="O2050" t="str">
            <v>USD/小时</v>
          </cell>
          <cell r="P2050">
            <v>73.87</v>
          </cell>
        </row>
        <row r="2051">
          <cell r="A2051" t="str">
            <v>Irkusk - Local employees - L0</v>
          </cell>
          <cell r="B2051" t="str">
            <v>Current version</v>
          </cell>
          <cell r="C2051" t="str">
            <v>V2009R2</v>
          </cell>
          <cell r="D2051" t="str">
            <v>Labor Rate</v>
          </cell>
          <cell r="E2051" t="str">
            <v>CIS</v>
          </cell>
          <cell r="F2051" t="str">
            <v>Russia</v>
          </cell>
          <cell r="G2051" t="str">
            <v>Russia Rep.O.</v>
          </cell>
          <cell r="H2051" t="str">
            <v>3029</v>
          </cell>
          <cell r="I2051" t="str">
            <v>伊尔库斯克</v>
          </cell>
          <cell r="J2051" t="str">
            <v>Irkusk</v>
          </cell>
          <cell r="K2051" t="str">
            <v>Local employees</v>
          </cell>
          <cell r="L2051" t="str">
            <v>L0</v>
          </cell>
          <cell r="M2051" t="str">
            <v>ALL</v>
          </cell>
          <cell r="N2051" t="str">
            <v>FLPC(含奖金)</v>
          </cell>
          <cell r="O2051" t="str">
            <v>USD/小时</v>
          </cell>
          <cell r="P2051">
            <v>30.59</v>
          </cell>
        </row>
        <row r="2052">
          <cell r="A2052" t="str">
            <v>Irkusk - Local employees - L1</v>
          </cell>
          <cell r="B2052" t="str">
            <v>Current version</v>
          </cell>
          <cell r="C2052" t="str">
            <v>V2009R2</v>
          </cell>
          <cell r="D2052" t="str">
            <v>Labor Rate</v>
          </cell>
          <cell r="E2052" t="str">
            <v>CIS</v>
          </cell>
          <cell r="F2052" t="str">
            <v>Russia</v>
          </cell>
          <cell r="G2052" t="str">
            <v>Russia Rep.O.</v>
          </cell>
          <cell r="H2052" t="str">
            <v>3029</v>
          </cell>
          <cell r="I2052" t="str">
            <v>伊尔库斯克</v>
          </cell>
          <cell r="J2052" t="str">
            <v>Irkusk</v>
          </cell>
          <cell r="K2052" t="str">
            <v>Local employees</v>
          </cell>
          <cell r="L2052" t="str">
            <v>L1</v>
          </cell>
          <cell r="M2052" t="str">
            <v>ALL</v>
          </cell>
          <cell r="N2052" t="str">
            <v>FLPC(含奖金)</v>
          </cell>
          <cell r="O2052" t="str">
            <v>USD/小时</v>
          </cell>
          <cell r="P2052">
            <v>36.72</v>
          </cell>
        </row>
        <row r="2053">
          <cell r="A2053" t="str">
            <v>Irkusk - Local employees - L2</v>
          </cell>
          <cell r="B2053" t="str">
            <v>Current version</v>
          </cell>
          <cell r="C2053" t="str">
            <v>V2009R2</v>
          </cell>
          <cell r="D2053" t="str">
            <v>Labor Rate</v>
          </cell>
          <cell r="E2053" t="str">
            <v>CIS</v>
          </cell>
          <cell r="F2053" t="str">
            <v>Russia</v>
          </cell>
          <cell r="G2053" t="str">
            <v>Russia Rep.O.</v>
          </cell>
          <cell r="H2053" t="str">
            <v>3029</v>
          </cell>
          <cell r="I2053" t="str">
            <v>伊尔库斯克</v>
          </cell>
          <cell r="J2053" t="str">
            <v>Irkusk</v>
          </cell>
          <cell r="K2053" t="str">
            <v>Local employees</v>
          </cell>
          <cell r="L2053" t="str">
            <v>L2</v>
          </cell>
          <cell r="M2053" t="str">
            <v>ALL</v>
          </cell>
          <cell r="N2053" t="str">
            <v>FLPC(含奖金)</v>
          </cell>
          <cell r="O2053" t="str">
            <v>USD/小时</v>
          </cell>
          <cell r="P2053">
            <v>47.39</v>
          </cell>
        </row>
        <row r="2054">
          <cell r="A2054" t="str">
            <v>Irkusk - Local employees - L3</v>
          </cell>
          <cell r="B2054" t="str">
            <v>Current version</v>
          </cell>
          <cell r="C2054" t="str">
            <v>V2009R2</v>
          </cell>
          <cell r="D2054" t="str">
            <v>Labor Rate</v>
          </cell>
          <cell r="E2054" t="str">
            <v>CIS</v>
          </cell>
          <cell r="F2054" t="str">
            <v>Russia</v>
          </cell>
          <cell r="G2054" t="str">
            <v>Russia Rep.O.</v>
          </cell>
          <cell r="H2054" t="str">
            <v>3029</v>
          </cell>
          <cell r="I2054" t="str">
            <v>伊尔库斯克</v>
          </cell>
          <cell r="J2054" t="str">
            <v>Irkusk</v>
          </cell>
          <cell r="K2054" t="str">
            <v>Local employees</v>
          </cell>
          <cell r="L2054" t="str">
            <v>L3</v>
          </cell>
          <cell r="M2054" t="str">
            <v>ALL</v>
          </cell>
          <cell r="N2054" t="str">
            <v>FLPC(含奖金)</v>
          </cell>
          <cell r="O2054" t="str">
            <v>USD/小时</v>
          </cell>
          <cell r="P2054">
            <v>57.27</v>
          </cell>
        </row>
        <row r="2055">
          <cell r="A2055" t="str">
            <v>Irkusk - Local employees - L4</v>
          </cell>
          <cell r="B2055" t="str">
            <v>Current version</v>
          </cell>
          <cell r="C2055" t="str">
            <v>V2009R2</v>
          </cell>
          <cell r="D2055" t="str">
            <v>Labor Rate</v>
          </cell>
          <cell r="E2055" t="str">
            <v>CIS</v>
          </cell>
          <cell r="F2055" t="str">
            <v>Russia</v>
          </cell>
          <cell r="G2055" t="str">
            <v>Russia Rep.O.</v>
          </cell>
          <cell r="H2055" t="str">
            <v>3029</v>
          </cell>
          <cell r="I2055" t="str">
            <v>伊尔库斯克</v>
          </cell>
          <cell r="J2055" t="str">
            <v>Irkusk</v>
          </cell>
          <cell r="K2055" t="str">
            <v>Local employees</v>
          </cell>
          <cell r="L2055" t="str">
            <v>L4</v>
          </cell>
          <cell r="M2055" t="str">
            <v>ALL</v>
          </cell>
          <cell r="N2055" t="str">
            <v>FLPC(含奖金)</v>
          </cell>
          <cell r="O2055" t="str">
            <v>USD/小时</v>
          </cell>
          <cell r="P2055">
            <v>73.87</v>
          </cell>
        </row>
        <row r="2056">
          <cell r="A2056" t="str">
            <v>Kazan - Local employees - L0</v>
          </cell>
          <cell r="B2056" t="str">
            <v>Current version</v>
          </cell>
          <cell r="C2056" t="str">
            <v>V2009R2</v>
          </cell>
          <cell r="D2056" t="str">
            <v>Labor Rate</v>
          </cell>
          <cell r="E2056" t="str">
            <v>CIS</v>
          </cell>
          <cell r="F2056" t="str">
            <v>Russia</v>
          </cell>
          <cell r="G2056" t="str">
            <v>Russia Rep.O.</v>
          </cell>
          <cell r="H2056" t="str">
            <v>3030</v>
          </cell>
          <cell r="I2056" t="str">
            <v>喀山</v>
          </cell>
          <cell r="J2056" t="str">
            <v>Kazan</v>
          </cell>
          <cell r="K2056" t="str">
            <v>Local employees</v>
          </cell>
          <cell r="L2056" t="str">
            <v>L0</v>
          </cell>
          <cell r="M2056" t="str">
            <v>ALL</v>
          </cell>
          <cell r="N2056" t="str">
            <v>FLPC(含奖金)</v>
          </cell>
          <cell r="O2056" t="str">
            <v>USD/小时</v>
          </cell>
          <cell r="P2056">
            <v>30.59</v>
          </cell>
        </row>
        <row r="2057">
          <cell r="A2057" t="str">
            <v>Kazan - Local employees - L1</v>
          </cell>
          <cell r="B2057" t="str">
            <v>Current version</v>
          </cell>
          <cell r="C2057" t="str">
            <v>V2009R2</v>
          </cell>
          <cell r="D2057" t="str">
            <v>Labor Rate</v>
          </cell>
          <cell r="E2057" t="str">
            <v>CIS</v>
          </cell>
          <cell r="F2057" t="str">
            <v>Russia</v>
          </cell>
          <cell r="G2057" t="str">
            <v>Russia Rep.O.</v>
          </cell>
          <cell r="H2057" t="str">
            <v>3030</v>
          </cell>
          <cell r="I2057" t="str">
            <v>喀山</v>
          </cell>
          <cell r="J2057" t="str">
            <v>Kazan</v>
          </cell>
          <cell r="K2057" t="str">
            <v>Local employees</v>
          </cell>
          <cell r="L2057" t="str">
            <v>L1</v>
          </cell>
          <cell r="M2057" t="str">
            <v>ALL</v>
          </cell>
          <cell r="N2057" t="str">
            <v>FLPC(含奖金)</v>
          </cell>
          <cell r="O2057" t="str">
            <v>USD/小时</v>
          </cell>
          <cell r="P2057">
            <v>36.72</v>
          </cell>
        </row>
        <row r="2058">
          <cell r="A2058" t="str">
            <v>Kazan - Local employees - L2</v>
          </cell>
          <cell r="B2058" t="str">
            <v>Current version</v>
          </cell>
          <cell r="C2058" t="str">
            <v>V2009R2</v>
          </cell>
          <cell r="D2058" t="str">
            <v>Labor Rate</v>
          </cell>
          <cell r="E2058" t="str">
            <v>CIS</v>
          </cell>
          <cell r="F2058" t="str">
            <v>Russia</v>
          </cell>
          <cell r="G2058" t="str">
            <v>Russia Rep.O.</v>
          </cell>
          <cell r="H2058" t="str">
            <v>3030</v>
          </cell>
          <cell r="I2058" t="str">
            <v>喀山</v>
          </cell>
          <cell r="J2058" t="str">
            <v>Kazan</v>
          </cell>
          <cell r="K2058" t="str">
            <v>Local employees</v>
          </cell>
          <cell r="L2058" t="str">
            <v>L2</v>
          </cell>
          <cell r="M2058" t="str">
            <v>ALL</v>
          </cell>
          <cell r="N2058" t="str">
            <v>FLPC(含奖金)</v>
          </cell>
          <cell r="O2058" t="str">
            <v>USD/小时</v>
          </cell>
          <cell r="P2058">
            <v>47.39</v>
          </cell>
        </row>
        <row r="2059">
          <cell r="A2059" t="str">
            <v>Kazan - Local employees - L3</v>
          </cell>
          <cell r="B2059" t="str">
            <v>Current version</v>
          </cell>
          <cell r="C2059" t="str">
            <v>V2009R2</v>
          </cell>
          <cell r="D2059" t="str">
            <v>Labor Rate</v>
          </cell>
          <cell r="E2059" t="str">
            <v>CIS</v>
          </cell>
          <cell r="F2059" t="str">
            <v>Russia</v>
          </cell>
          <cell r="G2059" t="str">
            <v>Russia Rep.O.</v>
          </cell>
          <cell r="H2059" t="str">
            <v>3030</v>
          </cell>
          <cell r="I2059" t="str">
            <v>喀山</v>
          </cell>
          <cell r="J2059" t="str">
            <v>Kazan</v>
          </cell>
          <cell r="K2059" t="str">
            <v>Local employees</v>
          </cell>
          <cell r="L2059" t="str">
            <v>L3</v>
          </cell>
          <cell r="M2059" t="str">
            <v>ALL</v>
          </cell>
          <cell r="N2059" t="str">
            <v>FLPC(含奖金)</v>
          </cell>
          <cell r="O2059" t="str">
            <v>USD/小时</v>
          </cell>
          <cell r="P2059">
            <v>57.27</v>
          </cell>
        </row>
        <row r="2060">
          <cell r="A2060" t="str">
            <v>Kazan - Local employees - L4</v>
          </cell>
          <cell r="B2060" t="str">
            <v>Current version</v>
          </cell>
          <cell r="C2060" t="str">
            <v>V2009R2</v>
          </cell>
          <cell r="D2060" t="str">
            <v>Labor Rate</v>
          </cell>
          <cell r="E2060" t="str">
            <v>CIS</v>
          </cell>
          <cell r="F2060" t="str">
            <v>Russia</v>
          </cell>
          <cell r="G2060" t="str">
            <v>Russia Rep.O.</v>
          </cell>
          <cell r="H2060" t="str">
            <v>3030</v>
          </cell>
          <cell r="I2060" t="str">
            <v>喀山</v>
          </cell>
          <cell r="J2060" t="str">
            <v>Kazan</v>
          </cell>
          <cell r="K2060" t="str">
            <v>Local employees</v>
          </cell>
          <cell r="L2060" t="str">
            <v>L4</v>
          </cell>
          <cell r="M2060" t="str">
            <v>ALL</v>
          </cell>
          <cell r="N2060" t="str">
            <v>FLPC(含奖金)</v>
          </cell>
          <cell r="O2060" t="str">
            <v>USD/小时</v>
          </cell>
          <cell r="P2060">
            <v>73.87</v>
          </cell>
        </row>
        <row r="2061">
          <cell r="A2061" t="str">
            <v>Khabarovsk - Local employees - L0</v>
          </cell>
          <cell r="B2061" t="str">
            <v>Current version</v>
          </cell>
          <cell r="C2061" t="str">
            <v>V2009R2</v>
          </cell>
          <cell r="D2061" t="str">
            <v>Labor Rate</v>
          </cell>
          <cell r="E2061" t="str">
            <v>CIS</v>
          </cell>
          <cell r="F2061" t="str">
            <v>Russia</v>
          </cell>
          <cell r="G2061" t="str">
            <v>Russia Rep.O.</v>
          </cell>
          <cell r="H2061" t="str">
            <v>3031</v>
          </cell>
          <cell r="I2061" t="str">
            <v>哈巴罗夫斯克</v>
          </cell>
          <cell r="J2061" t="str">
            <v>Khabarovsk</v>
          </cell>
          <cell r="K2061" t="str">
            <v>Local employees</v>
          </cell>
          <cell r="L2061" t="str">
            <v>L0</v>
          </cell>
          <cell r="M2061" t="str">
            <v>ALL</v>
          </cell>
          <cell r="N2061" t="str">
            <v>FLPC(含奖金)</v>
          </cell>
          <cell r="O2061" t="str">
            <v>USD/小时</v>
          </cell>
          <cell r="P2061">
            <v>30.59</v>
          </cell>
        </row>
        <row r="2062">
          <cell r="A2062" t="str">
            <v>Khabarovsk - Local employees - L1</v>
          </cell>
          <cell r="B2062" t="str">
            <v>Current version</v>
          </cell>
          <cell r="C2062" t="str">
            <v>V2009R2</v>
          </cell>
          <cell r="D2062" t="str">
            <v>Labor Rate</v>
          </cell>
          <cell r="E2062" t="str">
            <v>CIS</v>
          </cell>
          <cell r="F2062" t="str">
            <v>Russia</v>
          </cell>
          <cell r="G2062" t="str">
            <v>Russia Rep.O.</v>
          </cell>
          <cell r="H2062" t="str">
            <v>3031</v>
          </cell>
          <cell r="I2062" t="str">
            <v>哈巴罗夫斯克</v>
          </cell>
          <cell r="J2062" t="str">
            <v>Khabarovsk</v>
          </cell>
          <cell r="K2062" t="str">
            <v>Local employees</v>
          </cell>
          <cell r="L2062" t="str">
            <v>L1</v>
          </cell>
          <cell r="M2062" t="str">
            <v>ALL</v>
          </cell>
          <cell r="N2062" t="str">
            <v>FLPC(含奖金)</v>
          </cell>
          <cell r="O2062" t="str">
            <v>USD/小时</v>
          </cell>
          <cell r="P2062">
            <v>36.72</v>
          </cell>
        </row>
        <row r="2063">
          <cell r="A2063" t="str">
            <v>Khabarovsk - Local employees - L2</v>
          </cell>
          <cell r="B2063" t="str">
            <v>Current version</v>
          </cell>
          <cell r="C2063" t="str">
            <v>V2009R2</v>
          </cell>
          <cell r="D2063" t="str">
            <v>Labor Rate</v>
          </cell>
          <cell r="E2063" t="str">
            <v>CIS</v>
          </cell>
          <cell r="F2063" t="str">
            <v>Russia</v>
          </cell>
          <cell r="G2063" t="str">
            <v>Russia Rep.O.</v>
          </cell>
          <cell r="H2063" t="str">
            <v>3031</v>
          </cell>
          <cell r="I2063" t="str">
            <v>哈巴罗夫斯克</v>
          </cell>
          <cell r="J2063" t="str">
            <v>Khabarovsk</v>
          </cell>
          <cell r="K2063" t="str">
            <v>Local employees</v>
          </cell>
          <cell r="L2063" t="str">
            <v>L2</v>
          </cell>
          <cell r="M2063" t="str">
            <v>ALL</v>
          </cell>
          <cell r="N2063" t="str">
            <v>FLPC(含奖金)</v>
          </cell>
          <cell r="O2063" t="str">
            <v>USD/小时</v>
          </cell>
          <cell r="P2063">
            <v>47.39</v>
          </cell>
        </row>
        <row r="2064">
          <cell r="A2064" t="str">
            <v>Khabarovsk - Local employees - L3</v>
          </cell>
          <cell r="B2064" t="str">
            <v>Current version</v>
          </cell>
          <cell r="C2064" t="str">
            <v>V2009R2</v>
          </cell>
          <cell r="D2064" t="str">
            <v>Labor Rate</v>
          </cell>
          <cell r="E2064" t="str">
            <v>CIS</v>
          </cell>
          <cell r="F2064" t="str">
            <v>Russia</v>
          </cell>
          <cell r="G2064" t="str">
            <v>Russia Rep.O.</v>
          </cell>
          <cell r="H2064" t="str">
            <v>3031</v>
          </cell>
          <cell r="I2064" t="str">
            <v>哈巴罗夫斯克</v>
          </cell>
          <cell r="J2064" t="str">
            <v>Khabarovsk</v>
          </cell>
          <cell r="K2064" t="str">
            <v>Local employees</v>
          </cell>
          <cell r="L2064" t="str">
            <v>L3</v>
          </cell>
          <cell r="M2064" t="str">
            <v>ALL</v>
          </cell>
          <cell r="N2064" t="str">
            <v>FLPC(含奖金)</v>
          </cell>
          <cell r="O2064" t="str">
            <v>USD/小时</v>
          </cell>
          <cell r="P2064">
            <v>57.27</v>
          </cell>
        </row>
        <row r="2065">
          <cell r="A2065" t="str">
            <v>Khabarovsk - Local employees - L4</v>
          </cell>
          <cell r="B2065" t="str">
            <v>Current version</v>
          </cell>
          <cell r="C2065" t="str">
            <v>V2009R2</v>
          </cell>
          <cell r="D2065" t="str">
            <v>Labor Rate</v>
          </cell>
          <cell r="E2065" t="str">
            <v>CIS</v>
          </cell>
          <cell r="F2065" t="str">
            <v>Russia</v>
          </cell>
          <cell r="G2065" t="str">
            <v>Russia Rep.O.</v>
          </cell>
          <cell r="H2065" t="str">
            <v>3031</v>
          </cell>
          <cell r="I2065" t="str">
            <v>哈巴罗夫斯克</v>
          </cell>
          <cell r="J2065" t="str">
            <v>Khabarovsk</v>
          </cell>
          <cell r="K2065" t="str">
            <v>Local employees</v>
          </cell>
          <cell r="L2065" t="str">
            <v>L4</v>
          </cell>
          <cell r="M2065" t="str">
            <v>ALL</v>
          </cell>
          <cell r="N2065" t="str">
            <v>FLPC(含奖金)</v>
          </cell>
          <cell r="O2065" t="str">
            <v>USD/小时</v>
          </cell>
          <cell r="P2065">
            <v>73.87</v>
          </cell>
        </row>
        <row r="2066">
          <cell r="A2066" t="str">
            <v>Cambodia - Local employees - L2</v>
          </cell>
          <cell r="B2066" t="str">
            <v>Current version</v>
          </cell>
          <cell r="C2066" t="str">
            <v>V2009R2</v>
          </cell>
          <cell r="D2066" t="str">
            <v>Labor Rate</v>
          </cell>
          <cell r="E2066" t="str">
            <v>AP</v>
          </cell>
          <cell r="F2066" t="str">
            <v>Southern-East Asia Sub-Regional Division</v>
          </cell>
          <cell r="G2066" t="str">
            <v>Cambodia Rep.O.</v>
          </cell>
          <cell r="H2066" t="str">
            <v>1215</v>
          </cell>
          <cell r="I2066" t="str">
            <v>柬埔寨</v>
          </cell>
          <cell r="J2066" t="str">
            <v>Cambodia</v>
          </cell>
          <cell r="K2066" t="str">
            <v>Local employees</v>
          </cell>
          <cell r="L2066" t="str">
            <v>L2</v>
          </cell>
          <cell r="M2066" t="str">
            <v>ALL</v>
          </cell>
          <cell r="N2066" t="str">
            <v>FLPC(含奖金)</v>
          </cell>
          <cell r="O2066" t="str">
            <v>USD/小时</v>
          </cell>
          <cell r="P2066">
            <v>14.2</v>
          </cell>
        </row>
        <row r="2067">
          <cell r="A2067" t="str">
            <v>Laos - Local employees - L1</v>
          </cell>
          <cell r="B2067" t="str">
            <v>Current version</v>
          </cell>
          <cell r="C2067" t="str">
            <v>V2009R2</v>
          </cell>
          <cell r="D2067" t="str">
            <v>Labor Rate</v>
          </cell>
          <cell r="E2067" t="str">
            <v>AP</v>
          </cell>
          <cell r="F2067" t="str">
            <v>Southern-East Asia Sub-Regional Division</v>
          </cell>
          <cell r="G2067" t="str">
            <v>Cambodia Rep.O.</v>
          </cell>
          <cell r="H2067" t="str">
            <v>1216</v>
          </cell>
          <cell r="I2067" t="str">
            <v>老挝</v>
          </cell>
          <cell r="J2067" t="str">
            <v>Laos</v>
          </cell>
          <cell r="K2067" t="str">
            <v>Local employees</v>
          </cell>
          <cell r="L2067" t="str">
            <v>L1</v>
          </cell>
          <cell r="M2067" t="str">
            <v>ALL</v>
          </cell>
          <cell r="N2067" t="str">
            <v>FLPC(含奖金)</v>
          </cell>
          <cell r="O2067" t="str">
            <v>USD/小时</v>
          </cell>
          <cell r="P2067">
            <v>10.29</v>
          </cell>
        </row>
        <row r="2068">
          <cell r="A2068" t="str">
            <v>Laos - Local employees - L2</v>
          </cell>
          <cell r="B2068" t="str">
            <v>Current version</v>
          </cell>
          <cell r="C2068" t="str">
            <v>V2009R2</v>
          </cell>
          <cell r="D2068" t="str">
            <v>Labor Rate</v>
          </cell>
          <cell r="E2068" t="str">
            <v>AP</v>
          </cell>
          <cell r="F2068" t="str">
            <v>Southern-East Asia Sub-Regional Division</v>
          </cell>
          <cell r="G2068" t="str">
            <v>Cambodia Rep.O.</v>
          </cell>
          <cell r="H2068" t="str">
            <v>1216</v>
          </cell>
          <cell r="I2068" t="str">
            <v>老挝</v>
          </cell>
          <cell r="J2068" t="str">
            <v>Laos</v>
          </cell>
          <cell r="K2068" t="str">
            <v>Local employees</v>
          </cell>
          <cell r="L2068" t="str">
            <v>L2</v>
          </cell>
          <cell r="M2068" t="str">
            <v>ALL</v>
          </cell>
          <cell r="N2068" t="str">
            <v>FLPC(含奖金)</v>
          </cell>
          <cell r="O2068" t="str">
            <v>USD/小时</v>
          </cell>
          <cell r="P2068">
            <v>14.05</v>
          </cell>
        </row>
        <row r="2069">
          <cell r="A2069" t="str">
            <v>Singapore - Local employees - L3</v>
          </cell>
          <cell r="B2069" t="str">
            <v>Current version</v>
          </cell>
          <cell r="C2069" t="str">
            <v>V2009R2</v>
          </cell>
          <cell r="D2069" t="str">
            <v>Labor Rate</v>
          </cell>
          <cell r="E2069" t="str">
            <v>AP</v>
          </cell>
          <cell r="F2069" t="str">
            <v>Southern Pacific Sub-Regional Division</v>
          </cell>
          <cell r="G2069" t="str">
            <v>Singapore</v>
          </cell>
          <cell r="H2069" t="str">
            <v>1210</v>
          </cell>
          <cell r="I2069" t="str">
            <v>新加坡</v>
          </cell>
          <cell r="J2069" t="str">
            <v>Singapore</v>
          </cell>
          <cell r="K2069" t="str">
            <v>Local employees</v>
          </cell>
          <cell r="L2069" t="str">
            <v>L3</v>
          </cell>
          <cell r="M2069" t="str">
            <v>ALL</v>
          </cell>
          <cell r="N2069" t="str">
            <v>FLPC(含奖金)</v>
          </cell>
          <cell r="O2069" t="str">
            <v>USD/小时</v>
          </cell>
          <cell r="P2069">
            <v>47.35</v>
          </cell>
        </row>
        <row r="2070">
          <cell r="A2070" t="str">
            <v>Mali - Local employees - L2</v>
          </cell>
          <cell r="B2070" t="str">
            <v>Current version</v>
          </cell>
          <cell r="C2070" t="str">
            <v>V2009R2</v>
          </cell>
          <cell r="D2070" t="str">
            <v>Labor Rate</v>
          </cell>
          <cell r="E2070" t="str">
            <v>MENA</v>
          </cell>
          <cell r="F2070" t="str">
            <v>Northern Africa Sub-Regional Division</v>
          </cell>
          <cell r="G2070" t="str">
            <v>Senegal Rep.O.</v>
          </cell>
          <cell r="H2070" t="str">
            <v>4023</v>
          </cell>
          <cell r="I2070" t="str">
            <v>马里</v>
          </cell>
          <cell r="J2070" t="str">
            <v>Mali</v>
          </cell>
          <cell r="K2070" t="str">
            <v>Local employees</v>
          </cell>
          <cell r="L2070" t="str">
            <v>L2</v>
          </cell>
          <cell r="M2070" t="str">
            <v>ALL</v>
          </cell>
          <cell r="N2070" t="str">
            <v>FLPC(含奖金)</v>
          </cell>
          <cell r="O2070" t="str">
            <v>USD/小时</v>
          </cell>
          <cell r="P2070">
            <v>139.9</v>
          </cell>
        </row>
        <row r="2071">
          <cell r="A2071" t="str">
            <v>India - Local employees - L4</v>
          </cell>
          <cell r="B2071" t="str">
            <v>Current version</v>
          </cell>
          <cell r="C2071" t="str">
            <v>V2009R2</v>
          </cell>
          <cell r="D2071" t="str">
            <v>Labor Rate</v>
          </cell>
          <cell r="E2071" t="str">
            <v>AP</v>
          </cell>
          <cell r="F2071" t="str">
            <v>India Rep.O.</v>
          </cell>
          <cell r="G2071" t="str">
            <v>India</v>
          </cell>
          <cell r="H2071" t="str">
            <v>1209</v>
          </cell>
          <cell r="I2071" t="str">
            <v>印度</v>
          </cell>
          <cell r="J2071" t="str">
            <v>India</v>
          </cell>
          <cell r="K2071" t="str">
            <v>Local employees</v>
          </cell>
          <cell r="L2071" t="str">
            <v>L4</v>
          </cell>
          <cell r="M2071" t="str">
            <v>ALL</v>
          </cell>
          <cell r="N2071" t="str">
            <v>FLPC(含奖金)</v>
          </cell>
          <cell r="O2071" t="str">
            <v>USD/小时</v>
          </cell>
          <cell r="P2071">
            <v>162.94</v>
          </cell>
        </row>
        <row r="2072">
          <cell r="A2072" t="str">
            <v>India - Local employees - L3</v>
          </cell>
          <cell r="B2072" t="str">
            <v>Current version</v>
          </cell>
          <cell r="C2072" t="str">
            <v>V2009R2</v>
          </cell>
          <cell r="D2072" t="str">
            <v>Labor Rate</v>
          </cell>
          <cell r="E2072" t="str">
            <v>AP</v>
          </cell>
          <cell r="F2072" t="str">
            <v>India Rep.O.</v>
          </cell>
          <cell r="G2072" t="str">
            <v>India</v>
          </cell>
          <cell r="H2072" t="str">
            <v>1209</v>
          </cell>
          <cell r="I2072" t="str">
            <v>印度</v>
          </cell>
          <cell r="J2072" t="str">
            <v>India</v>
          </cell>
          <cell r="K2072" t="str">
            <v>Local employees</v>
          </cell>
          <cell r="L2072" t="str">
            <v>L3</v>
          </cell>
          <cell r="M2072" t="str">
            <v>ALL</v>
          </cell>
          <cell r="N2072" t="str">
            <v>FLPC(含奖金)</v>
          </cell>
          <cell r="O2072" t="str">
            <v>USD/小时</v>
          </cell>
          <cell r="P2072">
            <v>46.97</v>
          </cell>
        </row>
        <row r="2073">
          <cell r="A2073" t="str">
            <v>India - Local employees - L2</v>
          </cell>
          <cell r="B2073" t="str">
            <v>Current version</v>
          </cell>
          <cell r="C2073" t="str">
            <v>V2009R2</v>
          </cell>
          <cell r="D2073" t="str">
            <v>Labor Rate</v>
          </cell>
          <cell r="E2073" t="str">
            <v>AP</v>
          </cell>
          <cell r="F2073" t="str">
            <v>India Rep.O.</v>
          </cell>
          <cell r="G2073" t="str">
            <v>India</v>
          </cell>
          <cell r="H2073" t="str">
            <v>1209</v>
          </cell>
          <cell r="I2073" t="str">
            <v>印度</v>
          </cell>
          <cell r="J2073" t="str">
            <v>India</v>
          </cell>
          <cell r="K2073" t="str">
            <v>Local employees</v>
          </cell>
          <cell r="L2073" t="str">
            <v>L2</v>
          </cell>
          <cell r="M2073" t="str">
            <v>ALL</v>
          </cell>
          <cell r="N2073" t="str">
            <v>FLPC(含奖金)</v>
          </cell>
          <cell r="O2073" t="str">
            <v>USD/小时</v>
          </cell>
          <cell r="P2073">
            <v>22.61</v>
          </cell>
        </row>
        <row r="2074">
          <cell r="A2074" t="str">
            <v>India - Local employees - L1</v>
          </cell>
          <cell r="B2074" t="str">
            <v>Current version</v>
          </cell>
          <cell r="C2074" t="str">
            <v>V2009R2</v>
          </cell>
          <cell r="D2074" t="str">
            <v>Labor Rate</v>
          </cell>
          <cell r="E2074" t="str">
            <v>AP</v>
          </cell>
          <cell r="F2074" t="str">
            <v>India Rep.O.</v>
          </cell>
          <cell r="G2074" t="str">
            <v>India</v>
          </cell>
          <cell r="H2074" t="str">
            <v>1209</v>
          </cell>
          <cell r="I2074" t="str">
            <v>印度</v>
          </cell>
          <cell r="J2074" t="str">
            <v>India</v>
          </cell>
          <cell r="K2074" t="str">
            <v>Local employees</v>
          </cell>
          <cell r="L2074" t="str">
            <v>L1</v>
          </cell>
          <cell r="M2074" t="str">
            <v>ALL</v>
          </cell>
          <cell r="N2074" t="str">
            <v>FLPC(含奖金)</v>
          </cell>
          <cell r="O2074" t="str">
            <v>USD/小时</v>
          </cell>
          <cell r="P2074">
            <v>14.08</v>
          </cell>
        </row>
        <row r="2075">
          <cell r="A2075" t="str">
            <v>India - Local employees - L0</v>
          </cell>
          <cell r="B2075" t="str">
            <v>Current version</v>
          </cell>
          <cell r="C2075" t="str">
            <v>V2009R2</v>
          </cell>
          <cell r="D2075" t="str">
            <v>Labor Rate</v>
          </cell>
          <cell r="E2075" t="str">
            <v>AP</v>
          </cell>
          <cell r="F2075" t="str">
            <v>India Rep.O.</v>
          </cell>
          <cell r="G2075" t="str">
            <v>India</v>
          </cell>
          <cell r="H2075" t="str">
            <v>1209</v>
          </cell>
          <cell r="I2075" t="str">
            <v>印度</v>
          </cell>
          <cell r="J2075" t="str">
            <v>India</v>
          </cell>
          <cell r="K2075" t="str">
            <v>Local employees</v>
          </cell>
          <cell r="L2075" t="str">
            <v>L0</v>
          </cell>
          <cell r="M2075" t="str">
            <v>ALL</v>
          </cell>
          <cell r="N2075" t="str">
            <v>FLPC(含奖金)</v>
          </cell>
          <cell r="O2075" t="str">
            <v>USD/小时</v>
          </cell>
          <cell r="P2075">
            <v>12.94</v>
          </cell>
        </row>
        <row r="2076">
          <cell r="A2076" t="str">
            <v>India Bangalore Office - Local employees - L4</v>
          </cell>
          <cell r="B2076" t="str">
            <v>Current version</v>
          </cell>
          <cell r="C2076" t="str">
            <v>V2009R2</v>
          </cell>
          <cell r="D2076" t="str">
            <v>Labor Rate</v>
          </cell>
          <cell r="E2076" t="str">
            <v>AP</v>
          </cell>
          <cell r="F2076" t="str">
            <v>India Rep.O.</v>
          </cell>
          <cell r="G2076" t="str">
            <v>India Bangalore</v>
          </cell>
          <cell r="H2076" t="str">
            <v>1237</v>
          </cell>
          <cell r="I2076" t="str">
            <v>印度Bangalore办事处</v>
          </cell>
          <cell r="J2076" t="str">
            <v>India Bangalore Office</v>
          </cell>
          <cell r="K2076" t="str">
            <v>Local employees</v>
          </cell>
          <cell r="L2076" t="str">
            <v>L4</v>
          </cell>
          <cell r="M2076" t="str">
            <v>ALL</v>
          </cell>
          <cell r="N2076" t="str">
            <v>FLPC(含奖金)</v>
          </cell>
          <cell r="O2076" t="str">
            <v>USD/小时</v>
          </cell>
          <cell r="P2076">
            <v>162.94</v>
          </cell>
        </row>
        <row r="2077">
          <cell r="A2077" t="str">
            <v>India Bangalore Office - Local employees - L3</v>
          </cell>
          <cell r="B2077" t="str">
            <v>Current version</v>
          </cell>
          <cell r="C2077" t="str">
            <v>V2009R2</v>
          </cell>
          <cell r="D2077" t="str">
            <v>Labor Rate</v>
          </cell>
          <cell r="E2077" t="str">
            <v>AP</v>
          </cell>
          <cell r="F2077" t="str">
            <v>India Rep.O.</v>
          </cell>
          <cell r="G2077" t="str">
            <v>India Bangalore</v>
          </cell>
          <cell r="H2077" t="str">
            <v>1237</v>
          </cell>
          <cell r="I2077" t="str">
            <v>印度Bangalore办事处</v>
          </cell>
          <cell r="J2077" t="str">
            <v>India Bangalore Office</v>
          </cell>
          <cell r="K2077" t="str">
            <v>Local employees</v>
          </cell>
          <cell r="L2077" t="str">
            <v>L3</v>
          </cell>
          <cell r="M2077" t="str">
            <v>ALL</v>
          </cell>
          <cell r="N2077" t="str">
            <v>FLPC(含奖金)</v>
          </cell>
          <cell r="O2077" t="str">
            <v>USD/小时</v>
          </cell>
          <cell r="P2077">
            <v>51.56</v>
          </cell>
        </row>
        <row r="2078">
          <cell r="A2078" t="str">
            <v>India Bangalore Office - Local employees - L2</v>
          </cell>
          <cell r="B2078" t="str">
            <v>Current version</v>
          </cell>
          <cell r="C2078" t="str">
            <v>V2009R2</v>
          </cell>
          <cell r="D2078" t="str">
            <v>Labor Rate</v>
          </cell>
          <cell r="E2078" t="str">
            <v>AP</v>
          </cell>
          <cell r="F2078" t="str">
            <v>India Rep.O.</v>
          </cell>
          <cell r="G2078" t="str">
            <v>India Bangalore</v>
          </cell>
          <cell r="H2078" t="str">
            <v>1237</v>
          </cell>
          <cell r="I2078" t="str">
            <v>印度Bangalore办事处</v>
          </cell>
          <cell r="J2078" t="str">
            <v>India Bangalore Office</v>
          </cell>
          <cell r="K2078" t="str">
            <v>Local employees</v>
          </cell>
          <cell r="L2078" t="str">
            <v>L2</v>
          </cell>
          <cell r="M2078" t="str">
            <v>ALL</v>
          </cell>
          <cell r="N2078" t="str">
            <v>FLPC(含奖金)</v>
          </cell>
          <cell r="O2078" t="str">
            <v>USD/小时</v>
          </cell>
          <cell r="P2078">
            <v>22.18</v>
          </cell>
        </row>
        <row r="2079">
          <cell r="A2079" t="str">
            <v>India Bangalore Office - Local employees - L1</v>
          </cell>
          <cell r="B2079" t="str">
            <v>Current version</v>
          </cell>
          <cell r="C2079" t="str">
            <v>V2009R2</v>
          </cell>
          <cell r="D2079" t="str">
            <v>Labor Rate</v>
          </cell>
          <cell r="E2079" t="str">
            <v>AP</v>
          </cell>
          <cell r="F2079" t="str">
            <v>India Rep.O.</v>
          </cell>
          <cell r="G2079" t="str">
            <v>India Bangalore</v>
          </cell>
          <cell r="H2079" t="str">
            <v>1237</v>
          </cell>
          <cell r="I2079" t="str">
            <v>印度Bangalore办事处</v>
          </cell>
          <cell r="J2079" t="str">
            <v>India Bangalore Office</v>
          </cell>
          <cell r="K2079" t="str">
            <v>Local employees</v>
          </cell>
          <cell r="L2079" t="str">
            <v>L1</v>
          </cell>
          <cell r="M2079" t="str">
            <v>ALL</v>
          </cell>
          <cell r="N2079" t="str">
            <v>FLPC(含奖金)</v>
          </cell>
          <cell r="O2079" t="str">
            <v>USD/小时</v>
          </cell>
          <cell r="P2079">
            <v>14.01</v>
          </cell>
        </row>
        <row r="2080">
          <cell r="A2080" t="str">
            <v>India Bangalore Office - Local employees - L0</v>
          </cell>
          <cell r="B2080" t="str">
            <v>Current version</v>
          </cell>
          <cell r="C2080" t="str">
            <v>V2009R2</v>
          </cell>
          <cell r="D2080" t="str">
            <v>Labor Rate</v>
          </cell>
          <cell r="E2080" t="str">
            <v>AP</v>
          </cell>
          <cell r="F2080" t="str">
            <v>India Rep.O.</v>
          </cell>
          <cell r="G2080" t="str">
            <v>India Bangalore</v>
          </cell>
          <cell r="H2080" t="str">
            <v>1237</v>
          </cell>
          <cell r="I2080" t="str">
            <v>印度Bangalore办事处</v>
          </cell>
          <cell r="J2080" t="str">
            <v>India Bangalore Office</v>
          </cell>
          <cell r="K2080" t="str">
            <v>Local employees</v>
          </cell>
          <cell r="L2080" t="str">
            <v>L0</v>
          </cell>
          <cell r="M2080" t="str">
            <v>ALL</v>
          </cell>
          <cell r="N2080" t="str">
            <v>FLPC(含奖金)</v>
          </cell>
          <cell r="O2080" t="str">
            <v>USD/小时</v>
          </cell>
          <cell r="P2080">
            <v>12.94</v>
          </cell>
        </row>
        <row r="2081">
          <cell r="A2081" t="str">
            <v>India Chennai Office - Local employees - L4</v>
          </cell>
          <cell r="B2081" t="str">
            <v>Current version</v>
          </cell>
          <cell r="C2081" t="str">
            <v>V2009R2</v>
          </cell>
          <cell r="D2081" t="str">
            <v>Labor Rate</v>
          </cell>
          <cell r="E2081" t="str">
            <v>AP</v>
          </cell>
          <cell r="F2081" t="str">
            <v>India Rep.O.</v>
          </cell>
          <cell r="G2081" t="str">
            <v>India Chennai</v>
          </cell>
          <cell r="H2081" t="str">
            <v>1239</v>
          </cell>
          <cell r="I2081" t="str">
            <v>印度Chennai办事处</v>
          </cell>
          <cell r="J2081" t="str">
            <v>India Chennai Office</v>
          </cell>
          <cell r="K2081" t="str">
            <v>Local employees</v>
          </cell>
          <cell r="L2081" t="str">
            <v>L4</v>
          </cell>
          <cell r="M2081" t="str">
            <v>ALL</v>
          </cell>
          <cell r="N2081" t="str">
            <v>FLPC(含奖金)</v>
          </cell>
          <cell r="O2081" t="str">
            <v>USD/小时</v>
          </cell>
          <cell r="P2081">
            <v>162.94</v>
          </cell>
        </row>
        <row r="2082">
          <cell r="A2082" t="str">
            <v>India Chennai Office - Local employees - L3</v>
          </cell>
          <cell r="B2082" t="str">
            <v>Current version</v>
          </cell>
          <cell r="C2082" t="str">
            <v>V2009R2</v>
          </cell>
          <cell r="D2082" t="str">
            <v>Labor Rate</v>
          </cell>
          <cell r="E2082" t="str">
            <v>AP</v>
          </cell>
          <cell r="F2082" t="str">
            <v>India Rep.O.</v>
          </cell>
          <cell r="G2082" t="str">
            <v>India Chennai</v>
          </cell>
          <cell r="H2082" t="str">
            <v>1239</v>
          </cell>
          <cell r="I2082" t="str">
            <v>印度Chennai办事处</v>
          </cell>
          <cell r="J2082" t="str">
            <v>India Chennai Office</v>
          </cell>
          <cell r="K2082" t="str">
            <v>Local employees</v>
          </cell>
          <cell r="L2082" t="str">
            <v>L3</v>
          </cell>
          <cell r="M2082" t="str">
            <v>ALL</v>
          </cell>
          <cell r="N2082" t="str">
            <v>FLPC(含奖金)</v>
          </cell>
          <cell r="O2082" t="str">
            <v>USD/小时</v>
          </cell>
          <cell r="P2082">
            <v>37.57</v>
          </cell>
        </row>
        <row r="2083">
          <cell r="A2083" t="str">
            <v>India Chennai Office - Local employees - L2</v>
          </cell>
          <cell r="B2083" t="str">
            <v>Current version</v>
          </cell>
          <cell r="C2083" t="str">
            <v>V2009R2</v>
          </cell>
          <cell r="D2083" t="str">
            <v>Labor Rate</v>
          </cell>
          <cell r="E2083" t="str">
            <v>AP</v>
          </cell>
          <cell r="F2083" t="str">
            <v>India Rep.O.</v>
          </cell>
          <cell r="G2083" t="str">
            <v>India Chennai</v>
          </cell>
          <cell r="H2083" t="str">
            <v>1239</v>
          </cell>
          <cell r="I2083" t="str">
            <v>印度Chennai办事处</v>
          </cell>
          <cell r="J2083" t="str">
            <v>India Chennai Office</v>
          </cell>
          <cell r="K2083" t="str">
            <v>Local employees</v>
          </cell>
          <cell r="L2083" t="str">
            <v>L2</v>
          </cell>
          <cell r="M2083" t="str">
            <v>ALL</v>
          </cell>
          <cell r="N2083" t="str">
            <v>FLPC(含奖金)</v>
          </cell>
          <cell r="O2083" t="str">
            <v>USD/小时</v>
          </cell>
          <cell r="P2083">
            <v>21.52</v>
          </cell>
        </row>
        <row r="2084">
          <cell r="A2084" t="str">
            <v>India Chennai Office - Local employees - L1</v>
          </cell>
          <cell r="B2084" t="str">
            <v>Current version</v>
          </cell>
          <cell r="C2084" t="str">
            <v>V2009R2</v>
          </cell>
          <cell r="D2084" t="str">
            <v>Labor Rate</v>
          </cell>
          <cell r="E2084" t="str">
            <v>AP</v>
          </cell>
          <cell r="F2084" t="str">
            <v>India Rep.O.</v>
          </cell>
          <cell r="G2084" t="str">
            <v>India Chennai</v>
          </cell>
          <cell r="H2084" t="str">
            <v>1239</v>
          </cell>
          <cell r="I2084" t="str">
            <v>印度Chennai办事处</v>
          </cell>
          <cell r="J2084" t="str">
            <v>India Chennai Office</v>
          </cell>
          <cell r="K2084" t="str">
            <v>Local employees</v>
          </cell>
          <cell r="L2084" t="str">
            <v>L1</v>
          </cell>
          <cell r="M2084" t="str">
            <v>ALL</v>
          </cell>
          <cell r="N2084" t="str">
            <v>FLPC(含奖金)</v>
          </cell>
          <cell r="O2084" t="str">
            <v>USD/小时</v>
          </cell>
          <cell r="P2084">
            <v>13.53</v>
          </cell>
        </row>
        <row r="2085">
          <cell r="A2085" t="str">
            <v>India Chennai Office - Local employees - L0</v>
          </cell>
          <cell r="B2085" t="str">
            <v>Current version</v>
          </cell>
          <cell r="C2085" t="str">
            <v>V2009R2</v>
          </cell>
          <cell r="D2085" t="str">
            <v>Labor Rate</v>
          </cell>
          <cell r="E2085" t="str">
            <v>AP</v>
          </cell>
          <cell r="F2085" t="str">
            <v>India Rep.O.</v>
          </cell>
          <cell r="G2085" t="str">
            <v>India Chennai</v>
          </cell>
          <cell r="H2085" t="str">
            <v>1239</v>
          </cell>
          <cell r="I2085" t="str">
            <v>印度Chennai办事处</v>
          </cell>
          <cell r="J2085" t="str">
            <v>India Chennai Office</v>
          </cell>
          <cell r="K2085" t="str">
            <v>Local employees</v>
          </cell>
          <cell r="L2085" t="str">
            <v>L0</v>
          </cell>
          <cell r="M2085" t="str">
            <v>ALL</v>
          </cell>
          <cell r="N2085" t="str">
            <v>FLPC(含奖金)</v>
          </cell>
          <cell r="O2085" t="str">
            <v>USD/小时</v>
          </cell>
          <cell r="P2085">
            <v>12.94</v>
          </cell>
        </row>
        <row r="2086">
          <cell r="A2086" t="str">
            <v>India Hyderabad Office - Local employees - L4</v>
          </cell>
          <cell r="B2086" t="str">
            <v>Current version</v>
          </cell>
          <cell r="C2086" t="str">
            <v>V2009R2</v>
          </cell>
          <cell r="D2086" t="str">
            <v>Labor Rate</v>
          </cell>
          <cell r="E2086" t="str">
            <v>AP</v>
          </cell>
          <cell r="F2086" t="str">
            <v>India Rep.O.</v>
          </cell>
          <cell r="G2086" t="str">
            <v>India Hyderabad</v>
          </cell>
          <cell r="H2086" t="str">
            <v>1240</v>
          </cell>
          <cell r="I2086" t="str">
            <v>印度Hyderabad办事处</v>
          </cell>
          <cell r="J2086" t="str">
            <v>India Hyderabad Office</v>
          </cell>
          <cell r="K2086" t="str">
            <v>Local employees</v>
          </cell>
          <cell r="L2086" t="str">
            <v>L4</v>
          </cell>
          <cell r="M2086" t="str">
            <v>ALL</v>
          </cell>
          <cell r="N2086" t="str">
            <v>FLPC(含奖金)</v>
          </cell>
          <cell r="O2086" t="str">
            <v>USD/小时</v>
          </cell>
          <cell r="P2086">
            <v>162.94</v>
          </cell>
        </row>
        <row r="2087">
          <cell r="A2087" t="str">
            <v>India Hyderabad Office - Local employees - L3</v>
          </cell>
          <cell r="B2087" t="str">
            <v>Current version</v>
          </cell>
          <cell r="C2087" t="str">
            <v>V2009R2</v>
          </cell>
          <cell r="D2087" t="str">
            <v>Labor Rate</v>
          </cell>
          <cell r="E2087" t="str">
            <v>AP</v>
          </cell>
          <cell r="F2087" t="str">
            <v>India Rep.O.</v>
          </cell>
          <cell r="G2087" t="str">
            <v>India Hyderabad</v>
          </cell>
          <cell r="H2087" t="str">
            <v>1240</v>
          </cell>
          <cell r="I2087" t="str">
            <v>印度Hyderabad办事处</v>
          </cell>
          <cell r="J2087" t="str">
            <v>India Hyderabad Office</v>
          </cell>
          <cell r="K2087" t="str">
            <v>Local employees</v>
          </cell>
          <cell r="L2087" t="str">
            <v>L3</v>
          </cell>
          <cell r="M2087" t="str">
            <v>ALL</v>
          </cell>
          <cell r="N2087" t="str">
            <v>FLPC(含奖金)</v>
          </cell>
          <cell r="O2087" t="str">
            <v>USD/小时</v>
          </cell>
          <cell r="P2087">
            <v>41.81</v>
          </cell>
        </row>
        <row r="2088">
          <cell r="A2088" t="str">
            <v>India Hyderabad Office - Local employees - L2</v>
          </cell>
          <cell r="B2088" t="str">
            <v>Current version</v>
          </cell>
          <cell r="C2088" t="str">
            <v>V2009R2</v>
          </cell>
          <cell r="D2088" t="str">
            <v>Labor Rate</v>
          </cell>
          <cell r="E2088" t="str">
            <v>AP</v>
          </cell>
          <cell r="F2088" t="str">
            <v>India Rep.O.</v>
          </cell>
          <cell r="G2088" t="str">
            <v>India Hyderabad</v>
          </cell>
          <cell r="H2088" t="str">
            <v>1240</v>
          </cell>
          <cell r="I2088" t="str">
            <v>印度Hyderabad办事处</v>
          </cell>
          <cell r="J2088" t="str">
            <v>India Hyderabad Office</v>
          </cell>
          <cell r="K2088" t="str">
            <v>Local employees</v>
          </cell>
          <cell r="L2088" t="str">
            <v>L2</v>
          </cell>
          <cell r="M2088" t="str">
            <v>ALL</v>
          </cell>
          <cell r="N2088" t="str">
            <v>FLPC(含奖金)</v>
          </cell>
          <cell r="O2088" t="str">
            <v>USD/小时</v>
          </cell>
          <cell r="P2088">
            <v>19.350000000000001</v>
          </cell>
        </row>
        <row r="2089">
          <cell r="A2089" t="str">
            <v>India Hyderabad Office - Local employees - L1</v>
          </cell>
          <cell r="B2089" t="str">
            <v>Current version</v>
          </cell>
          <cell r="C2089" t="str">
            <v>V2009R2</v>
          </cell>
          <cell r="D2089" t="str">
            <v>Labor Rate</v>
          </cell>
          <cell r="E2089" t="str">
            <v>AP</v>
          </cell>
          <cell r="F2089" t="str">
            <v>India Rep.O.</v>
          </cell>
          <cell r="G2089" t="str">
            <v>India Hyderabad</v>
          </cell>
          <cell r="H2089" t="str">
            <v>1240</v>
          </cell>
          <cell r="I2089" t="str">
            <v>印度Hyderabad办事处</v>
          </cell>
          <cell r="J2089" t="str">
            <v>India Hyderabad Office</v>
          </cell>
          <cell r="K2089" t="str">
            <v>Local employees</v>
          </cell>
          <cell r="L2089" t="str">
            <v>L1</v>
          </cell>
          <cell r="M2089" t="str">
            <v>ALL</v>
          </cell>
          <cell r="N2089" t="str">
            <v>FLPC(含奖金)</v>
          </cell>
          <cell r="O2089" t="str">
            <v>USD/小时</v>
          </cell>
          <cell r="P2089">
            <v>13.46</v>
          </cell>
        </row>
        <row r="2090">
          <cell r="A2090" t="str">
            <v>India Hyderabad Office - Local employees - L0</v>
          </cell>
          <cell r="B2090" t="str">
            <v>Current version</v>
          </cell>
          <cell r="C2090" t="str">
            <v>V2009R2</v>
          </cell>
          <cell r="D2090" t="str">
            <v>Labor Rate</v>
          </cell>
          <cell r="E2090" t="str">
            <v>AP</v>
          </cell>
          <cell r="F2090" t="str">
            <v>India Rep.O.</v>
          </cell>
          <cell r="G2090" t="str">
            <v>India Hyderabad</v>
          </cell>
          <cell r="H2090" t="str">
            <v>1240</v>
          </cell>
          <cell r="I2090" t="str">
            <v>印度Hyderabad办事处</v>
          </cell>
          <cell r="J2090" t="str">
            <v>India Hyderabad Office</v>
          </cell>
          <cell r="K2090" t="str">
            <v>Local employees</v>
          </cell>
          <cell r="L2090" t="str">
            <v>L0</v>
          </cell>
          <cell r="M2090" t="str">
            <v>ALL</v>
          </cell>
          <cell r="N2090" t="str">
            <v>FLPC(含奖金)</v>
          </cell>
          <cell r="O2090" t="str">
            <v>USD/小时</v>
          </cell>
          <cell r="P2090">
            <v>12.94</v>
          </cell>
        </row>
        <row r="2091">
          <cell r="A2091" t="str">
            <v>India Kochi Office - Local employees - L4</v>
          </cell>
          <cell r="B2091" t="str">
            <v>Current version</v>
          </cell>
          <cell r="C2091" t="str">
            <v>V2009R2</v>
          </cell>
          <cell r="D2091" t="str">
            <v>Labor Rate</v>
          </cell>
          <cell r="E2091" t="str">
            <v>AP</v>
          </cell>
          <cell r="F2091" t="str">
            <v>India Rep.O.</v>
          </cell>
          <cell r="G2091" t="str">
            <v>India Kochi</v>
          </cell>
          <cell r="H2091" t="str">
            <v>1238</v>
          </cell>
          <cell r="I2091" t="str">
            <v>印度Kochi办事处</v>
          </cell>
          <cell r="J2091" t="str">
            <v>India Kochi Office</v>
          </cell>
          <cell r="K2091" t="str">
            <v>Local employees</v>
          </cell>
          <cell r="L2091" t="str">
            <v>L4</v>
          </cell>
          <cell r="M2091" t="str">
            <v>ALL</v>
          </cell>
          <cell r="N2091" t="str">
            <v>FLPC(含奖金)</v>
          </cell>
          <cell r="O2091" t="str">
            <v>USD/小时</v>
          </cell>
          <cell r="P2091">
            <v>162.94</v>
          </cell>
        </row>
        <row r="2092">
          <cell r="A2092" t="str">
            <v>India Kochi Office - Local employees - L3</v>
          </cell>
          <cell r="B2092" t="str">
            <v>Current version</v>
          </cell>
          <cell r="C2092" t="str">
            <v>V2009R2</v>
          </cell>
          <cell r="D2092" t="str">
            <v>Labor Rate</v>
          </cell>
          <cell r="E2092" t="str">
            <v>AP</v>
          </cell>
          <cell r="F2092" t="str">
            <v>India Rep.O.</v>
          </cell>
          <cell r="G2092" t="str">
            <v>India Kochi</v>
          </cell>
          <cell r="H2092" t="str">
            <v>1238</v>
          </cell>
          <cell r="I2092" t="str">
            <v>印度Kochi办事处</v>
          </cell>
          <cell r="J2092" t="str">
            <v>India Kochi Office</v>
          </cell>
          <cell r="K2092" t="str">
            <v>Local employees</v>
          </cell>
          <cell r="L2092" t="str">
            <v>L3</v>
          </cell>
          <cell r="M2092" t="str">
            <v>ALL</v>
          </cell>
          <cell r="N2092" t="str">
            <v>FLPC(含奖金)</v>
          </cell>
          <cell r="O2092" t="str">
            <v>USD/小时</v>
          </cell>
          <cell r="P2092">
            <v>43.52</v>
          </cell>
        </row>
        <row r="2093">
          <cell r="A2093" t="str">
            <v>India Kochi Office - Local employees - L2</v>
          </cell>
          <cell r="B2093" t="str">
            <v>Current version</v>
          </cell>
          <cell r="C2093" t="str">
            <v>V2009R2</v>
          </cell>
          <cell r="D2093" t="str">
            <v>Labor Rate</v>
          </cell>
          <cell r="E2093" t="str">
            <v>AP</v>
          </cell>
          <cell r="F2093" t="str">
            <v>India Rep.O.</v>
          </cell>
          <cell r="G2093" t="str">
            <v>India Kochi</v>
          </cell>
          <cell r="H2093" t="str">
            <v>1238</v>
          </cell>
          <cell r="I2093" t="str">
            <v>印度Kochi办事处</v>
          </cell>
          <cell r="J2093" t="str">
            <v>India Kochi Office</v>
          </cell>
          <cell r="K2093" t="str">
            <v>Local employees</v>
          </cell>
          <cell r="L2093" t="str">
            <v>L2</v>
          </cell>
          <cell r="M2093" t="str">
            <v>ALL</v>
          </cell>
          <cell r="N2093" t="str">
            <v>FLPC(含奖金)</v>
          </cell>
          <cell r="O2093" t="str">
            <v>USD/小时</v>
          </cell>
          <cell r="P2093">
            <v>22.65</v>
          </cell>
        </row>
        <row r="2094">
          <cell r="A2094" t="str">
            <v>India Kochi Office - Local employees - L1</v>
          </cell>
          <cell r="B2094" t="str">
            <v>Current version</v>
          </cell>
          <cell r="C2094" t="str">
            <v>V2009R2</v>
          </cell>
          <cell r="D2094" t="str">
            <v>Labor Rate</v>
          </cell>
          <cell r="E2094" t="str">
            <v>AP</v>
          </cell>
          <cell r="F2094" t="str">
            <v>India Rep.O.</v>
          </cell>
          <cell r="G2094" t="str">
            <v>India Kochi</v>
          </cell>
          <cell r="H2094" t="str">
            <v>1238</v>
          </cell>
          <cell r="I2094" t="str">
            <v>印度Kochi办事处</v>
          </cell>
          <cell r="J2094" t="str">
            <v>India Kochi Office</v>
          </cell>
          <cell r="K2094" t="str">
            <v>Local employees</v>
          </cell>
          <cell r="L2094" t="str">
            <v>L1</v>
          </cell>
          <cell r="M2094" t="str">
            <v>ALL</v>
          </cell>
          <cell r="N2094" t="str">
            <v>FLPC(含奖金)</v>
          </cell>
          <cell r="O2094" t="str">
            <v>USD/小时</v>
          </cell>
          <cell r="P2094">
            <v>13.51</v>
          </cell>
        </row>
        <row r="2095">
          <cell r="A2095" t="str">
            <v>India Kochi Office - Local employees - L0</v>
          </cell>
          <cell r="B2095" t="str">
            <v>Current version</v>
          </cell>
          <cell r="C2095" t="str">
            <v>V2009R2</v>
          </cell>
          <cell r="D2095" t="str">
            <v>Labor Rate</v>
          </cell>
          <cell r="E2095" t="str">
            <v>AP</v>
          </cell>
          <cell r="F2095" t="str">
            <v>India Rep.O.</v>
          </cell>
          <cell r="G2095" t="str">
            <v>India Kochi</v>
          </cell>
          <cell r="H2095" t="str">
            <v>1238</v>
          </cell>
          <cell r="I2095" t="str">
            <v>印度Kochi办事处</v>
          </cell>
          <cell r="J2095" t="str">
            <v>India Kochi Office</v>
          </cell>
          <cell r="K2095" t="str">
            <v>Local employees</v>
          </cell>
          <cell r="L2095" t="str">
            <v>L0</v>
          </cell>
          <cell r="M2095" t="str">
            <v>ALL</v>
          </cell>
          <cell r="N2095" t="str">
            <v>FLPC(含奖金)</v>
          </cell>
          <cell r="O2095" t="str">
            <v>USD/小时</v>
          </cell>
          <cell r="P2095">
            <v>12.94</v>
          </cell>
        </row>
        <row r="2096">
          <cell r="A2096" t="str">
            <v>India North Region Office - Local employees - L4</v>
          </cell>
          <cell r="B2096" t="str">
            <v>Current version</v>
          </cell>
          <cell r="C2096" t="str">
            <v>V2009R2</v>
          </cell>
          <cell r="D2096" t="str">
            <v>Labor Rate</v>
          </cell>
          <cell r="E2096" t="str">
            <v>AP</v>
          </cell>
          <cell r="F2096" t="str">
            <v>India Rep.O.</v>
          </cell>
          <cell r="G2096" t="str">
            <v>India 北区办事处</v>
          </cell>
          <cell r="H2096" t="str">
            <v>1236</v>
          </cell>
          <cell r="I2096" t="str">
            <v>印度北区办事处</v>
          </cell>
          <cell r="J2096" t="str">
            <v>India North Region Office</v>
          </cell>
          <cell r="K2096" t="str">
            <v>Local employees</v>
          </cell>
          <cell r="L2096" t="str">
            <v>L4</v>
          </cell>
          <cell r="M2096" t="str">
            <v>ALL</v>
          </cell>
          <cell r="N2096" t="str">
            <v>FLPC(含奖金)</v>
          </cell>
          <cell r="O2096" t="str">
            <v>USD/小时</v>
          </cell>
          <cell r="P2096">
            <v>162.94</v>
          </cell>
        </row>
        <row r="2097">
          <cell r="A2097" t="str">
            <v>India North Region Office - Local employees - L3</v>
          </cell>
          <cell r="B2097" t="str">
            <v>Current version</v>
          </cell>
          <cell r="C2097" t="str">
            <v>V2009R2</v>
          </cell>
          <cell r="D2097" t="str">
            <v>Labor Rate</v>
          </cell>
          <cell r="E2097" t="str">
            <v>AP</v>
          </cell>
          <cell r="F2097" t="str">
            <v>India Rep.O.</v>
          </cell>
          <cell r="G2097" t="str">
            <v>India 北区办事处</v>
          </cell>
          <cell r="H2097" t="str">
            <v>1236</v>
          </cell>
          <cell r="I2097" t="str">
            <v>印度北区办事处</v>
          </cell>
          <cell r="J2097" t="str">
            <v>India North Region Office</v>
          </cell>
          <cell r="K2097" t="str">
            <v>Local employees</v>
          </cell>
          <cell r="L2097" t="str">
            <v>L3</v>
          </cell>
          <cell r="M2097" t="str">
            <v>ALL</v>
          </cell>
          <cell r="N2097" t="str">
            <v>FLPC(含奖金)</v>
          </cell>
          <cell r="O2097" t="str">
            <v>USD/小时</v>
          </cell>
          <cell r="P2097">
            <v>45.43</v>
          </cell>
        </row>
        <row r="2098">
          <cell r="A2098" t="str">
            <v>India North Region Office - Local employees - L2</v>
          </cell>
          <cell r="B2098" t="str">
            <v>Current version</v>
          </cell>
          <cell r="C2098" t="str">
            <v>V2009R2</v>
          </cell>
          <cell r="D2098" t="str">
            <v>Labor Rate</v>
          </cell>
          <cell r="E2098" t="str">
            <v>AP</v>
          </cell>
          <cell r="F2098" t="str">
            <v>India Rep.O.</v>
          </cell>
          <cell r="G2098" t="str">
            <v>India 北区办事处</v>
          </cell>
          <cell r="H2098" t="str">
            <v>1236</v>
          </cell>
          <cell r="I2098" t="str">
            <v>印度北区办事处</v>
          </cell>
          <cell r="J2098" t="str">
            <v>India North Region Office</v>
          </cell>
          <cell r="K2098" t="str">
            <v>Local employees</v>
          </cell>
          <cell r="L2098" t="str">
            <v>L2</v>
          </cell>
          <cell r="M2098" t="str">
            <v>ALL</v>
          </cell>
          <cell r="N2098" t="str">
            <v>FLPC(含奖金)</v>
          </cell>
          <cell r="O2098" t="str">
            <v>USD/小时</v>
          </cell>
          <cell r="P2098">
            <v>20.9</v>
          </cell>
        </row>
        <row r="2099">
          <cell r="A2099" t="str">
            <v>India North Region Office - Local employees - L1</v>
          </cell>
          <cell r="B2099" t="str">
            <v>Current version</v>
          </cell>
          <cell r="C2099" t="str">
            <v>V2009R2</v>
          </cell>
          <cell r="D2099" t="str">
            <v>Labor Rate</v>
          </cell>
          <cell r="E2099" t="str">
            <v>AP</v>
          </cell>
          <cell r="F2099" t="str">
            <v>India Rep.O.</v>
          </cell>
          <cell r="G2099" t="str">
            <v>India 北区办事处</v>
          </cell>
          <cell r="H2099" t="str">
            <v>1236</v>
          </cell>
          <cell r="I2099" t="str">
            <v>印度北区办事处</v>
          </cell>
          <cell r="J2099" t="str">
            <v>India North Region Office</v>
          </cell>
          <cell r="K2099" t="str">
            <v>Local employees</v>
          </cell>
          <cell r="L2099" t="str">
            <v>L1</v>
          </cell>
          <cell r="M2099" t="str">
            <v>ALL</v>
          </cell>
          <cell r="N2099" t="str">
            <v>FLPC(含奖金)</v>
          </cell>
          <cell r="O2099" t="str">
            <v>USD/小时</v>
          </cell>
          <cell r="P2099">
            <v>13.36</v>
          </cell>
        </row>
        <row r="2100">
          <cell r="A2100" t="str">
            <v>India North Region Office - Local employees - L0</v>
          </cell>
          <cell r="B2100" t="str">
            <v>Current version</v>
          </cell>
          <cell r="C2100" t="str">
            <v>V2009R2</v>
          </cell>
          <cell r="D2100" t="str">
            <v>Labor Rate</v>
          </cell>
          <cell r="E2100" t="str">
            <v>AP</v>
          </cell>
          <cell r="F2100" t="str">
            <v>India Rep.O.</v>
          </cell>
          <cell r="G2100" t="str">
            <v>India 北区办事处</v>
          </cell>
          <cell r="H2100" t="str">
            <v>1236</v>
          </cell>
          <cell r="I2100" t="str">
            <v>印度北区办事处</v>
          </cell>
          <cell r="J2100" t="str">
            <v>India North Region Office</v>
          </cell>
          <cell r="K2100" t="str">
            <v>Local employees</v>
          </cell>
          <cell r="L2100" t="str">
            <v>L0</v>
          </cell>
          <cell r="M2100" t="str">
            <v>ALL</v>
          </cell>
          <cell r="N2100" t="str">
            <v>FLPC(含奖金)</v>
          </cell>
          <cell r="O2100" t="str">
            <v>USD/小时</v>
          </cell>
          <cell r="P2100">
            <v>12.94</v>
          </cell>
        </row>
        <row r="2101">
          <cell r="A2101" t="str">
            <v>India East Region Office - Local employees - L4</v>
          </cell>
          <cell r="B2101" t="str">
            <v>Current version</v>
          </cell>
          <cell r="C2101" t="str">
            <v>V2009R2</v>
          </cell>
          <cell r="D2101" t="str">
            <v>Labor Rate</v>
          </cell>
          <cell r="E2101" t="str">
            <v>AP</v>
          </cell>
          <cell r="F2101" t="str">
            <v>India Rep.O.</v>
          </cell>
          <cell r="G2101" t="str">
            <v>India 东区办事处</v>
          </cell>
          <cell r="H2101" t="str">
            <v>1234</v>
          </cell>
          <cell r="I2101" t="str">
            <v>印度东区办事处</v>
          </cell>
          <cell r="J2101" t="str">
            <v>India East Region Office</v>
          </cell>
          <cell r="K2101" t="str">
            <v>Local employees</v>
          </cell>
          <cell r="L2101" t="str">
            <v>L4</v>
          </cell>
          <cell r="M2101" t="str">
            <v>ALL</v>
          </cell>
          <cell r="N2101" t="str">
            <v>FLPC(含奖金)</v>
          </cell>
          <cell r="O2101" t="str">
            <v>USD/小时</v>
          </cell>
          <cell r="P2101">
            <v>162.94</v>
          </cell>
        </row>
        <row r="2102">
          <cell r="A2102" t="str">
            <v>India East Region Office - Local employees - L3</v>
          </cell>
          <cell r="B2102" t="str">
            <v>Current version</v>
          </cell>
          <cell r="C2102" t="str">
            <v>V2009R2</v>
          </cell>
          <cell r="D2102" t="str">
            <v>Labor Rate</v>
          </cell>
          <cell r="E2102" t="str">
            <v>AP</v>
          </cell>
          <cell r="F2102" t="str">
            <v>India Rep.O.</v>
          </cell>
          <cell r="G2102" t="str">
            <v>India 东区办事处</v>
          </cell>
          <cell r="H2102" t="str">
            <v>1234</v>
          </cell>
          <cell r="I2102" t="str">
            <v>印度东区办事处</v>
          </cell>
          <cell r="J2102" t="str">
            <v>India East Region Office</v>
          </cell>
          <cell r="K2102" t="str">
            <v>Local employees</v>
          </cell>
          <cell r="L2102" t="str">
            <v>L3</v>
          </cell>
          <cell r="M2102" t="str">
            <v>ALL</v>
          </cell>
          <cell r="N2102" t="str">
            <v>FLPC(含奖金)</v>
          </cell>
          <cell r="O2102" t="str">
            <v>USD/小时</v>
          </cell>
          <cell r="P2102">
            <v>40.42</v>
          </cell>
        </row>
        <row r="2103">
          <cell r="A2103" t="str">
            <v>India East Region Office - Local employees - L2</v>
          </cell>
          <cell r="B2103" t="str">
            <v>Current version</v>
          </cell>
          <cell r="C2103" t="str">
            <v>V2009R2</v>
          </cell>
          <cell r="D2103" t="str">
            <v>Labor Rate</v>
          </cell>
          <cell r="E2103" t="str">
            <v>AP</v>
          </cell>
          <cell r="F2103" t="str">
            <v>India Rep.O.</v>
          </cell>
          <cell r="G2103" t="str">
            <v>India 东区办事处</v>
          </cell>
          <cell r="H2103" t="str">
            <v>1234</v>
          </cell>
          <cell r="I2103" t="str">
            <v>印度东区办事处</v>
          </cell>
          <cell r="J2103" t="str">
            <v>India East Region Office</v>
          </cell>
          <cell r="K2103" t="str">
            <v>Local employees</v>
          </cell>
          <cell r="L2103" t="str">
            <v>L2</v>
          </cell>
          <cell r="M2103" t="str">
            <v>ALL</v>
          </cell>
          <cell r="N2103" t="str">
            <v>FLPC(含奖金)</v>
          </cell>
          <cell r="O2103" t="str">
            <v>USD/小时</v>
          </cell>
          <cell r="P2103">
            <v>20.03</v>
          </cell>
        </row>
        <row r="2104">
          <cell r="A2104" t="str">
            <v>India East Region Office - Local employees - L1</v>
          </cell>
          <cell r="B2104" t="str">
            <v>Current version</v>
          </cell>
          <cell r="C2104" t="str">
            <v>V2009R2</v>
          </cell>
          <cell r="D2104" t="str">
            <v>Labor Rate</v>
          </cell>
          <cell r="E2104" t="str">
            <v>AP</v>
          </cell>
          <cell r="F2104" t="str">
            <v>India Rep.O.</v>
          </cell>
          <cell r="G2104" t="str">
            <v>India 东区办事处</v>
          </cell>
          <cell r="H2104" t="str">
            <v>1234</v>
          </cell>
          <cell r="I2104" t="str">
            <v>印度东区办事处</v>
          </cell>
          <cell r="J2104" t="str">
            <v>India East Region Office</v>
          </cell>
          <cell r="K2104" t="str">
            <v>Local employees</v>
          </cell>
          <cell r="L2104" t="str">
            <v>L1</v>
          </cell>
          <cell r="M2104" t="str">
            <v>ALL</v>
          </cell>
          <cell r="N2104" t="str">
            <v>FLPC(含奖金)</v>
          </cell>
          <cell r="O2104" t="str">
            <v>USD/小时</v>
          </cell>
          <cell r="P2104">
            <v>13.14</v>
          </cell>
        </row>
        <row r="2105">
          <cell r="A2105" t="str">
            <v>India East Region Office - Local employees - L0</v>
          </cell>
          <cell r="B2105" t="str">
            <v>Current version</v>
          </cell>
          <cell r="C2105" t="str">
            <v>V2009R2</v>
          </cell>
          <cell r="D2105" t="str">
            <v>Labor Rate</v>
          </cell>
          <cell r="E2105" t="str">
            <v>AP</v>
          </cell>
          <cell r="F2105" t="str">
            <v>India Rep.O.</v>
          </cell>
          <cell r="G2105" t="str">
            <v>India 东区办事处</v>
          </cell>
          <cell r="H2105" t="str">
            <v>1234</v>
          </cell>
          <cell r="I2105" t="str">
            <v>印度东区办事处</v>
          </cell>
          <cell r="J2105" t="str">
            <v>India East Region Office</v>
          </cell>
          <cell r="K2105" t="str">
            <v>Local employees</v>
          </cell>
          <cell r="L2105" t="str">
            <v>L0</v>
          </cell>
          <cell r="M2105" t="str">
            <v>ALL</v>
          </cell>
          <cell r="N2105" t="str">
            <v>FLPC(含奖金)</v>
          </cell>
          <cell r="O2105" t="str">
            <v>USD/小时</v>
          </cell>
          <cell r="P2105">
            <v>12.94</v>
          </cell>
        </row>
        <row r="2106">
          <cell r="A2106" t="str">
            <v>India West Region Office - Local employees - L4</v>
          </cell>
          <cell r="B2106" t="str">
            <v>Current version</v>
          </cell>
          <cell r="C2106" t="str">
            <v>V2009R2</v>
          </cell>
          <cell r="D2106" t="str">
            <v>Labor Rate</v>
          </cell>
          <cell r="E2106" t="str">
            <v>AP</v>
          </cell>
          <cell r="F2106" t="str">
            <v>India Rep.O.</v>
          </cell>
          <cell r="G2106" t="str">
            <v>India 西区办事处</v>
          </cell>
          <cell r="H2106" t="str">
            <v>1235</v>
          </cell>
          <cell r="I2106" t="str">
            <v>印度西区办事处</v>
          </cell>
          <cell r="J2106" t="str">
            <v>India West Region Office</v>
          </cell>
          <cell r="K2106" t="str">
            <v>Local employees</v>
          </cell>
          <cell r="L2106" t="str">
            <v>L4</v>
          </cell>
          <cell r="M2106" t="str">
            <v>ALL</v>
          </cell>
          <cell r="N2106" t="str">
            <v>FLPC(含奖金)</v>
          </cell>
          <cell r="O2106" t="str">
            <v>USD/小时</v>
          </cell>
          <cell r="P2106">
            <v>162.94</v>
          </cell>
        </row>
        <row r="2107">
          <cell r="A2107" t="str">
            <v>Ukraine - Local employees - L0</v>
          </cell>
          <cell r="B2107" t="str">
            <v>Current version</v>
          </cell>
          <cell r="C2107" t="str">
            <v>V2009R2</v>
          </cell>
          <cell r="D2107" t="str">
            <v>Labor Rate</v>
          </cell>
          <cell r="E2107" t="str">
            <v>CIS</v>
          </cell>
          <cell r="F2107" t="str">
            <v>Russia</v>
          </cell>
          <cell r="G2107" t="str">
            <v>Ukraine Rep.O.</v>
          </cell>
          <cell r="H2107" t="str">
            <v>3306</v>
          </cell>
          <cell r="I2107" t="str">
            <v>乌克兰</v>
          </cell>
          <cell r="J2107" t="str">
            <v>Ukraine</v>
          </cell>
          <cell r="K2107" t="str">
            <v>Local employees</v>
          </cell>
          <cell r="L2107" t="str">
            <v>L0</v>
          </cell>
          <cell r="M2107" t="str">
            <v>ALL</v>
          </cell>
          <cell r="N2107" t="str">
            <v>FLPC(含奖金)</v>
          </cell>
          <cell r="O2107" t="str">
            <v>USD/小时</v>
          </cell>
          <cell r="P2107">
            <v>31.54</v>
          </cell>
        </row>
        <row r="2108">
          <cell r="A2108" t="str">
            <v>Ukraine - Local employees - L1</v>
          </cell>
          <cell r="B2108" t="str">
            <v>Current version</v>
          </cell>
          <cell r="C2108" t="str">
            <v>V2009R2</v>
          </cell>
          <cell r="D2108" t="str">
            <v>Labor Rate</v>
          </cell>
          <cell r="E2108" t="str">
            <v>CIS</v>
          </cell>
          <cell r="F2108" t="str">
            <v>Russia</v>
          </cell>
          <cell r="G2108" t="str">
            <v>Ukraine Rep.O.</v>
          </cell>
          <cell r="H2108" t="str">
            <v>3306</v>
          </cell>
          <cell r="I2108" t="str">
            <v>乌克兰</v>
          </cell>
          <cell r="J2108" t="str">
            <v>Ukraine</v>
          </cell>
          <cell r="K2108" t="str">
            <v>Local employees</v>
          </cell>
          <cell r="L2108" t="str">
            <v>L1</v>
          </cell>
          <cell r="M2108" t="str">
            <v>ALL</v>
          </cell>
          <cell r="N2108" t="str">
            <v>FLPC(含奖金)</v>
          </cell>
          <cell r="O2108" t="str">
            <v>USD/小时</v>
          </cell>
          <cell r="P2108">
            <v>32.58</v>
          </cell>
        </row>
        <row r="2109">
          <cell r="A2109" t="str">
            <v>Ukraine - Local employees - L2</v>
          </cell>
          <cell r="B2109" t="str">
            <v>Current version</v>
          </cell>
          <cell r="C2109" t="str">
            <v>V2009R2</v>
          </cell>
          <cell r="D2109" t="str">
            <v>Labor Rate</v>
          </cell>
          <cell r="E2109" t="str">
            <v>CIS</v>
          </cell>
          <cell r="F2109" t="str">
            <v>Russia</v>
          </cell>
          <cell r="G2109" t="str">
            <v>Ukraine Rep.O.</v>
          </cell>
          <cell r="H2109" t="str">
            <v>3306</v>
          </cell>
          <cell r="I2109" t="str">
            <v>乌克兰</v>
          </cell>
          <cell r="J2109" t="str">
            <v>Ukraine</v>
          </cell>
          <cell r="K2109" t="str">
            <v>Local employees</v>
          </cell>
          <cell r="L2109" t="str">
            <v>L2</v>
          </cell>
          <cell r="M2109" t="str">
            <v>ALL</v>
          </cell>
          <cell r="N2109" t="str">
            <v>FLPC(含奖金)</v>
          </cell>
          <cell r="O2109" t="str">
            <v>USD/小时</v>
          </cell>
          <cell r="P2109">
            <v>46.25</v>
          </cell>
        </row>
        <row r="2110">
          <cell r="A2110" t="str">
            <v>Ukraine - Local employees - L3</v>
          </cell>
          <cell r="B2110" t="str">
            <v>Current version</v>
          </cell>
          <cell r="C2110" t="str">
            <v>V2009R2</v>
          </cell>
          <cell r="D2110" t="str">
            <v>Labor Rate</v>
          </cell>
          <cell r="E2110" t="str">
            <v>CIS</v>
          </cell>
          <cell r="F2110" t="str">
            <v>Russia</v>
          </cell>
          <cell r="G2110" t="str">
            <v>Ukraine Rep.O.</v>
          </cell>
          <cell r="H2110" t="str">
            <v>3306</v>
          </cell>
          <cell r="I2110" t="str">
            <v>乌克兰</v>
          </cell>
          <cell r="J2110" t="str">
            <v>Ukraine</v>
          </cell>
          <cell r="K2110" t="str">
            <v>Local employees</v>
          </cell>
          <cell r="L2110" t="str">
            <v>L3</v>
          </cell>
          <cell r="M2110" t="str">
            <v>ALL</v>
          </cell>
          <cell r="N2110" t="str">
            <v>FLPC(含奖金)</v>
          </cell>
          <cell r="O2110" t="str">
            <v>USD/小时</v>
          </cell>
          <cell r="P2110">
            <v>73.06</v>
          </cell>
        </row>
        <row r="2111">
          <cell r="A2111" t="str">
            <v>Ukraine - Local employees - L4</v>
          </cell>
          <cell r="B2111" t="str">
            <v>Current version</v>
          </cell>
          <cell r="C2111" t="str">
            <v>V2009R2</v>
          </cell>
          <cell r="D2111" t="str">
            <v>Labor Rate</v>
          </cell>
          <cell r="E2111" t="str">
            <v>CIS</v>
          </cell>
          <cell r="F2111" t="str">
            <v>Russia</v>
          </cell>
          <cell r="G2111" t="str">
            <v>Ukraine Rep.O.</v>
          </cell>
          <cell r="H2111" t="str">
            <v>3306</v>
          </cell>
          <cell r="I2111" t="str">
            <v>乌克兰</v>
          </cell>
          <cell r="J2111" t="str">
            <v>Ukraine</v>
          </cell>
          <cell r="K2111" t="str">
            <v>Local employees</v>
          </cell>
          <cell r="L2111" t="str">
            <v>L4</v>
          </cell>
          <cell r="M2111" t="str">
            <v>ALL</v>
          </cell>
          <cell r="N2111" t="str">
            <v>FLPC(含奖金)</v>
          </cell>
          <cell r="O2111" t="str">
            <v>USD/小时</v>
          </cell>
          <cell r="P2111">
            <v>108.22</v>
          </cell>
        </row>
        <row r="2112">
          <cell r="A2112" t="str">
            <v>Byelorussia - Local employees - L0</v>
          </cell>
          <cell r="B2112" t="str">
            <v>Current version</v>
          </cell>
          <cell r="C2112" t="str">
            <v>V2009R2</v>
          </cell>
          <cell r="D2112" t="str">
            <v>Labor Rate</v>
          </cell>
          <cell r="E2112" t="str">
            <v>CIS</v>
          </cell>
          <cell r="F2112" t="str">
            <v>Russia</v>
          </cell>
          <cell r="G2112" t="str">
            <v>Byelorussi</v>
          </cell>
          <cell r="H2112" t="str">
            <v>3307</v>
          </cell>
          <cell r="I2112" t="str">
            <v>白俄罗斯</v>
          </cell>
          <cell r="J2112" t="str">
            <v>Byelorussia</v>
          </cell>
          <cell r="K2112" t="str">
            <v>Local employees</v>
          </cell>
          <cell r="L2112" t="str">
            <v>L0</v>
          </cell>
          <cell r="M2112" t="str">
            <v>ALL</v>
          </cell>
          <cell r="N2112" t="str">
            <v>FLPC(含奖金)</v>
          </cell>
          <cell r="O2112" t="str">
            <v>USD/小时</v>
          </cell>
          <cell r="P2112">
            <v>29.85</v>
          </cell>
        </row>
        <row r="2113">
          <cell r="A2113" t="str">
            <v>Byelorussia - Local employees - L1</v>
          </cell>
          <cell r="B2113" t="str">
            <v>Current version</v>
          </cell>
          <cell r="C2113" t="str">
            <v>V2009R2</v>
          </cell>
          <cell r="D2113" t="str">
            <v>Labor Rate</v>
          </cell>
          <cell r="E2113" t="str">
            <v>CIS</v>
          </cell>
          <cell r="F2113" t="str">
            <v>Russia</v>
          </cell>
          <cell r="G2113" t="str">
            <v>Byelorussi</v>
          </cell>
          <cell r="H2113" t="str">
            <v>3307</v>
          </cell>
          <cell r="I2113" t="str">
            <v>白俄罗斯</v>
          </cell>
          <cell r="J2113" t="str">
            <v>Byelorussia</v>
          </cell>
          <cell r="K2113" t="str">
            <v>Local employees</v>
          </cell>
          <cell r="L2113" t="str">
            <v>L1</v>
          </cell>
          <cell r="M2113" t="str">
            <v>ALL</v>
          </cell>
          <cell r="N2113" t="str">
            <v>FLPC(含奖金)</v>
          </cell>
          <cell r="O2113" t="str">
            <v>USD/小时</v>
          </cell>
          <cell r="P2113">
            <v>29.85</v>
          </cell>
        </row>
        <row r="2114">
          <cell r="A2114" t="str">
            <v>Byelorussia - Local employees - L2</v>
          </cell>
          <cell r="B2114" t="str">
            <v>Current version</v>
          </cell>
          <cell r="C2114" t="str">
            <v>V2009R2</v>
          </cell>
          <cell r="D2114" t="str">
            <v>Labor Rate</v>
          </cell>
          <cell r="E2114" t="str">
            <v>CIS</v>
          </cell>
          <cell r="F2114" t="str">
            <v>Russia</v>
          </cell>
          <cell r="G2114" t="str">
            <v>Byelorussi</v>
          </cell>
          <cell r="H2114" t="str">
            <v>3307</v>
          </cell>
          <cell r="I2114" t="str">
            <v>白俄罗斯</v>
          </cell>
          <cell r="J2114" t="str">
            <v>Byelorussia</v>
          </cell>
          <cell r="K2114" t="str">
            <v>Local employees</v>
          </cell>
          <cell r="L2114" t="str">
            <v>L2</v>
          </cell>
          <cell r="M2114" t="str">
            <v>ALL</v>
          </cell>
          <cell r="N2114" t="str">
            <v>FLPC(含奖金)</v>
          </cell>
          <cell r="O2114" t="str">
            <v>USD/小时</v>
          </cell>
          <cell r="P2114">
            <v>38.5</v>
          </cell>
        </row>
        <row r="2115">
          <cell r="A2115" t="str">
            <v>Byelorussia - Local employees - L3</v>
          </cell>
          <cell r="B2115" t="str">
            <v>Current version</v>
          </cell>
          <cell r="C2115" t="str">
            <v>V2009R2</v>
          </cell>
          <cell r="D2115" t="str">
            <v>Labor Rate</v>
          </cell>
          <cell r="E2115" t="str">
            <v>CIS</v>
          </cell>
          <cell r="F2115" t="str">
            <v>Russia</v>
          </cell>
          <cell r="G2115" t="str">
            <v>Byelorussi</v>
          </cell>
          <cell r="H2115" t="str">
            <v>3307</v>
          </cell>
          <cell r="I2115" t="str">
            <v>白俄罗斯</v>
          </cell>
          <cell r="J2115" t="str">
            <v>Byelorussia</v>
          </cell>
          <cell r="K2115" t="str">
            <v>Local employees</v>
          </cell>
          <cell r="L2115" t="str">
            <v>L3</v>
          </cell>
          <cell r="M2115" t="str">
            <v>ALL</v>
          </cell>
          <cell r="N2115" t="str">
            <v>FLPC(含奖金)</v>
          </cell>
          <cell r="O2115" t="str">
            <v>USD/小时</v>
          </cell>
          <cell r="P2115">
            <v>54.75</v>
          </cell>
        </row>
        <row r="2116">
          <cell r="A2116" t="str">
            <v>Byelorussia - Local employees - L4</v>
          </cell>
          <cell r="B2116" t="str">
            <v>Current version</v>
          </cell>
          <cell r="C2116" t="str">
            <v>V2009R2</v>
          </cell>
          <cell r="D2116" t="str">
            <v>Labor Rate</v>
          </cell>
          <cell r="E2116" t="str">
            <v>CIS</v>
          </cell>
          <cell r="F2116" t="str">
            <v>Russia</v>
          </cell>
          <cell r="G2116" t="str">
            <v>Byelorussi</v>
          </cell>
          <cell r="H2116" t="str">
            <v>3307</v>
          </cell>
          <cell r="I2116" t="str">
            <v>白俄罗斯</v>
          </cell>
          <cell r="J2116" t="str">
            <v>Byelorussia</v>
          </cell>
          <cell r="K2116" t="str">
            <v>Local employees</v>
          </cell>
          <cell r="L2116" t="str">
            <v>L4</v>
          </cell>
          <cell r="M2116" t="str">
            <v>ALL</v>
          </cell>
          <cell r="N2116" t="str">
            <v>FLPC(含奖金)</v>
          </cell>
          <cell r="O2116" t="str">
            <v>USD/小时</v>
          </cell>
          <cell r="P2116">
            <v>75.459999999999994</v>
          </cell>
        </row>
        <row r="2117">
          <cell r="A2117" t="str">
            <v>Usa - Local employees - L0</v>
          </cell>
          <cell r="B2117" t="str">
            <v>Current version</v>
          </cell>
          <cell r="C2117" t="str">
            <v>V2009R2</v>
          </cell>
          <cell r="D2117" t="str">
            <v>Labor Rate</v>
          </cell>
          <cell r="E2117" t="str">
            <v>USA Rep.O.</v>
          </cell>
          <cell r="F2117" t="str">
            <v>USA Rep.O.</v>
          </cell>
          <cell r="G2117" t="str">
            <v>Usa</v>
          </cell>
          <cell r="H2117" t="str">
            <v>7001</v>
          </cell>
          <cell r="I2117" t="str">
            <v>美国</v>
          </cell>
          <cell r="J2117" t="str">
            <v>Usa</v>
          </cell>
          <cell r="K2117" t="str">
            <v>Local employees</v>
          </cell>
          <cell r="L2117" t="str">
            <v>L0</v>
          </cell>
          <cell r="M2117" t="str">
            <v>ALL</v>
          </cell>
          <cell r="N2117" t="str">
            <v>FLPC(含奖金)</v>
          </cell>
          <cell r="O2117" t="str">
            <v>USD/小时</v>
          </cell>
          <cell r="P2117">
            <v>67.53</v>
          </cell>
        </row>
        <row r="2118">
          <cell r="A2118" t="str">
            <v>Usa - Local employees - L1</v>
          </cell>
          <cell r="B2118" t="str">
            <v>Current version</v>
          </cell>
          <cell r="C2118" t="str">
            <v>V2009R2</v>
          </cell>
          <cell r="D2118" t="str">
            <v>Labor Rate</v>
          </cell>
          <cell r="E2118" t="str">
            <v>USA Rep.O.</v>
          </cell>
          <cell r="F2118" t="str">
            <v>USA Rep.O.</v>
          </cell>
          <cell r="G2118" t="str">
            <v>Usa</v>
          </cell>
          <cell r="H2118" t="str">
            <v>7001</v>
          </cell>
          <cell r="I2118" t="str">
            <v>美国</v>
          </cell>
          <cell r="J2118" t="str">
            <v>Usa</v>
          </cell>
          <cell r="K2118" t="str">
            <v>Local employees</v>
          </cell>
          <cell r="L2118" t="str">
            <v>L1</v>
          </cell>
          <cell r="M2118" t="str">
            <v>ALL</v>
          </cell>
          <cell r="N2118" t="str">
            <v>FLPC(含奖金)</v>
          </cell>
          <cell r="O2118" t="str">
            <v>USD/小时</v>
          </cell>
          <cell r="P2118">
            <v>76.739999999999995</v>
          </cell>
        </row>
        <row r="2119">
          <cell r="A2119" t="str">
            <v>Usa - Local employees - L2</v>
          </cell>
          <cell r="B2119" t="str">
            <v>Current version</v>
          </cell>
          <cell r="C2119" t="str">
            <v>V2009R2</v>
          </cell>
          <cell r="D2119" t="str">
            <v>Labor Rate</v>
          </cell>
          <cell r="E2119" t="str">
            <v>USA Rep.O.</v>
          </cell>
          <cell r="F2119" t="str">
            <v>USA Rep.O.</v>
          </cell>
          <cell r="G2119" t="str">
            <v>Usa</v>
          </cell>
          <cell r="H2119" t="str">
            <v>7001</v>
          </cell>
          <cell r="I2119" t="str">
            <v>美国</v>
          </cell>
          <cell r="J2119" t="str">
            <v>Usa</v>
          </cell>
          <cell r="K2119" t="str">
            <v>Local employees</v>
          </cell>
          <cell r="L2119" t="str">
            <v>L2</v>
          </cell>
          <cell r="M2119" t="str">
            <v>ALL</v>
          </cell>
          <cell r="N2119" t="str">
            <v>FLPC(含奖金)</v>
          </cell>
          <cell r="O2119" t="str">
            <v>USD/小时</v>
          </cell>
          <cell r="P2119">
            <v>97.04</v>
          </cell>
        </row>
        <row r="2120">
          <cell r="A2120" t="str">
            <v>Usa - Local employees - L3</v>
          </cell>
          <cell r="B2120" t="str">
            <v>Current version</v>
          </cell>
          <cell r="C2120" t="str">
            <v>V2009R2</v>
          </cell>
          <cell r="D2120" t="str">
            <v>Labor Rate</v>
          </cell>
          <cell r="E2120" t="str">
            <v>USA Rep.O.</v>
          </cell>
          <cell r="F2120" t="str">
            <v>USA Rep.O.</v>
          </cell>
          <cell r="G2120" t="str">
            <v>Usa</v>
          </cell>
          <cell r="H2120" t="str">
            <v>7001</v>
          </cell>
          <cell r="I2120" t="str">
            <v>美国</v>
          </cell>
          <cell r="J2120" t="str">
            <v>Usa</v>
          </cell>
          <cell r="K2120" t="str">
            <v>Local employees</v>
          </cell>
          <cell r="L2120" t="str">
            <v>L3</v>
          </cell>
          <cell r="M2120" t="str">
            <v>ALL</v>
          </cell>
          <cell r="N2120" t="str">
            <v>FLPC(含奖金)</v>
          </cell>
          <cell r="O2120" t="str">
            <v>USD/小时</v>
          </cell>
          <cell r="P2120">
            <v>130.58000000000001</v>
          </cell>
        </row>
        <row r="2121">
          <cell r="A2121" t="str">
            <v>Usa - Local employees - L4</v>
          </cell>
          <cell r="B2121" t="str">
            <v>Current version</v>
          </cell>
          <cell r="C2121" t="str">
            <v>V2009R2</v>
          </cell>
          <cell r="D2121" t="str">
            <v>Labor Rate</v>
          </cell>
          <cell r="E2121" t="str">
            <v>USA Rep.O.</v>
          </cell>
          <cell r="F2121" t="str">
            <v>USA Rep.O.</v>
          </cell>
          <cell r="G2121" t="str">
            <v>Usa</v>
          </cell>
          <cell r="H2121" t="str">
            <v>7001</v>
          </cell>
          <cell r="I2121" t="str">
            <v>美国</v>
          </cell>
          <cell r="J2121" t="str">
            <v>Usa</v>
          </cell>
          <cell r="K2121" t="str">
            <v>Local employees</v>
          </cell>
          <cell r="L2121" t="str">
            <v>L4</v>
          </cell>
          <cell r="M2121" t="str">
            <v>ALL</v>
          </cell>
          <cell r="N2121" t="str">
            <v>FLPC(含奖金)</v>
          </cell>
          <cell r="O2121" t="str">
            <v>USD/小时</v>
          </cell>
          <cell r="P2121">
            <v>176.88</v>
          </cell>
        </row>
        <row r="2122">
          <cell r="A2122" t="str">
            <v>Canada - Local employees - L0</v>
          </cell>
          <cell r="B2122" t="str">
            <v>Current version</v>
          </cell>
          <cell r="C2122" t="str">
            <v>V2009R2</v>
          </cell>
          <cell r="D2122" t="str">
            <v>Labor Rate</v>
          </cell>
          <cell r="E2122" t="str">
            <v>USA Rep.O.</v>
          </cell>
          <cell r="F2122" t="str">
            <v>USA Rep.O.</v>
          </cell>
          <cell r="G2122" t="str">
            <v>Canada</v>
          </cell>
          <cell r="H2122" t="str">
            <v>7002</v>
          </cell>
          <cell r="I2122" t="str">
            <v>加拿大</v>
          </cell>
          <cell r="J2122" t="str">
            <v>Canada</v>
          </cell>
          <cell r="K2122" t="str">
            <v>Local employees</v>
          </cell>
          <cell r="L2122" t="str">
            <v>L0</v>
          </cell>
          <cell r="M2122" t="str">
            <v>ALL</v>
          </cell>
          <cell r="N2122" t="str">
            <v>FLPC(含奖金)</v>
          </cell>
          <cell r="O2122" t="str">
            <v>USD/小时</v>
          </cell>
          <cell r="P2122">
            <v>51.58</v>
          </cell>
        </row>
        <row r="2123">
          <cell r="A2123" t="str">
            <v>Canada - Local employees - L1</v>
          </cell>
          <cell r="B2123" t="str">
            <v>Current version</v>
          </cell>
          <cell r="C2123" t="str">
            <v>V2009R2</v>
          </cell>
          <cell r="D2123" t="str">
            <v>Labor Rate</v>
          </cell>
          <cell r="E2123" t="str">
            <v>USA Rep.O.</v>
          </cell>
          <cell r="F2123" t="str">
            <v>USA Rep.O.</v>
          </cell>
          <cell r="G2123" t="str">
            <v>Canada</v>
          </cell>
          <cell r="H2123" t="str">
            <v>7002</v>
          </cell>
          <cell r="I2123" t="str">
            <v>加拿大</v>
          </cell>
          <cell r="J2123" t="str">
            <v>Canada</v>
          </cell>
          <cell r="K2123" t="str">
            <v>Local employees</v>
          </cell>
          <cell r="L2123" t="str">
            <v>L1</v>
          </cell>
          <cell r="M2123" t="str">
            <v>ALL</v>
          </cell>
          <cell r="N2123" t="str">
            <v>FLPC(含奖金)</v>
          </cell>
          <cell r="O2123" t="str">
            <v>USD/小时</v>
          </cell>
          <cell r="P2123">
            <v>61.63</v>
          </cell>
        </row>
        <row r="2124">
          <cell r="A2124" t="str">
            <v>Canada - Local employees - L2</v>
          </cell>
          <cell r="B2124" t="str">
            <v>Current version</v>
          </cell>
          <cell r="C2124" t="str">
            <v>V2009R2</v>
          </cell>
          <cell r="D2124" t="str">
            <v>Labor Rate</v>
          </cell>
          <cell r="E2124" t="str">
            <v>USA Rep.O.</v>
          </cell>
          <cell r="F2124" t="str">
            <v>USA Rep.O.</v>
          </cell>
          <cell r="G2124" t="str">
            <v>Canada</v>
          </cell>
          <cell r="H2124" t="str">
            <v>7002</v>
          </cell>
          <cell r="I2124" t="str">
            <v>加拿大</v>
          </cell>
          <cell r="J2124" t="str">
            <v>Canada</v>
          </cell>
          <cell r="K2124" t="str">
            <v>Local employees</v>
          </cell>
          <cell r="L2124" t="str">
            <v>L2</v>
          </cell>
          <cell r="M2124" t="str">
            <v>ALL</v>
          </cell>
          <cell r="N2124" t="str">
            <v>FLPC(含奖金)</v>
          </cell>
          <cell r="O2124" t="str">
            <v>USD/小时</v>
          </cell>
          <cell r="P2124">
            <v>76.290000000000006</v>
          </cell>
        </row>
        <row r="2125">
          <cell r="A2125" t="str">
            <v>Canada - Local employees - L3</v>
          </cell>
          <cell r="B2125" t="str">
            <v>Current version</v>
          </cell>
          <cell r="C2125" t="str">
            <v>V2009R2</v>
          </cell>
          <cell r="D2125" t="str">
            <v>Labor Rate</v>
          </cell>
          <cell r="E2125" t="str">
            <v>USA Rep.O.</v>
          </cell>
          <cell r="F2125" t="str">
            <v>USA Rep.O.</v>
          </cell>
          <cell r="G2125" t="str">
            <v>Canada</v>
          </cell>
          <cell r="H2125" t="str">
            <v>7002</v>
          </cell>
          <cell r="I2125" t="str">
            <v>加拿大</v>
          </cell>
          <cell r="J2125" t="str">
            <v>Canada</v>
          </cell>
          <cell r="K2125" t="str">
            <v>Local employees</v>
          </cell>
          <cell r="L2125" t="str">
            <v>L3</v>
          </cell>
          <cell r="M2125" t="str">
            <v>ALL</v>
          </cell>
          <cell r="N2125" t="str">
            <v>FLPC(含奖金)</v>
          </cell>
          <cell r="O2125" t="str">
            <v>USD/小时</v>
          </cell>
          <cell r="P2125">
            <v>104.41</v>
          </cell>
        </row>
        <row r="2126">
          <cell r="A2126" t="str">
            <v>Canada - Local employees - L4</v>
          </cell>
          <cell r="B2126" t="str">
            <v>Current version</v>
          </cell>
          <cell r="C2126" t="str">
            <v>V2009R2</v>
          </cell>
          <cell r="D2126" t="str">
            <v>Labor Rate</v>
          </cell>
          <cell r="E2126" t="str">
            <v>USA Rep.O.</v>
          </cell>
          <cell r="F2126" t="str">
            <v>USA Rep.O.</v>
          </cell>
          <cell r="G2126" t="str">
            <v>Canada</v>
          </cell>
          <cell r="H2126" t="str">
            <v>7002</v>
          </cell>
          <cell r="I2126" t="str">
            <v>加拿大</v>
          </cell>
          <cell r="J2126" t="str">
            <v>Canada</v>
          </cell>
          <cell r="K2126" t="str">
            <v>Local employees</v>
          </cell>
          <cell r="L2126" t="str">
            <v>L4</v>
          </cell>
          <cell r="M2126" t="str">
            <v>ALL</v>
          </cell>
          <cell r="N2126" t="str">
            <v>FLPC(含奖金)</v>
          </cell>
          <cell r="O2126" t="str">
            <v>USD/小时</v>
          </cell>
          <cell r="P2126">
            <v>142.75</v>
          </cell>
        </row>
        <row r="2127">
          <cell r="A2127" t="str">
            <v>南太平洋地区部总部 - Local employees - L0</v>
          </cell>
          <cell r="B2127" t="str">
            <v>Current version</v>
          </cell>
          <cell r="C2127" t="str">
            <v>V2009R2</v>
          </cell>
          <cell r="D2127" t="str">
            <v>Labor Rate</v>
          </cell>
          <cell r="E2127" t="str">
            <v>AP</v>
          </cell>
          <cell r="F2127" t="str">
            <v>Southern Pacific Sub-Regional Division</v>
          </cell>
          <cell r="G2127" t="str">
            <v>南太平洋地区部总部</v>
          </cell>
          <cell r="H2127" t="str">
            <v>1108</v>
          </cell>
          <cell r="I2127" t="str">
            <v>南太平洋地区部总部</v>
          </cell>
          <cell r="J2127" t="str">
            <v>南太平洋地区部总部</v>
          </cell>
          <cell r="K2127" t="str">
            <v>Local employees</v>
          </cell>
          <cell r="L2127" t="str">
            <v>L0</v>
          </cell>
          <cell r="M2127" t="str">
            <v>ALL</v>
          </cell>
          <cell r="N2127" t="str">
            <v>FLPC(含奖金)</v>
          </cell>
          <cell r="O2127" t="str">
            <v>USD/小时</v>
          </cell>
          <cell r="P2127">
            <v>11.55</v>
          </cell>
        </row>
        <row r="2128">
          <cell r="A2128" t="str">
            <v>南太平洋地区部总部 - Local employees - L1</v>
          </cell>
          <cell r="B2128" t="str">
            <v>Current version</v>
          </cell>
          <cell r="C2128" t="str">
            <v>V2009R2</v>
          </cell>
          <cell r="D2128" t="str">
            <v>Labor Rate</v>
          </cell>
          <cell r="E2128" t="str">
            <v>AP</v>
          </cell>
          <cell r="F2128" t="str">
            <v>Southern Pacific Sub-Regional Division</v>
          </cell>
          <cell r="G2128" t="str">
            <v>南太平洋地区部总部</v>
          </cell>
          <cell r="H2128" t="str">
            <v>1108</v>
          </cell>
          <cell r="I2128" t="str">
            <v>南太平洋地区部总部</v>
          </cell>
          <cell r="J2128" t="str">
            <v>南太平洋地区部总部</v>
          </cell>
          <cell r="K2128" t="str">
            <v>Local employees</v>
          </cell>
          <cell r="L2128" t="str">
            <v>L1</v>
          </cell>
          <cell r="M2128" t="str">
            <v>ALL</v>
          </cell>
          <cell r="N2128" t="str">
            <v>FLPC(含奖金)</v>
          </cell>
          <cell r="O2128" t="str">
            <v>USD/小时</v>
          </cell>
          <cell r="P2128">
            <v>16.79</v>
          </cell>
        </row>
        <row r="2129">
          <cell r="A2129" t="str">
            <v>南太平洋地区部总部 - Local employees - L2</v>
          </cell>
          <cell r="B2129" t="str">
            <v>Current version</v>
          </cell>
          <cell r="C2129" t="str">
            <v>V2009R2</v>
          </cell>
          <cell r="D2129" t="str">
            <v>Labor Rate</v>
          </cell>
          <cell r="E2129" t="str">
            <v>AP</v>
          </cell>
          <cell r="F2129" t="str">
            <v>Southern Pacific Sub-Regional Division</v>
          </cell>
          <cell r="G2129" t="str">
            <v>南太平洋地区部总部</v>
          </cell>
          <cell r="H2129" t="str">
            <v>1108</v>
          </cell>
          <cell r="I2129" t="str">
            <v>南太平洋地区部总部</v>
          </cell>
          <cell r="J2129" t="str">
            <v>南太平洋地区部总部</v>
          </cell>
          <cell r="K2129" t="str">
            <v>Local employees</v>
          </cell>
          <cell r="L2129" t="str">
            <v>L2</v>
          </cell>
          <cell r="M2129" t="str">
            <v>ALL</v>
          </cell>
          <cell r="N2129" t="str">
            <v>FLPC(含奖金)</v>
          </cell>
          <cell r="O2129" t="str">
            <v>USD/小时</v>
          </cell>
          <cell r="P2129">
            <v>26.15</v>
          </cell>
        </row>
        <row r="2130">
          <cell r="A2130" t="str">
            <v>南太平洋地区部总部 - Local employees - L3</v>
          </cell>
          <cell r="B2130" t="str">
            <v>Current version</v>
          </cell>
          <cell r="C2130" t="str">
            <v>V2009R2</v>
          </cell>
          <cell r="D2130" t="str">
            <v>Labor Rate</v>
          </cell>
          <cell r="E2130" t="str">
            <v>AP</v>
          </cell>
          <cell r="F2130" t="str">
            <v>Southern Pacific Sub-Regional Division</v>
          </cell>
          <cell r="G2130" t="str">
            <v>南太平洋地区部总部</v>
          </cell>
          <cell r="H2130" t="str">
            <v>1108</v>
          </cell>
          <cell r="I2130" t="str">
            <v>南太平洋地区部总部</v>
          </cell>
          <cell r="J2130" t="str">
            <v>南太平洋地区部总部</v>
          </cell>
          <cell r="K2130" t="str">
            <v>Local employees</v>
          </cell>
          <cell r="L2130" t="str">
            <v>L3</v>
          </cell>
          <cell r="M2130" t="str">
            <v>ALL</v>
          </cell>
          <cell r="N2130" t="str">
            <v>FLPC(含奖金)</v>
          </cell>
          <cell r="O2130" t="str">
            <v>USD/小时</v>
          </cell>
          <cell r="P2130">
            <v>57.62</v>
          </cell>
        </row>
        <row r="2131">
          <cell r="A2131" t="str">
            <v>东南亚地区部总部 - Local employees - L0</v>
          </cell>
          <cell r="B2131" t="str">
            <v>Current version</v>
          </cell>
          <cell r="C2131" t="str">
            <v>V2009R2</v>
          </cell>
          <cell r="D2131" t="str">
            <v>Labor Rate</v>
          </cell>
          <cell r="E2131" t="str">
            <v>AP</v>
          </cell>
          <cell r="F2131" t="str">
            <v>Southern-East Asia Sub-Regional Division</v>
          </cell>
          <cell r="G2131" t="str">
            <v>东南亚地区部总部</v>
          </cell>
          <cell r="H2131" t="str">
            <v>1109</v>
          </cell>
          <cell r="I2131" t="str">
            <v>东南亚地区部总部</v>
          </cell>
          <cell r="J2131" t="str">
            <v>东南亚地区部总部</v>
          </cell>
          <cell r="K2131" t="str">
            <v>Local employees</v>
          </cell>
          <cell r="L2131" t="str">
            <v>L0</v>
          </cell>
          <cell r="M2131" t="str">
            <v>ALL</v>
          </cell>
          <cell r="N2131" t="str">
            <v>FLPC(含奖金)</v>
          </cell>
          <cell r="O2131" t="str">
            <v>USD/小时</v>
          </cell>
          <cell r="P2131">
            <v>11.54</v>
          </cell>
        </row>
        <row r="2132">
          <cell r="A2132" t="str">
            <v>东南亚地区部总部 - Local employees - L1</v>
          </cell>
          <cell r="B2132" t="str">
            <v>Current version</v>
          </cell>
          <cell r="C2132" t="str">
            <v>V2009R2</v>
          </cell>
          <cell r="D2132" t="str">
            <v>Labor Rate</v>
          </cell>
          <cell r="E2132" t="str">
            <v>AP</v>
          </cell>
          <cell r="F2132" t="str">
            <v>Southern-East Asia Sub-Regional Division</v>
          </cell>
          <cell r="G2132" t="str">
            <v>东南亚地区部总部</v>
          </cell>
          <cell r="H2132" t="str">
            <v>1109</v>
          </cell>
          <cell r="I2132" t="str">
            <v>东南亚地区部总部</v>
          </cell>
          <cell r="J2132" t="str">
            <v>东南亚地区部总部</v>
          </cell>
          <cell r="K2132" t="str">
            <v>Local employees</v>
          </cell>
          <cell r="L2132" t="str">
            <v>L1</v>
          </cell>
          <cell r="M2132" t="str">
            <v>ALL</v>
          </cell>
          <cell r="N2132" t="str">
            <v>FLPC(含奖金)</v>
          </cell>
          <cell r="O2132" t="str">
            <v>USD/小时</v>
          </cell>
          <cell r="P2132">
            <v>12.82</v>
          </cell>
        </row>
        <row r="2133">
          <cell r="A2133" t="str">
            <v>东南亚地区部总部 - Local employees - L2</v>
          </cell>
          <cell r="B2133" t="str">
            <v>Current version</v>
          </cell>
          <cell r="C2133" t="str">
            <v>V2009R2</v>
          </cell>
          <cell r="D2133" t="str">
            <v>Labor Rate</v>
          </cell>
          <cell r="E2133" t="str">
            <v>AP</v>
          </cell>
          <cell r="F2133" t="str">
            <v>Southern-East Asia Sub-Regional Division</v>
          </cell>
          <cell r="G2133" t="str">
            <v>东南亚地区部总部</v>
          </cell>
          <cell r="H2133" t="str">
            <v>1109</v>
          </cell>
          <cell r="I2133" t="str">
            <v>东南亚地区部总部</v>
          </cell>
          <cell r="J2133" t="str">
            <v>东南亚地区部总部</v>
          </cell>
          <cell r="K2133" t="str">
            <v>Local employees</v>
          </cell>
          <cell r="L2133" t="str">
            <v>L2</v>
          </cell>
          <cell r="M2133" t="str">
            <v>ALL</v>
          </cell>
          <cell r="N2133" t="str">
            <v>FLPC(含奖金)</v>
          </cell>
          <cell r="O2133" t="str">
            <v>USD/小时</v>
          </cell>
          <cell r="P2133">
            <v>18.98</v>
          </cell>
        </row>
        <row r="2134">
          <cell r="A2134" t="str">
            <v>东南亚地区部总部 - Local employees - L3</v>
          </cell>
          <cell r="B2134" t="str">
            <v>Current version</v>
          </cell>
          <cell r="C2134" t="str">
            <v>V2009R2</v>
          </cell>
          <cell r="D2134" t="str">
            <v>Labor Rate</v>
          </cell>
          <cell r="E2134" t="str">
            <v>AP</v>
          </cell>
          <cell r="F2134" t="str">
            <v>Southern-East Asia Sub-Regional Division</v>
          </cell>
          <cell r="G2134" t="str">
            <v>东南亚地区部总部</v>
          </cell>
          <cell r="H2134" t="str">
            <v>1109</v>
          </cell>
          <cell r="I2134" t="str">
            <v>东南亚地区部总部</v>
          </cell>
          <cell r="J2134" t="str">
            <v>东南亚地区部总部</v>
          </cell>
          <cell r="K2134" t="str">
            <v>Local employees</v>
          </cell>
          <cell r="L2134" t="str">
            <v>L3</v>
          </cell>
          <cell r="M2134" t="str">
            <v>ALL</v>
          </cell>
          <cell r="N2134" t="str">
            <v>FLPC(含奖金)</v>
          </cell>
          <cell r="O2134" t="str">
            <v>USD/小时</v>
          </cell>
          <cell r="P2134">
            <v>30.47</v>
          </cell>
        </row>
        <row r="2135">
          <cell r="A2135" t="str">
            <v>亚太片区总部 - Local employees - L0</v>
          </cell>
          <cell r="B2135" t="str">
            <v>Current version</v>
          </cell>
          <cell r="C2135" t="str">
            <v>V2009R2</v>
          </cell>
          <cell r="D2135" t="str">
            <v>Labor Rate</v>
          </cell>
          <cell r="E2135" t="str">
            <v>AP</v>
          </cell>
          <cell r="F2135" t="str">
            <v>A.P. Regional Headquarter</v>
          </cell>
          <cell r="G2135" t="str">
            <v>A.P. Regional Headquarter</v>
          </cell>
          <cell r="H2135" t="str">
            <v>1200</v>
          </cell>
          <cell r="I2135" t="str">
            <v>亚太片区总部</v>
          </cell>
          <cell r="J2135" t="str">
            <v>亚太片区总部</v>
          </cell>
          <cell r="K2135" t="str">
            <v>Local employees</v>
          </cell>
          <cell r="L2135" t="str">
            <v>L0</v>
          </cell>
          <cell r="M2135" t="str">
            <v>ALL</v>
          </cell>
          <cell r="N2135" t="str">
            <v>FLPC(含奖金)</v>
          </cell>
          <cell r="O2135" t="str">
            <v>USD/小时</v>
          </cell>
          <cell r="P2135">
            <v>12.64</v>
          </cell>
        </row>
        <row r="2136">
          <cell r="A2136" t="str">
            <v>亚太片区总部 - Local employees - L1</v>
          </cell>
          <cell r="B2136" t="str">
            <v>Current version</v>
          </cell>
          <cell r="C2136" t="str">
            <v>V2009R2</v>
          </cell>
          <cell r="D2136" t="str">
            <v>Labor Rate</v>
          </cell>
          <cell r="E2136" t="str">
            <v>AP</v>
          </cell>
          <cell r="F2136" t="str">
            <v>A.P. Regional Headquarter</v>
          </cell>
          <cell r="G2136" t="str">
            <v>A.P. Regional Headquarter</v>
          </cell>
          <cell r="H2136" t="str">
            <v>1200</v>
          </cell>
          <cell r="I2136" t="str">
            <v>亚太片区总部</v>
          </cell>
          <cell r="J2136" t="str">
            <v>亚太片区总部</v>
          </cell>
          <cell r="K2136" t="str">
            <v>Local employees</v>
          </cell>
          <cell r="L2136" t="str">
            <v>L1</v>
          </cell>
          <cell r="M2136" t="str">
            <v>ALL</v>
          </cell>
          <cell r="N2136" t="str">
            <v>FLPC(含奖金)</v>
          </cell>
          <cell r="O2136" t="str">
            <v>USD/小时</v>
          </cell>
          <cell r="P2136">
            <v>17.079999999999998</v>
          </cell>
        </row>
        <row r="2137">
          <cell r="A2137" t="str">
            <v>亚太片区总部 - Local employees - L2</v>
          </cell>
          <cell r="B2137" t="str">
            <v>Current version</v>
          </cell>
          <cell r="C2137" t="str">
            <v>V2009R2</v>
          </cell>
          <cell r="D2137" t="str">
            <v>Labor Rate</v>
          </cell>
          <cell r="E2137" t="str">
            <v>AP</v>
          </cell>
          <cell r="F2137" t="str">
            <v>A.P. Regional Headquarter</v>
          </cell>
          <cell r="G2137" t="str">
            <v>A.P. Regional Headquarter</v>
          </cell>
          <cell r="H2137" t="str">
            <v>1200</v>
          </cell>
          <cell r="I2137" t="str">
            <v>亚太片区总部</v>
          </cell>
          <cell r="J2137" t="str">
            <v>亚太片区总部</v>
          </cell>
          <cell r="K2137" t="str">
            <v>Local employees</v>
          </cell>
          <cell r="L2137" t="str">
            <v>L2</v>
          </cell>
          <cell r="M2137" t="str">
            <v>ALL</v>
          </cell>
          <cell r="N2137" t="str">
            <v>FLPC(含奖金)</v>
          </cell>
          <cell r="O2137" t="str">
            <v>USD/小时</v>
          </cell>
          <cell r="P2137">
            <v>23.45</v>
          </cell>
        </row>
        <row r="2138">
          <cell r="A2138" t="str">
            <v>亚太片区总部 - Local employees - L3</v>
          </cell>
          <cell r="B2138" t="str">
            <v>Current version</v>
          </cell>
          <cell r="C2138" t="str">
            <v>V2009R2</v>
          </cell>
          <cell r="D2138" t="str">
            <v>Labor Rate</v>
          </cell>
          <cell r="E2138" t="str">
            <v>AP</v>
          </cell>
          <cell r="F2138" t="str">
            <v>A.P. Regional Headquarter</v>
          </cell>
          <cell r="G2138" t="str">
            <v>A.P. Regional Headquarter</v>
          </cell>
          <cell r="H2138" t="str">
            <v>1200</v>
          </cell>
          <cell r="I2138" t="str">
            <v>亚太片区总部</v>
          </cell>
          <cell r="J2138" t="str">
            <v>亚太片区总部</v>
          </cell>
          <cell r="K2138" t="str">
            <v>Local employees</v>
          </cell>
          <cell r="L2138" t="str">
            <v>L3</v>
          </cell>
          <cell r="M2138" t="str">
            <v>ALL</v>
          </cell>
          <cell r="N2138" t="str">
            <v>FLPC(含奖金)</v>
          </cell>
          <cell r="O2138" t="str">
            <v>USD/小时</v>
          </cell>
          <cell r="P2138">
            <v>35.369999999999997</v>
          </cell>
        </row>
        <row r="2139">
          <cell r="A2139" t="str">
            <v>亚太片区总部 - Local employees - L4</v>
          </cell>
          <cell r="B2139" t="str">
            <v>Current version</v>
          </cell>
          <cell r="C2139" t="str">
            <v>V2009R2</v>
          </cell>
          <cell r="D2139" t="str">
            <v>Labor Rate</v>
          </cell>
          <cell r="E2139" t="str">
            <v>AP</v>
          </cell>
          <cell r="F2139" t="str">
            <v>A.P. Regional Headquarter</v>
          </cell>
          <cell r="G2139" t="str">
            <v>A.P. Regional Headquarter</v>
          </cell>
          <cell r="H2139" t="str">
            <v>1200</v>
          </cell>
          <cell r="I2139" t="str">
            <v>亚太片区总部</v>
          </cell>
          <cell r="J2139" t="str">
            <v>亚太片区总部</v>
          </cell>
          <cell r="K2139" t="str">
            <v>Local employees</v>
          </cell>
          <cell r="L2139" t="str">
            <v>L4</v>
          </cell>
          <cell r="M2139" t="str">
            <v>ALL</v>
          </cell>
          <cell r="N2139" t="str">
            <v>FLPC(含奖金)</v>
          </cell>
          <cell r="O2139" t="str">
            <v>USD/小时</v>
          </cell>
          <cell r="P2139">
            <v>63.54</v>
          </cell>
        </row>
        <row r="2140">
          <cell r="A2140" t="str">
            <v>独联体片区总部 - Local employees - L0</v>
          </cell>
          <cell r="B2140" t="str">
            <v>Current version</v>
          </cell>
          <cell r="C2140" t="str">
            <v>V2009R2</v>
          </cell>
          <cell r="D2140" t="str">
            <v>Labor Rate</v>
          </cell>
          <cell r="E2140" t="str">
            <v>CIS</v>
          </cell>
          <cell r="F2140" t="str">
            <v>Cis Regional Headquarter</v>
          </cell>
          <cell r="G2140" t="str">
            <v>Cis Regional Headquarter</v>
          </cell>
          <cell r="H2140" t="str">
            <v>3000</v>
          </cell>
          <cell r="I2140" t="str">
            <v>独联体片区总部</v>
          </cell>
          <cell r="J2140" t="str">
            <v>独联体片区总部</v>
          </cell>
          <cell r="K2140" t="str">
            <v>Local employees</v>
          </cell>
          <cell r="L2140" t="str">
            <v>L0</v>
          </cell>
          <cell r="M2140" t="str">
            <v>ALL</v>
          </cell>
          <cell r="N2140" t="str">
            <v>FLPC(含奖金)</v>
          </cell>
          <cell r="O2140" t="str">
            <v>USD/小时</v>
          </cell>
          <cell r="P2140">
            <v>30.59</v>
          </cell>
        </row>
        <row r="2141">
          <cell r="A2141" t="str">
            <v>独联体片区总部 - Local employees - L1</v>
          </cell>
          <cell r="B2141" t="str">
            <v>Current version</v>
          </cell>
          <cell r="C2141" t="str">
            <v>V2009R2</v>
          </cell>
          <cell r="D2141" t="str">
            <v>Labor Rate</v>
          </cell>
          <cell r="E2141" t="str">
            <v>CIS</v>
          </cell>
          <cell r="F2141" t="str">
            <v>Cis Regional Headquarter</v>
          </cell>
          <cell r="G2141" t="str">
            <v>Cis Regional Headquarter</v>
          </cell>
          <cell r="H2141" t="str">
            <v>3000</v>
          </cell>
          <cell r="I2141" t="str">
            <v>独联体片区总部</v>
          </cell>
          <cell r="J2141" t="str">
            <v>独联体片区总部</v>
          </cell>
          <cell r="K2141" t="str">
            <v>Local employees</v>
          </cell>
          <cell r="L2141" t="str">
            <v>L1</v>
          </cell>
          <cell r="M2141" t="str">
            <v>ALL</v>
          </cell>
          <cell r="N2141" t="str">
            <v>FLPC(含奖金)</v>
          </cell>
          <cell r="O2141" t="str">
            <v>USD/小时</v>
          </cell>
          <cell r="P2141">
            <v>36.72</v>
          </cell>
        </row>
        <row r="2142">
          <cell r="A2142" t="str">
            <v>独联体片区总部 - Local employees - L2</v>
          </cell>
          <cell r="B2142" t="str">
            <v>Current version</v>
          </cell>
          <cell r="C2142" t="str">
            <v>V2009R2</v>
          </cell>
          <cell r="D2142" t="str">
            <v>Labor Rate</v>
          </cell>
          <cell r="E2142" t="str">
            <v>CIS</v>
          </cell>
          <cell r="F2142" t="str">
            <v>Cis Regional Headquarter</v>
          </cell>
          <cell r="G2142" t="str">
            <v>Cis Regional Headquarter</v>
          </cell>
          <cell r="H2142" t="str">
            <v>3000</v>
          </cell>
          <cell r="I2142" t="str">
            <v>独联体片区总部</v>
          </cell>
          <cell r="J2142" t="str">
            <v>独联体片区总部</v>
          </cell>
          <cell r="K2142" t="str">
            <v>Local employees</v>
          </cell>
          <cell r="L2142" t="str">
            <v>L2</v>
          </cell>
          <cell r="M2142" t="str">
            <v>ALL</v>
          </cell>
          <cell r="N2142" t="str">
            <v>FLPC(含奖金)</v>
          </cell>
          <cell r="O2142" t="str">
            <v>USD/小时</v>
          </cell>
          <cell r="P2142">
            <v>47.39</v>
          </cell>
        </row>
        <row r="2143">
          <cell r="A2143" t="str">
            <v>独联体片区总部 - Local employees - L3</v>
          </cell>
          <cell r="B2143" t="str">
            <v>Current version</v>
          </cell>
          <cell r="C2143" t="str">
            <v>V2009R2</v>
          </cell>
          <cell r="D2143" t="str">
            <v>Labor Rate</v>
          </cell>
          <cell r="E2143" t="str">
            <v>CIS</v>
          </cell>
          <cell r="F2143" t="str">
            <v>Cis Regional Headquarter</v>
          </cell>
          <cell r="G2143" t="str">
            <v>Cis Regional Headquarter</v>
          </cell>
          <cell r="H2143" t="str">
            <v>3000</v>
          </cell>
          <cell r="I2143" t="str">
            <v>独联体片区总部</v>
          </cell>
          <cell r="J2143" t="str">
            <v>独联体片区总部</v>
          </cell>
          <cell r="K2143" t="str">
            <v>Local employees</v>
          </cell>
          <cell r="L2143" t="str">
            <v>L3</v>
          </cell>
          <cell r="M2143" t="str">
            <v>ALL</v>
          </cell>
          <cell r="N2143" t="str">
            <v>FLPC(含奖金)</v>
          </cell>
          <cell r="O2143" t="str">
            <v>USD/小时</v>
          </cell>
          <cell r="P2143">
            <v>57.27</v>
          </cell>
        </row>
        <row r="2144">
          <cell r="A2144" t="str">
            <v>独联体片区总部 - Local employees - L4</v>
          </cell>
          <cell r="B2144" t="str">
            <v>Current version</v>
          </cell>
          <cell r="C2144" t="str">
            <v>V2009R2</v>
          </cell>
          <cell r="D2144" t="str">
            <v>Labor Rate</v>
          </cell>
          <cell r="E2144" t="str">
            <v>CIS</v>
          </cell>
          <cell r="F2144" t="str">
            <v>Cis Regional Headquarter</v>
          </cell>
          <cell r="G2144" t="str">
            <v>Cis Regional Headquarter</v>
          </cell>
          <cell r="H2144" t="str">
            <v>3000</v>
          </cell>
          <cell r="I2144" t="str">
            <v>独联体片区总部</v>
          </cell>
          <cell r="J2144" t="str">
            <v>独联体片区总部</v>
          </cell>
          <cell r="K2144" t="str">
            <v>Local employees</v>
          </cell>
          <cell r="L2144" t="str">
            <v>L4</v>
          </cell>
          <cell r="M2144" t="str">
            <v>ALL</v>
          </cell>
          <cell r="N2144" t="str">
            <v>FLPC(含奖金)</v>
          </cell>
          <cell r="O2144" t="str">
            <v>USD/小时</v>
          </cell>
          <cell r="P2144">
            <v>73.87</v>
          </cell>
        </row>
        <row r="2145">
          <cell r="A2145" t="str">
            <v>中亚地区部总部 - Local employees - L0</v>
          </cell>
          <cell r="B2145" t="str">
            <v>Current version</v>
          </cell>
          <cell r="C2145" t="str">
            <v>V2009R2</v>
          </cell>
          <cell r="D2145" t="str">
            <v>Labor Rate</v>
          </cell>
          <cell r="E2145" t="str">
            <v>CIS</v>
          </cell>
          <cell r="F2145" t="str">
            <v>Central Asia Sub-Regional Division</v>
          </cell>
          <cell r="G2145" t="str">
            <v>Middle Asia Sub-Region Headquarter</v>
          </cell>
          <cell r="H2145" t="str">
            <v>3032</v>
          </cell>
          <cell r="I2145" t="str">
            <v>中亚地区部总部</v>
          </cell>
          <cell r="J2145" t="str">
            <v>中亚地区部总部</v>
          </cell>
          <cell r="K2145" t="str">
            <v>Local employees</v>
          </cell>
          <cell r="L2145" t="str">
            <v>L0</v>
          </cell>
          <cell r="M2145" t="str">
            <v>ALL</v>
          </cell>
          <cell r="N2145" t="str">
            <v>FLPC(含奖金)</v>
          </cell>
          <cell r="O2145" t="str">
            <v>USD/小时</v>
          </cell>
          <cell r="P2145">
            <v>11</v>
          </cell>
        </row>
        <row r="2146">
          <cell r="A2146" t="str">
            <v>中亚地区部总部 - Local employees - L1</v>
          </cell>
          <cell r="B2146" t="str">
            <v>Current version</v>
          </cell>
          <cell r="C2146" t="str">
            <v>V2009R2</v>
          </cell>
          <cell r="D2146" t="str">
            <v>Labor Rate</v>
          </cell>
          <cell r="E2146" t="str">
            <v>CIS</v>
          </cell>
          <cell r="F2146" t="str">
            <v>Central Asia Sub-Regional Division</v>
          </cell>
          <cell r="G2146" t="str">
            <v>Middle Asia Sub-Region Headquarter</v>
          </cell>
          <cell r="H2146" t="str">
            <v>3032</v>
          </cell>
          <cell r="I2146" t="str">
            <v>中亚地区部总部</v>
          </cell>
          <cell r="J2146" t="str">
            <v>中亚地区部总部</v>
          </cell>
          <cell r="K2146" t="str">
            <v>Local employees</v>
          </cell>
          <cell r="L2146" t="str">
            <v>L1</v>
          </cell>
          <cell r="M2146" t="str">
            <v>ALL</v>
          </cell>
          <cell r="N2146" t="str">
            <v>FLPC(含奖金)</v>
          </cell>
          <cell r="O2146" t="str">
            <v>USD/小时</v>
          </cell>
          <cell r="P2146">
            <v>13.2</v>
          </cell>
        </row>
        <row r="2147">
          <cell r="A2147" t="str">
            <v>中亚地区部总部 - Local employees - L2</v>
          </cell>
          <cell r="B2147" t="str">
            <v>Current version</v>
          </cell>
          <cell r="C2147" t="str">
            <v>V2009R2</v>
          </cell>
          <cell r="D2147" t="str">
            <v>Labor Rate</v>
          </cell>
          <cell r="E2147" t="str">
            <v>CIS</v>
          </cell>
          <cell r="F2147" t="str">
            <v>Central Asia Sub-Regional Division</v>
          </cell>
          <cell r="G2147" t="str">
            <v>Middle Asia Sub-Region Headquarter</v>
          </cell>
          <cell r="H2147" t="str">
            <v>3032</v>
          </cell>
          <cell r="I2147" t="str">
            <v>中亚地区部总部</v>
          </cell>
          <cell r="J2147" t="str">
            <v>中亚地区部总部</v>
          </cell>
          <cell r="K2147" t="str">
            <v>Local employees</v>
          </cell>
          <cell r="L2147" t="str">
            <v>L2</v>
          </cell>
          <cell r="M2147" t="str">
            <v>ALL</v>
          </cell>
          <cell r="N2147" t="str">
            <v>FLPC(含奖金)</v>
          </cell>
          <cell r="O2147" t="str">
            <v>USD/小时</v>
          </cell>
          <cell r="P2147">
            <v>18.63</v>
          </cell>
        </row>
        <row r="2148">
          <cell r="A2148" t="str">
            <v>中亚地区部总部 - Local employees - L3</v>
          </cell>
          <cell r="B2148" t="str">
            <v>Current version</v>
          </cell>
          <cell r="C2148" t="str">
            <v>V2009R2</v>
          </cell>
          <cell r="D2148" t="str">
            <v>Labor Rate</v>
          </cell>
          <cell r="E2148" t="str">
            <v>CIS</v>
          </cell>
          <cell r="F2148" t="str">
            <v>Central Asia Sub-Regional Division</v>
          </cell>
          <cell r="G2148" t="str">
            <v>Middle Asia Sub-Region Headquarter</v>
          </cell>
          <cell r="H2148" t="str">
            <v>3032</v>
          </cell>
          <cell r="I2148" t="str">
            <v>中亚地区部总部</v>
          </cell>
          <cell r="J2148" t="str">
            <v>中亚地区部总部</v>
          </cell>
          <cell r="K2148" t="str">
            <v>Local employees</v>
          </cell>
          <cell r="L2148" t="str">
            <v>L3</v>
          </cell>
          <cell r="M2148" t="str">
            <v>ALL</v>
          </cell>
          <cell r="N2148" t="str">
            <v>FLPC(含奖金)</v>
          </cell>
          <cell r="O2148" t="str">
            <v>USD/小时</v>
          </cell>
          <cell r="P2148">
            <v>31.96</v>
          </cell>
        </row>
        <row r="2149">
          <cell r="A2149" t="str">
            <v>India West Region Office - Local employees - L3</v>
          </cell>
          <cell r="B2149" t="str">
            <v>Current version</v>
          </cell>
          <cell r="C2149" t="str">
            <v>V2009R2</v>
          </cell>
          <cell r="D2149" t="str">
            <v>Labor Rate</v>
          </cell>
          <cell r="E2149" t="str">
            <v>AP</v>
          </cell>
          <cell r="F2149" t="str">
            <v>India Rep.O.</v>
          </cell>
          <cell r="G2149" t="str">
            <v>India 西区办事处</v>
          </cell>
          <cell r="H2149" t="str">
            <v>1235</v>
          </cell>
          <cell r="I2149" t="str">
            <v>印度西区办事处</v>
          </cell>
          <cell r="J2149" t="str">
            <v>India West Region Office</v>
          </cell>
          <cell r="K2149" t="str">
            <v>Local employees</v>
          </cell>
          <cell r="L2149" t="str">
            <v>L3</v>
          </cell>
          <cell r="M2149" t="str">
            <v>ALL</v>
          </cell>
          <cell r="N2149" t="str">
            <v>FLPC(含奖金)</v>
          </cell>
          <cell r="O2149" t="str">
            <v>USD/小时</v>
          </cell>
          <cell r="P2149">
            <v>40.89</v>
          </cell>
        </row>
        <row r="2150">
          <cell r="A2150" t="str">
            <v>India West Region Office - Local employees - L2</v>
          </cell>
          <cell r="B2150" t="str">
            <v>Current version</v>
          </cell>
          <cell r="C2150" t="str">
            <v>V2009R2</v>
          </cell>
          <cell r="D2150" t="str">
            <v>Labor Rate</v>
          </cell>
          <cell r="E2150" t="str">
            <v>AP</v>
          </cell>
          <cell r="F2150" t="str">
            <v>India Rep.O.</v>
          </cell>
          <cell r="G2150" t="str">
            <v>India 西区办事处</v>
          </cell>
          <cell r="H2150" t="str">
            <v>1235</v>
          </cell>
          <cell r="I2150" t="str">
            <v>印度西区办事处</v>
          </cell>
          <cell r="J2150" t="str">
            <v>India West Region Office</v>
          </cell>
          <cell r="K2150" t="str">
            <v>Local employees</v>
          </cell>
          <cell r="L2150" t="str">
            <v>L2</v>
          </cell>
          <cell r="M2150" t="str">
            <v>ALL</v>
          </cell>
          <cell r="N2150" t="str">
            <v>FLPC(含奖金)</v>
          </cell>
          <cell r="O2150" t="str">
            <v>USD/小时</v>
          </cell>
          <cell r="P2150">
            <v>21.62</v>
          </cell>
        </row>
        <row r="2151">
          <cell r="A2151" t="str">
            <v>India West Region Office - Local employees - L1</v>
          </cell>
          <cell r="B2151" t="str">
            <v>Current version</v>
          </cell>
          <cell r="C2151" t="str">
            <v>V2009R2</v>
          </cell>
          <cell r="D2151" t="str">
            <v>Labor Rate</v>
          </cell>
          <cell r="E2151" t="str">
            <v>AP</v>
          </cell>
          <cell r="F2151" t="str">
            <v>India Rep.O.</v>
          </cell>
          <cell r="G2151" t="str">
            <v>India 西区办事处</v>
          </cell>
          <cell r="H2151" t="str">
            <v>1235</v>
          </cell>
          <cell r="I2151" t="str">
            <v>印度西区办事处</v>
          </cell>
          <cell r="J2151" t="str">
            <v>India West Region Office</v>
          </cell>
          <cell r="K2151" t="str">
            <v>Local employees</v>
          </cell>
          <cell r="L2151" t="str">
            <v>L1</v>
          </cell>
          <cell r="M2151" t="str">
            <v>ALL</v>
          </cell>
          <cell r="N2151" t="str">
            <v>FLPC(含奖金)</v>
          </cell>
          <cell r="O2151" t="str">
            <v>USD/小时</v>
          </cell>
          <cell r="P2151">
            <v>13.33</v>
          </cell>
        </row>
        <row r="2152">
          <cell r="A2152" t="str">
            <v>India West Region Office - Local employees - L0</v>
          </cell>
          <cell r="B2152" t="str">
            <v>Current version</v>
          </cell>
          <cell r="C2152" t="str">
            <v>V2009R2</v>
          </cell>
          <cell r="D2152" t="str">
            <v>Labor Rate</v>
          </cell>
          <cell r="E2152" t="str">
            <v>AP</v>
          </cell>
          <cell r="F2152" t="str">
            <v>India Rep.O.</v>
          </cell>
          <cell r="G2152" t="str">
            <v>India 西区办事处</v>
          </cell>
          <cell r="H2152" t="str">
            <v>1235</v>
          </cell>
          <cell r="I2152" t="str">
            <v>印度西区办事处</v>
          </cell>
          <cell r="J2152" t="str">
            <v>India West Region Office</v>
          </cell>
          <cell r="K2152" t="str">
            <v>Local employees</v>
          </cell>
          <cell r="L2152" t="str">
            <v>L0</v>
          </cell>
          <cell r="M2152" t="str">
            <v>ALL</v>
          </cell>
          <cell r="N2152" t="str">
            <v>FLPC(含奖金)</v>
          </cell>
          <cell r="O2152" t="str">
            <v>USD/小时</v>
          </cell>
          <cell r="P2152">
            <v>12.94</v>
          </cell>
        </row>
        <row r="2153">
          <cell r="A2153" t="str">
            <v>Nepal - Local employees - L4</v>
          </cell>
          <cell r="B2153" t="str">
            <v>Current version</v>
          </cell>
          <cell r="C2153" t="str">
            <v>V2009R2</v>
          </cell>
          <cell r="D2153" t="str">
            <v>Labor Rate</v>
          </cell>
          <cell r="E2153" t="str">
            <v>AP</v>
          </cell>
          <cell r="F2153" t="str">
            <v>India Rep.O.</v>
          </cell>
          <cell r="G2153" t="str">
            <v>Nepal</v>
          </cell>
          <cell r="H2153" t="str">
            <v>1214</v>
          </cell>
          <cell r="I2153" t="str">
            <v>尼泊尔</v>
          </cell>
          <cell r="J2153" t="str">
            <v>Nepal</v>
          </cell>
          <cell r="K2153" t="str">
            <v>Local employees</v>
          </cell>
          <cell r="L2153" t="str">
            <v>L4</v>
          </cell>
          <cell r="M2153" t="str">
            <v>ALL</v>
          </cell>
          <cell r="N2153" t="str">
            <v>FLPC(含奖金)</v>
          </cell>
          <cell r="O2153" t="str">
            <v>USD/小时</v>
          </cell>
          <cell r="P2153">
            <v>112.14</v>
          </cell>
        </row>
        <row r="2154">
          <cell r="A2154" t="str">
            <v>Nepal - Local employees - L3</v>
          </cell>
          <cell r="B2154" t="str">
            <v>Current version</v>
          </cell>
          <cell r="C2154" t="str">
            <v>V2009R2</v>
          </cell>
          <cell r="D2154" t="str">
            <v>Labor Rate</v>
          </cell>
          <cell r="E2154" t="str">
            <v>AP</v>
          </cell>
          <cell r="F2154" t="str">
            <v>India Rep.O.</v>
          </cell>
          <cell r="G2154" t="str">
            <v>Nepal</v>
          </cell>
          <cell r="H2154" t="str">
            <v>1214</v>
          </cell>
          <cell r="I2154" t="str">
            <v>尼泊尔</v>
          </cell>
          <cell r="J2154" t="str">
            <v>Nepal</v>
          </cell>
          <cell r="K2154" t="str">
            <v>Local employees</v>
          </cell>
          <cell r="L2154" t="str">
            <v>L3</v>
          </cell>
          <cell r="M2154" t="str">
            <v>ALL</v>
          </cell>
          <cell r="N2154" t="str">
            <v>FLPC(含奖金)</v>
          </cell>
          <cell r="O2154" t="str">
            <v>USD/小时</v>
          </cell>
          <cell r="P2154">
            <v>46.17</v>
          </cell>
        </row>
        <row r="2155">
          <cell r="A2155" t="str">
            <v>Nepal - Local employees - L2</v>
          </cell>
          <cell r="B2155" t="str">
            <v>Current version</v>
          </cell>
          <cell r="C2155" t="str">
            <v>V2009R2</v>
          </cell>
          <cell r="D2155" t="str">
            <v>Labor Rate</v>
          </cell>
          <cell r="E2155" t="str">
            <v>AP</v>
          </cell>
          <cell r="F2155" t="str">
            <v>India Rep.O.</v>
          </cell>
          <cell r="G2155" t="str">
            <v>Nepal</v>
          </cell>
          <cell r="H2155" t="str">
            <v>1214</v>
          </cell>
          <cell r="I2155" t="str">
            <v>尼泊尔</v>
          </cell>
          <cell r="J2155" t="str">
            <v>Nepal</v>
          </cell>
          <cell r="K2155" t="str">
            <v>Local employees</v>
          </cell>
          <cell r="L2155" t="str">
            <v>L2</v>
          </cell>
          <cell r="M2155" t="str">
            <v>ALL</v>
          </cell>
          <cell r="N2155" t="str">
            <v>FLPC(含奖金)</v>
          </cell>
          <cell r="O2155" t="str">
            <v>USD/小时</v>
          </cell>
          <cell r="P2155">
            <v>23.37</v>
          </cell>
        </row>
        <row r="2156">
          <cell r="A2156" t="str">
            <v>Spain - Local employees - L0</v>
          </cell>
          <cell r="B2156" t="str">
            <v>Current version</v>
          </cell>
          <cell r="C2156" t="str">
            <v>V2009R2</v>
          </cell>
          <cell r="D2156" t="str">
            <v>Labor Rate</v>
          </cell>
          <cell r="E2156" t="str">
            <v>EU</v>
          </cell>
          <cell r="F2156" t="str">
            <v>West European Sub-Regional Division</v>
          </cell>
          <cell r="G2156" t="str">
            <v>两牙代表处</v>
          </cell>
          <cell r="H2156" t="str">
            <v>3605</v>
          </cell>
          <cell r="I2156" t="str">
            <v>西班牙</v>
          </cell>
          <cell r="J2156" t="str">
            <v>Spain</v>
          </cell>
          <cell r="K2156" t="str">
            <v>Local employees</v>
          </cell>
          <cell r="L2156" t="str">
            <v>L0</v>
          </cell>
          <cell r="M2156" t="str">
            <v>ALL</v>
          </cell>
          <cell r="N2156" t="str">
            <v>FLPC(含奖金)</v>
          </cell>
          <cell r="O2156" t="str">
            <v>USD/小时</v>
          </cell>
          <cell r="P2156">
            <v>48.85</v>
          </cell>
        </row>
        <row r="2157">
          <cell r="A2157" t="str">
            <v>Spain - Local employees - L1</v>
          </cell>
          <cell r="B2157" t="str">
            <v>Current version</v>
          </cell>
          <cell r="C2157" t="str">
            <v>V2009R2</v>
          </cell>
          <cell r="D2157" t="str">
            <v>Labor Rate</v>
          </cell>
          <cell r="E2157" t="str">
            <v>EU</v>
          </cell>
          <cell r="F2157" t="str">
            <v>West European Sub-Regional Division</v>
          </cell>
          <cell r="G2157" t="str">
            <v>两牙代表处</v>
          </cell>
          <cell r="H2157" t="str">
            <v>3605</v>
          </cell>
          <cell r="I2157" t="str">
            <v>西班牙</v>
          </cell>
          <cell r="J2157" t="str">
            <v>Spain</v>
          </cell>
          <cell r="K2157" t="str">
            <v>Local employees</v>
          </cell>
          <cell r="L2157" t="str">
            <v>L1</v>
          </cell>
          <cell r="M2157" t="str">
            <v>ALL</v>
          </cell>
          <cell r="N2157" t="str">
            <v>FLPC(含奖金)</v>
          </cell>
          <cell r="O2157" t="str">
            <v>USD/小时</v>
          </cell>
          <cell r="P2157">
            <v>61.16</v>
          </cell>
        </row>
        <row r="2158">
          <cell r="A2158" t="str">
            <v>Spain - Local employees - L2</v>
          </cell>
          <cell r="B2158" t="str">
            <v>Current version</v>
          </cell>
          <cell r="C2158" t="str">
            <v>V2009R2</v>
          </cell>
          <cell r="D2158" t="str">
            <v>Labor Rate</v>
          </cell>
          <cell r="E2158" t="str">
            <v>EU</v>
          </cell>
          <cell r="F2158" t="str">
            <v>West European Sub-Regional Division</v>
          </cell>
          <cell r="G2158" t="str">
            <v>两牙代表处</v>
          </cell>
          <cell r="H2158" t="str">
            <v>3605</v>
          </cell>
          <cell r="I2158" t="str">
            <v>西班牙</v>
          </cell>
          <cell r="J2158" t="str">
            <v>Spain</v>
          </cell>
          <cell r="K2158" t="str">
            <v>Local employees</v>
          </cell>
          <cell r="L2158" t="str">
            <v>L2</v>
          </cell>
          <cell r="M2158" t="str">
            <v>ALL</v>
          </cell>
          <cell r="N2158" t="str">
            <v>FLPC(含奖金)</v>
          </cell>
          <cell r="O2158" t="str">
            <v>USD/小时</v>
          </cell>
          <cell r="P2158">
            <v>77.02</v>
          </cell>
        </row>
        <row r="2159">
          <cell r="A2159" t="str">
            <v>Spain - Local employees - L3</v>
          </cell>
          <cell r="B2159" t="str">
            <v>Current version</v>
          </cell>
          <cell r="C2159" t="str">
            <v>V2009R2</v>
          </cell>
          <cell r="D2159" t="str">
            <v>Labor Rate</v>
          </cell>
          <cell r="E2159" t="str">
            <v>EU</v>
          </cell>
          <cell r="F2159" t="str">
            <v>West European Sub-Regional Division</v>
          </cell>
          <cell r="G2159" t="str">
            <v>两牙代表处</v>
          </cell>
          <cell r="H2159" t="str">
            <v>3605</v>
          </cell>
          <cell r="I2159" t="str">
            <v>西班牙</v>
          </cell>
          <cell r="J2159" t="str">
            <v>Spain</v>
          </cell>
          <cell r="K2159" t="str">
            <v>Local employees</v>
          </cell>
          <cell r="L2159" t="str">
            <v>L3</v>
          </cell>
          <cell r="M2159" t="str">
            <v>ALL</v>
          </cell>
          <cell r="N2159" t="str">
            <v>FLPC(含奖金)</v>
          </cell>
          <cell r="O2159" t="str">
            <v>USD/小时</v>
          </cell>
          <cell r="P2159">
            <v>104.09</v>
          </cell>
        </row>
        <row r="2160">
          <cell r="A2160" t="str">
            <v>Spain - Local employees - L4</v>
          </cell>
          <cell r="B2160" t="str">
            <v>Current version</v>
          </cell>
          <cell r="C2160" t="str">
            <v>V2009R2</v>
          </cell>
          <cell r="D2160" t="str">
            <v>Labor Rate</v>
          </cell>
          <cell r="E2160" t="str">
            <v>EU</v>
          </cell>
          <cell r="F2160" t="str">
            <v>West European Sub-Regional Division</v>
          </cell>
          <cell r="G2160" t="str">
            <v>两牙代表处</v>
          </cell>
          <cell r="H2160" t="str">
            <v>3605</v>
          </cell>
          <cell r="I2160" t="str">
            <v>西班牙</v>
          </cell>
          <cell r="J2160" t="str">
            <v>Spain</v>
          </cell>
          <cell r="K2160" t="str">
            <v>Local employees</v>
          </cell>
          <cell r="L2160" t="str">
            <v>L4</v>
          </cell>
          <cell r="M2160" t="str">
            <v>ALL</v>
          </cell>
          <cell r="N2160" t="str">
            <v>FLPC(含奖金)</v>
          </cell>
          <cell r="O2160" t="str">
            <v>USD/小时</v>
          </cell>
          <cell r="P2160">
            <v>216.66</v>
          </cell>
        </row>
        <row r="2161">
          <cell r="A2161" t="str">
            <v>Portugal - Local employees - L0</v>
          </cell>
          <cell r="B2161" t="str">
            <v>Current version</v>
          </cell>
          <cell r="C2161" t="str">
            <v>V2009R2</v>
          </cell>
          <cell r="D2161" t="str">
            <v>Labor Rate</v>
          </cell>
          <cell r="E2161" t="str">
            <v>EU</v>
          </cell>
          <cell r="F2161" t="str">
            <v>West European Sub-Regional Division</v>
          </cell>
          <cell r="G2161" t="str">
            <v>两牙代表处</v>
          </cell>
          <cell r="H2161" t="str">
            <v>3606</v>
          </cell>
          <cell r="I2161" t="str">
            <v>葡萄牙</v>
          </cell>
          <cell r="J2161" t="str">
            <v>Portugal</v>
          </cell>
          <cell r="K2161" t="str">
            <v>Local employees</v>
          </cell>
          <cell r="L2161" t="str">
            <v>L0</v>
          </cell>
          <cell r="M2161" t="str">
            <v>ALL</v>
          </cell>
          <cell r="N2161" t="str">
            <v>FLPC(含奖金)</v>
          </cell>
          <cell r="O2161" t="str">
            <v>USD/小时</v>
          </cell>
          <cell r="P2161">
            <v>53.9</v>
          </cell>
        </row>
        <row r="2162">
          <cell r="A2162" t="str">
            <v>Portugal - Local employees - L1</v>
          </cell>
          <cell r="B2162" t="str">
            <v>Current version</v>
          </cell>
          <cell r="C2162" t="str">
            <v>V2009R2</v>
          </cell>
          <cell r="D2162" t="str">
            <v>Labor Rate</v>
          </cell>
          <cell r="E2162" t="str">
            <v>EU</v>
          </cell>
          <cell r="F2162" t="str">
            <v>West European Sub-Regional Division</v>
          </cell>
          <cell r="G2162" t="str">
            <v>两牙代表处</v>
          </cell>
          <cell r="H2162" t="str">
            <v>3606</v>
          </cell>
          <cell r="I2162" t="str">
            <v>葡萄牙</v>
          </cell>
          <cell r="J2162" t="str">
            <v>Portugal</v>
          </cell>
          <cell r="K2162" t="str">
            <v>Local employees</v>
          </cell>
          <cell r="L2162" t="str">
            <v>L1</v>
          </cell>
          <cell r="M2162" t="str">
            <v>ALL</v>
          </cell>
          <cell r="N2162" t="str">
            <v>FLPC(含奖金)</v>
          </cell>
          <cell r="O2162" t="str">
            <v>USD/小时</v>
          </cell>
          <cell r="P2162">
            <v>62.15</v>
          </cell>
        </row>
        <row r="2163">
          <cell r="A2163" t="str">
            <v>Portugal - Local employees - L2</v>
          </cell>
          <cell r="B2163" t="str">
            <v>Current version</v>
          </cell>
          <cell r="C2163" t="str">
            <v>V2009R2</v>
          </cell>
          <cell r="D2163" t="str">
            <v>Labor Rate</v>
          </cell>
          <cell r="E2163" t="str">
            <v>EU</v>
          </cell>
          <cell r="F2163" t="str">
            <v>West European Sub-Regional Division</v>
          </cell>
          <cell r="G2163" t="str">
            <v>两牙代表处</v>
          </cell>
          <cell r="H2163" t="str">
            <v>3606</v>
          </cell>
          <cell r="I2163" t="str">
            <v>葡萄牙</v>
          </cell>
          <cell r="J2163" t="str">
            <v>Portugal</v>
          </cell>
          <cell r="K2163" t="str">
            <v>Local employees</v>
          </cell>
          <cell r="L2163" t="str">
            <v>L2</v>
          </cell>
          <cell r="M2163" t="str">
            <v>ALL</v>
          </cell>
          <cell r="N2163" t="str">
            <v>FLPC(含奖金)</v>
          </cell>
          <cell r="O2163" t="str">
            <v>USD/小时</v>
          </cell>
          <cell r="P2163">
            <v>79.89</v>
          </cell>
        </row>
        <row r="2164">
          <cell r="A2164" t="str">
            <v>Portugal - Local employees - L3</v>
          </cell>
          <cell r="B2164" t="str">
            <v>Current version</v>
          </cell>
          <cell r="C2164" t="str">
            <v>V2009R2</v>
          </cell>
          <cell r="D2164" t="str">
            <v>Labor Rate</v>
          </cell>
          <cell r="E2164" t="str">
            <v>EU</v>
          </cell>
          <cell r="F2164" t="str">
            <v>West European Sub-Regional Division</v>
          </cell>
          <cell r="G2164" t="str">
            <v>两牙代表处</v>
          </cell>
          <cell r="H2164" t="str">
            <v>3606</v>
          </cell>
          <cell r="I2164" t="str">
            <v>葡萄牙</v>
          </cell>
          <cell r="J2164" t="str">
            <v>Portugal</v>
          </cell>
          <cell r="K2164" t="str">
            <v>Local employees</v>
          </cell>
          <cell r="L2164" t="str">
            <v>L3</v>
          </cell>
          <cell r="M2164" t="str">
            <v>ALL</v>
          </cell>
          <cell r="N2164" t="str">
            <v>FLPC(含奖金)</v>
          </cell>
          <cell r="O2164" t="str">
            <v>USD/小时</v>
          </cell>
          <cell r="P2164">
            <v>117.93</v>
          </cell>
        </row>
        <row r="2165">
          <cell r="A2165" t="str">
            <v>Portugal - Local employees - L4</v>
          </cell>
          <cell r="B2165" t="str">
            <v>Current version</v>
          </cell>
          <cell r="C2165" t="str">
            <v>V2009R2</v>
          </cell>
          <cell r="D2165" t="str">
            <v>Labor Rate</v>
          </cell>
          <cell r="E2165" t="str">
            <v>EU</v>
          </cell>
          <cell r="F2165" t="str">
            <v>West European Sub-Regional Division</v>
          </cell>
          <cell r="G2165" t="str">
            <v>两牙代表处</v>
          </cell>
          <cell r="H2165" t="str">
            <v>3606</v>
          </cell>
          <cell r="I2165" t="str">
            <v>葡萄牙</v>
          </cell>
          <cell r="J2165" t="str">
            <v>Portugal</v>
          </cell>
          <cell r="K2165" t="str">
            <v>Local employees</v>
          </cell>
          <cell r="L2165" t="str">
            <v>L4</v>
          </cell>
          <cell r="M2165" t="str">
            <v>ALL</v>
          </cell>
          <cell r="N2165" t="str">
            <v>FLPC(含奖金)</v>
          </cell>
          <cell r="O2165" t="str">
            <v>USD/小时</v>
          </cell>
          <cell r="P2165">
            <v>206.17</v>
          </cell>
        </row>
        <row r="2166">
          <cell r="A2166" t="str">
            <v>Uk - Local employees - L0</v>
          </cell>
          <cell r="B2166" t="str">
            <v>Current version</v>
          </cell>
          <cell r="C2166" t="str">
            <v>V2009R2</v>
          </cell>
          <cell r="D2166" t="str">
            <v>Labor Rate</v>
          </cell>
          <cell r="E2166" t="str">
            <v>EU</v>
          </cell>
          <cell r="F2166" t="str">
            <v>West European Sub-Regional Division</v>
          </cell>
          <cell r="G2166" t="str">
            <v>Uk Rep.Office</v>
          </cell>
          <cell r="H2166" t="str">
            <v>3601</v>
          </cell>
          <cell r="I2166" t="str">
            <v>英国</v>
          </cell>
          <cell r="J2166" t="str">
            <v>Uk</v>
          </cell>
          <cell r="K2166" t="str">
            <v>Local employees</v>
          </cell>
          <cell r="L2166" t="str">
            <v>L0</v>
          </cell>
          <cell r="M2166" t="str">
            <v>ALL</v>
          </cell>
          <cell r="N2166" t="str">
            <v>FLPC(含奖金)</v>
          </cell>
          <cell r="O2166" t="str">
            <v>USD/小时</v>
          </cell>
          <cell r="P2166">
            <v>50.84</v>
          </cell>
        </row>
        <row r="2167">
          <cell r="A2167" t="str">
            <v>Uk - Local employees - L1</v>
          </cell>
          <cell r="B2167" t="str">
            <v>Current version</v>
          </cell>
          <cell r="C2167" t="str">
            <v>V2009R2</v>
          </cell>
          <cell r="D2167" t="str">
            <v>Labor Rate</v>
          </cell>
          <cell r="E2167" t="str">
            <v>EU</v>
          </cell>
          <cell r="F2167" t="str">
            <v>West European Sub-Regional Division</v>
          </cell>
          <cell r="G2167" t="str">
            <v>Uk Rep.Office</v>
          </cell>
          <cell r="H2167" t="str">
            <v>3601</v>
          </cell>
          <cell r="I2167" t="str">
            <v>英国</v>
          </cell>
          <cell r="J2167" t="str">
            <v>Uk</v>
          </cell>
          <cell r="K2167" t="str">
            <v>Local employees</v>
          </cell>
          <cell r="L2167" t="str">
            <v>L1</v>
          </cell>
          <cell r="M2167" t="str">
            <v>ALL</v>
          </cell>
          <cell r="N2167" t="str">
            <v>FLPC(含奖金)</v>
          </cell>
          <cell r="O2167" t="str">
            <v>USD/小时</v>
          </cell>
          <cell r="P2167">
            <v>63.6</v>
          </cell>
        </row>
        <row r="2168">
          <cell r="A2168" t="str">
            <v>Uk - Local employees - L2</v>
          </cell>
          <cell r="B2168" t="str">
            <v>Current version</v>
          </cell>
          <cell r="C2168" t="str">
            <v>V2009R2</v>
          </cell>
          <cell r="D2168" t="str">
            <v>Labor Rate</v>
          </cell>
          <cell r="E2168" t="str">
            <v>EU</v>
          </cell>
          <cell r="F2168" t="str">
            <v>West European Sub-Regional Division</v>
          </cell>
          <cell r="G2168" t="str">
            <v>Uk Rep.Office</v>
          </cell>
          <cell r="H2168" t="str">
            <v>3601</v>
          </cell>
          <cell r="I2168" t="str">
            <v>英国</v>
          </cell>
          <cell r="J2168" t="str">
            <v>Uk</v>
          </cell>
          <cell r="K2168" t="str">
            <v>Local employees</v>
          </cell>
          <cell r="L2168" t="str">
            <v>L2</v>
          </cell>
          <cell r="M2168" t="str">
            <v>ALL</v>
          </cell>
          <cell r="N2168" t="str">
            <v>FLPC(含奖金)</v>
          </cell>
          <cell r="O2168" t="str">
            <v>USD/小时</v>
          </cell>
          <cell r="P2168">
            <v>95.34</v>
          </cell>
        </row>
        <row r="2169">
          <cell r="A2169" t="str">
            <v>Uk - Local employees - L3</v>
          </cell>
          <cell r="B2169" t="str">
            <v>Current version</v>
          </cell>
          <cell r="C2169" t="str">
            <v>V2009R2</v>
          </cell>
          <cell r="D2169" t="str">
            <v>Labor Rate</v>
          </cell>
          <cell r="E2169" t="str">
            <v>EU</v>
          </cell>
          <cell r="F2169" t="str">
            <v>West European Sub-Regional Division</v>
          </cell>
          <cell r="G2169" t="str">
            <v>Uk Rep.Office</v>
          </cell>
          <cell r="H2169" t="str">
            <v>3601</v>
          </cell>
          <cell r="I2169" t="str">
            <v>英国</v>
          </cell>
          <cell r="J2169" t="str">
            <v>Uk</v>
          </cell>
          <cell r="K2169" t="str">
            <v>Local employees</v>
          </cell>
          <cell r="L2169" t="str">
            <v>L3</v>
          </cell>
          <cell r="M2169" t="str">
            <v>ALL</v>
          </cell>
          <cell r="N2169" t="str">
            <v>FLPC(含奖金)</v>
          </cell>
          <cell r="O2169" t="str">
            <v>USD/小时</v>
          </cell>
          <cell r="P2169">
            <v>115.33</v>
          </cell>
        </row>
        <row r="2170">
          <cell r="A2170" t="str">
            <v>Uk - Local employees - L4</v>
          </cell>
          <cell r="B2170" t="str">
            <v>Current version</v>
          </cell>
          <cell r="C2170" t="str">
            <v>V2009R2</v>
          </cell>
          <cell r="D2170" t="str">
            <v>Labor Rate</v>
          </cell>
          <cell r="E2170" t="str">
            <v>EU</v>
          </cell>
          <cell r="F2170" t="str">
            <v>West European Sub-Regional Division</v>
          </cell>
          <cell r="G2170" t="str">
            <v>Uk Rep.Office</v>
          </cell>
          <cell r="H2170" t="str">
            <v>3601</v>
          </cell>
          <cell r="I2170" t="str">
            <v>英国</v>
          </cell>
          <cell r="J2170" t="str">
            <v>Uk</v>
          </cell>
          <cell r="K2170" t="str">
            <v>Local employees</v>
          </cell>
          <cell r="L2170" t="str">
            <v>L4</v>
          </cell>
          <cell r="M2170" t="str">
            <v>ALL</v>
          </cell>
          <cell r="N2170" t="str">
            <v>FLPC(含奖金)</v>
          </cell>
          <cell r="O2170" t="str">
            <v>USD/小时</v>
          </cell>
          <cell r="P2170">
            <v>175.23</v>
          </cell>
        </row>
        <row r="2171">
          <cell r="A2171" t="str">
            <v>Ireland - Local employees - L0</v>
          </cell>
          <cell r="B2171" t="str">
            <v>Current version</v>
          </cell>
          <cell r="C2171" t="str">
            <v>V2009R2</v>
          </cell>
          <cell r="D2171" t="str">
            <v>Labor Rate</v>
          </cell>
          <cell r="E2171" t="str">
            <v>EU</v>
          </cell>
          <cell r="F2171" t="str">
            <v>West European Sub-Regional Division</v>
          </cell>
          <cell r="G2171" t="str">
            <v>Uk Rep.Office</v>
          </cell>
          <cell r="H2171" t="str">
            <v>3609</v>
          </cell>
          <cell r="I2171" t="str">
            <v>爱尔兰</v>
          </cell>
          <cell r="J2171" t="str">
            <v>Ireland</v>
          </cell>
          <cell r="K2171" t="str">
            <v>Local employees</v>
          </cell>
          <cell r="L2171" t="str">
            <v>L0</v>
          </cell>
          <cell r="M2171" t="str">
            <v>ALL</v>
          </cell>
          <cell r="N2171" t="str">
            <v>FLPC(含奖金)</v>
          </cell>
          <cell r="O2171" t="str">
            <v>USD/小时</v>
          </cell>
          <cell r="P2171">
            <v>50.61</v>
          </cell>
        </row>
        <row r="2172">
          <cell r="A2172" t="str">
            <v>Ireland - Local employees - L1</v>
          </cell>
          <cell r="B2172" t="str">
            <v>Current version</v>
          </cell>
          <cell r="C2172" t="str">
            <v>V2009R2</v>
          </cell>
          <cell r="D2172" t="str">
            <v>Labor Rate</v>
          </cell>
          <cell r="E2172" t="str">
            <v>EU</v>
          </cell>
          <cell r="F2172" t="str">
            <v>West European Sub-Regional Division</v>
          </cell>
          <cell r="G2172" t="str">
            <v>Uk Rep.Office</v>
          </cell>
          <cell r="H2172" t="str">
            <v>3609</v>
          </cell>
          <cell r="I2172" t="str">
            <v>爱尔兰</v>
          </cell>
          <cell r="J2172" t="str">
            <v>Ireland</v>
          </cell>
          <cell r="K2172" t="str">
            <v>Local employees</v>
          </cell>
          <cell r="L2172" t="str">
            <v>L1</v>
          </cell>
          <cell r="M2172" t="str">
            <v>ALL</v>
          </cell>
          <cell r="N2172" t="str">
            <v>FLPC(含奖金)</v>
          </cell>
          <cell r="O2172" t="str">
            <v>USD/小时</v>
          </cell>
          <cell r="P2172">
            <v>62.97</v>
          </cell>
        </row>
        <row r="2173">
          <cell r="A2173" t="str">
            <v>Ireland - Local employees - L2</v>
          </cell>
          <cell r="B2173" t="str">
            <v>Current version</v>
          </cell>
          <cell r="C2173" t="str">
            <v>V2009R2</v>
          </cell>
          <cell r="D2173" t="str">
            <v>Labor Rate</v>
          </cell>
          <cell r="E2173" t="str">
            <v>EU</v>
          </cell>
          <cell r="F2173" t="str">
            <v>West European Sub-Regional Division</v>
          </cell>
          <cell r="G2173" t="str">
            <v>Uk Rep.Office</v>
          </cell>
          <cell r="H2173" t="str">
            <v>3609</v>
          </cell>
          <cell r="I2173" t="str">
            <v>爱尔兰</v>
          </cell>
          <cell r="J2173" t="str">
            <v>Ireland</v>
          </cell>
          <cell r="K2173" t="str">
            <v>Local employees</v>
          </cell>
          <cell r="L2173" t="str">
            <v>L2</v>
          </cell>
          <cell r="M2173" t="str">
            <v>ALL</v>
          </cell>
          <cell r="N2173" t="str">
            <v>FLPC(含奖金)</v>
          </cell>
          <cell r="O2173" t="str">
            <v>USD/小时</v>
          </cell>
          <cell r="P2173">
            <v>96.23</v>
          </cell>
        </row>
        <row r="2174">
          <cell r="A2174" t="str">
            <v>Ireland - Local employees - L3</v>
          </cell>
          <cell r="B2174" t="str">
            <v>Current version</v>
          </cell>
          <cell r="C2174" t="str">
            <v>V2009R2</v>
          </cell>
          <cell r="D2174" t="str">
            <v>Labor Rate</v>
          </cell>
          <cell r="E2174" t="str">
            <v>EU</v>
          </cell>
          <cell r="F2174" t="str">
            <v>West European Sub-Regional Division</v>
          </cell>
          <cell r="G2174" t="str">
            <v>Uk Rep.Office</v>
          </cell>
          <cell r="H2174" t="str">
            <v>3609</v>
          </cell>
          <cell r="I2174" t="str">
            <v>爱尔兰</v>
          </cell>
          <cell r="J2174" t="str">
            <v>Ireland</v>
          </cell>
          <cell r="K2174" t="str">
            <v>Local employees</v>
          </cell>
          <cell r="L2174" t="str">
            <v>L3</v>
          </cell>
          <cell r="M2174" t="str">
            <v>ALL</v>
          </cell>
          <cell r="N2174" t="str">
            <v>FLPC(含奖金)</v>
          </cell>
          <cell r="O2174" t="str">
            <v>USD/小时</v>
          </cell>
          <cell r="P2174">
            <v>115.32</v>
          </cell>
        </row>
        <row r="2175">
          <cell r="A2175" t="str">
            <v>Ireland - Local employees - L4</v>
          </cell>
          <cell r="B2175" t="str">
            <v>Current version</v>
          </cell>
          <cell r="C2175" t="str">
            <v>V2009R2</v>
          </cell>
          <cell r="D2175" t="str">
            <v>Labor Rate</v>
          </cell>
          <cell r="E2175" t="str">
            <v>EU</v>
          </cell>
          <cell r="F2175" t="str">
            <v>West European Sub-Regional Division</v>
          </cell>
          <cell r="G2175" t="str">
            <v>Uk Rep.Office</v>
          </cell>
          <cell r="H2175" t="str">
            <v>3609</v>
          </cell>
          <cell r="I2175" t="str">
            <v>爱尔兰</v>
          </cell>
          <cell r="J2175" t="str">
            <v>Ireland</v>
          </cell>
          <cell r="K2175" t="str">
            <v>Local employees</v>
          </cell>
          <cell r="L2175" t="str">
            <v>L4</v>
          </cell>
          <cell r="M2175" t="str">
            <v>ALL</v>
          </cell>
          <cell r="N2175" t="str">
            <v>FLPC(含奖金)</v>
          </cell>
          <cell r="O2175" t="str">
            <v>USD/小时</v>
          </cell>
          <cell r="P2175">
            <v>166.93</v>
          </cell>
        </row>
        <row r="2176">
          <cell r="A2176" t="str">
            <v>Italy - Local employees - L0</v>
          </cell>
          <cell r="B2176" t="str">
            <v>Current version</v>
          </cell>
          <cell r="C2176" t="str">
            <v>V2009R2</v>
          </cell>
          <cell r="D2176" t="str">
            <v>Labor Rate</v>
          </cell>
          <cell r="E2176" t="str">
            <v>EU</v>
          </cell>
          <cell r="F2176" t="str">
            <v>West European Sub-Regional Division</v>
          </cell>
          <cell r="G2176" t="str">
            <v>Italy Rep.Office</v>
          </cell>
          <cell r="H2176" t="str">
            <v>3603</v>
          </cell>
          <cell r="I2176" t="str">
            <v>意大利</v>
          </cell>
          <cell r="J2176" t="str">
            <v>Italy</v>
          </cell>
          <cell r="K2176" t="str">
            <v>Local employees</v>
          </cell>
          <cell r="L2176" t="str">
            <v>L0</v>
          </cell>
          <cell r="M2176" t="str">
            <v>ALL</v>
          </cell>
          <cell r="N2176" t="str">
            <v>FLPC(含奖金)</v>
          </cell>
          <cell r="O2176" t="str">
            <v>USD/小时</v>
          </cell>
          <cell r="P2176">
            <v>58.12</v>
          </cell>
        </row>
        <row r="2177">
          <cell r="A2177" t="str">
            <v>Italy - Local employees - L1</v>
          </cell>
          <cell r="B2177" t="str">
            <v>Current version</v>
          </cell>
          <cell r="C2177" t="str">
            <v>V2009R2</v>
          </cell>
          <cell r="D2177" t="str">
            <v>Labor Rate</v>
          </cell>
          <cell r="E2177" t="str">
            <v>EU</v>
          </cell>
          <cell r="F2177" t="str">
            <v>West European Sub-Regional Division</v>
          </cell>
          <cell r="G2177" t="str">
            <v>Italy Rep.Office</v>
          </cell>
          <cell r="H2177" t="str">
            <v>3603</v>
          </cell>
          <cell r="I2177" t="str">
            <v>意大利</v>
          </cell>
          <cell r="J2177" t="str">
            <v>Italy</v>
          </cell>
          <cell r="K2177" t="str">
            <v>Local employees</v>
          </cell>
          <cell r="L2177" t="str">
            <v>L1</v>
          </cell>
          <cell r="M2177" t="str">
            <v>ALL</v>
          </cell>
          <cell r="N2177" t="str">
            <v>FLPC(含奖金)</v>
          </cell>
          <cell r="O2177" t="str">
            <v>USD/小时</v>
          </cell>
          <cell r="P2177">
            <v>65.31</v>
          </cell>
        </row>
        <row r="2178">
          <cell r="A2178" t="str">
            <v>Italy - Local employees - L2</v>
          </cell>
          <cell r="B2178" t="str">
            <v>Current version</v>
          </cell>
          <cell r="C2178" t="str">
            <v>V2009R2</v>
          </cell>
          <cell r="D2178" t="str">
            <v>Labor Rate</v>
          </cell>
          <cell r="E2178" t="str">
            <v>EU</v>
          </cell>
          <cell r="F2178" t="str">
            <v>West European Sub-Regional Division</v>
          </cell>
          <cell r="G2178" t="str">
            <v>Italy Rep.Office</v>
          </cell>
          <cell r="H2178" t="str">
            <v>3603</v>
          </cell>
          <cell r="I2178" t="str">
            <v>意大利</v>
          </cell>
          <cell r="J2178" t="str">
            <v>Italy</v>
          </cell>
          <cell r="K2178" t="str">
            <v>Local employees</v>
          </cell>
          <cell r="L2178" t="str">
            <v>L2</v>
          </cell>
          <cell r="M2178" t="str">
            <v>ALL</v>
          </cell>
          <cell r="N2178" t="str">
            <v>FLPC(含奖金)</v>
          </cell>
          <cell r="O2178" t="str">
            <v>USD/小时</v>
          </cell>
          <cell r="P2178">
            <v>83.7</v>
          </cell>
        </row>
        <row r="2179">
          <cell r="A2179" t="str">
            <v>Italy - Local employees - L3</v>
          </cell>
          <cell r="B2179" t="str">
            <v>Current version</v>
          </cell>
          <cell r="C2179" t="str">
            <v>V2009R2</v>
          </cell>
          <cell r="D2179" t="str">
            <v>Labor Rate</v>
          </cell>
          <cell r="E2179" t="str">
            <v>EU</v>
          </cell>
          <cell r="F2179" t="str">
            <v>West European Sub-Regional Division</v>
          </cell>
          <cell r="G2179" t="str">
            <v>Italy Rep.Office</v>
          </cell>
          <cell r="H2179" t="str">
            <v>3603</v>
          </cell>
          <cell r="I2179" t="str">
            <v>意大利</v>
          </cell>
          <cell r="J2179" t="str">
            <v>Italy</v>
          </cell>
          <cell r="K2179" t="str">
            <v>Local employees</v>
          </cell>
          <cell r="L2179" t="str">
            <v>L3</v>
          </cell>
          <cell r="M2179" t="str">
            <v>ALL</v>
          </cell>
          <cell r="N2179" t="str">
            <v>FLPC(含奖金)</v>
          </cell>
          <cell r="O2179" t="str">
            <v>USD/小时</v>
          </cell>
          <cell r="P2179">
            <v>150.4</v>
          </cell>
        </row>
        <row r="2180">
          <cell r="A2180" t="str">
            <v>Italy - Local employees - L4</v>
          </cell>
          <cell r="B2180" t="str">
            <v>Current version</v>
          </cell>
          <cell r="C2180" t="str">
            <v>V2009R2</v>
          </cell>
          <cell r="D2180" t="str">
            <v>Labor Rate</v>
          </cell>
          <cell r="E2180" t="str">
            <v>EU</v>
          </cell>
          <cell r="F2180" t="str">
            <v>West European Sub-Regional Division</v>
          </cell>
          <cell r="G2180" t="str">
            <v>Italy Rep.Office</v>
          </cell>
          <cell r="H2180" t="str">
            <v>3603</v>
          </cell>
          <cell r="I2180" t="str">
            <v>意大利</v>
          </cell>
          <cell r="J2180" t="str">
            <v>Italy</v>
          </cell>
          <cell r="K2180" t="str">
            <v>Local employees</v>
          </cell>
          <cell r="L2180" t="str">
            <v>L4</v>
          </cell>
          <cell r="M2180" t="str">
            <v>ALL</v>
          </cell>
          <cell r="N2180" t="str">
            <v>FLPC(含奖金)</v>
          </cell>
          <cell r="O2180" t="str">
            <v>USD/小时</v>
          </cell>
          <cell r="P2180">
            <v>216.17</v>
          </cell>
        </row>
        <row r="2181">
          <cell r="A2181" t="str">
            <v>Swiss - Local employees - L0</v>
          </cell>
          <cell r="B2181" t="str">
            <v>Current version</v>
          </cell>
          <cell r="C2181" t="str">
            <v>V2009R2</v>
          </cell>
          <cell r="D2181" t="str">
            <v>Labor Rate</v>
          </cell>
          <cell r="E2181" t="str">
            <v>EU</v>
          </cell>
          <cell r="F2181" t="str">
            <v>West European Sub-Regional Division</v>
          </cell>
          <cell r="G2181" t="str">
            <v>Italy Rep.Office</v>
          </cell>
          <cell r="H2181" t="str">
            <v>3610</v>
          </cell>
          <cell r="I2181" t="str">
            <v>瑞士</v>
          </cell>
          <cell r="J2181" t="str">
            <v>Swiss</v>
          </cell>
          <cell r="K2181" t="str">
            <v>Local employees</v>
          </cell>
          <cell r="L2181" t="str">
            <v>L0</v>
          </cell>
          <cell r="M2181" t="str">
            <v>ALL</v>
          </cell>
          <cell r="N2181" t="str">
            <v>FLPC(含奖金)</v>
          </cell>
          <cell r="O2181" t="str">
            <v>USD/小时</v>
          </cell>
          <cell r="P2181">
            <v>92.66</v>
          </cell>
        </row>
        <row r="2182">
          <cell r="A2182" t="str">
            <v>Swiss - Local employees - L1</v>
          </cell>
          <cell r="B2182" t="str">
            <v>Current version</v>
          </cell>
          <cell r="C2182" t="str">
            <v>V2009R2</v>
          </cell>
          <cell r="D2182" t="str">
            <v>Labor Rate</v>
          </cell>
          <cell r="E2182" t="str">
            <v>EU</v>
          </cell>
          <cell r="F2182" t="str">
            <v>West European Sub-Regional Division</v>
          </cell>
          <cell r="G2182" t="str">
            <v>Italy Rep.Office</v>
          </cell>
          <cell r="H2182" t="str">
            <v>3610</v>
          </cell>
          <cell r="I2182" t="str">
            <v>瑞士</v>
          </cell>
          <cell r="J2182" t="str">
            <v>Swiss</v>
          </cell>
          <cell r="K2182" t="str">
            <v>Local employees</v>
          </cell>
          <cell r="L2182" t="str">
            <v>L1</v>
          </cell>
          <cell r="M2182" t="str">
            <v>ALL</v>
          </cell>
          <cell r="N2182" t="str">
            <v>FLPC(含奖金)</v>
          </cell>
          <cell r="O2182" t="str">
            <v>USD/小时</v>
          </cell>
          <cell r="P2182">
            <v>109.22</v>
          </cell>
        </row>
        <row r="2183">
          <cell r="A2183" t="str">
            <v>Swiss - Local employees - L2</v>
          </cell>
          <cell r="B2183" t="str">
            <v>Current version</v>
          </cell>
          <cell r="C2183" t="str">
            <v>V2009R2</v>
          </cell>
          <cell r="D2183" t="str">
            <v>Labor Rate</v>
          </cell>
          <cell r="E2183" t="str">
            <v>EU</v>
          </cell>
          <cell r="F2183" t="str">
            <v>West European Sub-Regional Division</v>
          </cell>
          <cell r="G2183" t="str">
            <v>Italy Rep.Office</v>
          </cell>
          <cell r="H2183" t="str">
            <v>3610</v>
          </cell>
          <cell r="I2183" t="str">
            <v>瑞士</v>
          </cell>
          <cell r="J2183" t="str">
            <v>Swiss</v>
          </cell>
          <cell r="K2183" t="str">
            <v>Local employees</v>
          </cell>
          <cell r="L2183" t="str">
            <v>L2</v>
          </cell>
          <cell r="M2183" t="str">
            <v>ALL</v>
          </cell>
          <cell r="N2183" t="str">
            <v>FLPC(含奖金)</v>
          </cell>
          <cell r="O2183" t="str">
            <v>USD/小时</v>
          </cell>
          <cell r="P2183">
            <v>131.69</v>
          </cell>
        </row>
        <row r="2184">
          <cell r="A2184" t="str">
            <v>Swiss - Local employees - L3</v>
          </cell>
          <cell r="B2184" t="str">
            <v>Current version</v>
          </cell>
          <cell r="C2184" t="str">
            <v>V2009R2</v>
          </cell>
          <cell r="D2184" t="str">
            <v>Labor Rate</v>
          </cell>
          <cell r="E2184" t="str">
            <v>EU</v>
          </cell>
          <cell r="F2184" t="str">
            <v>West European Sub-Regional Division</v>
          </cell>
          <cell r="G2184" t="str">
            <v>Italy Rep.Office</v>
          </cell>
          <cell r="H2184" t="str">
            <v>3610</v>
          </cell>
          <cell r="I2184" t="str">
            <v>瑞士</v>
          </cell>
          <cell r="J2184" t="str">
            <v>Swiss</v>
          </cell>
          <cell r="K2184" t="str">
            <v>Local employees</v>
          </cell>
          <cell r="L2184" t="str">
            <v>L3</v>
          </cell>
          <cell r="M2184" t="str">
            <v>ALL</v>
          </cell>
          <cell r="N2184" t="str">
            <v>FLPC(含奖金)</v>
          </cell>
          <cell r="O2184" t="str">
            <v>USD/小时</v>
          </cell>
          <cell r="P2184">
            <v>180.39</v>
          </cell>
        </row>
        <row r="2185">
          <cell r="A2185" t="str">
            <v>Swiss - Local employees - L4</v>
          </cell>
          <cell r="B2185" t="str">
            <v>Current version</v>
          </cell>
          <cell r="C2185" t="str">
            <v>V2009R2</v>
          </cell>
          <cell r="D2185" t="str">
            <v>Labor Rate</v>
          </cell>
          <cell r="E2185" t="str">
            <v>EU</v>
          </cell>
          <cell r="F2185" t="str">
            <v>West European Sub-Regional Division</v>
          </cell>
          <cell r="G2185" t="str">
            <v>Italy Rep.Office</v>
          </cell>
          <cell r="H2185" t="str">
            <v>3610</v>
          </cell>
          <cell r="I2185" t="str">
            <v>瑞士</v>
          </cell>
          <cell r="J2185" t="str">
            <v>Swiss</v>
          </cell>
          <cell r="K2185" t="str">
            <v>Local employees</v>
          </cell>
          <cell r="L2185" t="str">
            <v>L4</v>
          </cell>
          <cell r="M2185" t="str">
            <v>ALL</v>
          </cell>
          <cell r="N2185" t="str">
            <v>FLPC(含奖金)</v>
          </cell>
          <cell r="O2185" t="str">
            <v>USD/小时</v>
          </cell>
          <cell r="P2185">
            <v>211.77</v>
          </cell>
        </row>
        <row r="2186">
          <cell r="A2186" t="str">
            <v>Belgium - Local employees - L0</v>
          </cell>
          <cell r="B2186" t="str">
            <v>Current version</v>
          </cell>
          <cell r="C2186" t="str">
            <v>V2009R2</v>
          </cell>
          <cell r="D2186" t="str">
            <v>Labor Rate</v>
          </cell>
          <cell r="E2186" t="str">
            <v>EU</v>
          </cell>
          <cell r="F2186" t="str">
            <v>West European Sub-Regional Division</v>
          </cell>
          <cell r="G2186" t="str">
            <v>Holand Rep.Office</v>
          </cell>
          <cell r="H2186" t="str">
            <v>3612</v>
          </cell>
          <cell r="I2186" t="str">
            <v>比利时</v>
          </cell>
          <cell r="J2186" t="str">
            <v>Belgium</v>
          </cell>
          <cell r="K2186" t="str">
            <v>Local employees</v>
          </cell>
          <cell r="L2186" t="str">
            <v>L0</v>
          </cell>
          <cell r="M2186" t="str">
            <v>ALL</v>
          </cell>
          <cell r="N2186" t="str">
            <v>FLPC(含奖金)</v>
          </cell>
          <cell r="O2186" t="str">
            <v>USD/小时</v>
          </cell>
          <cell r="P2186">
            <v>72.36</v>
          </cell>
        </row>
        <row r="2187">
          <cell r="A2187" t="str">
            <v>Belgium - Local employees - L1</v>
          </cell>
          <cell r="B2187" t="str">
            <v>Current version</v>
          </cell>
          <cell r="C2187" t="str">
            <v>V2009R2</v>
          </cell>
          <cell r="D2187" t="str">
            <v>Labor Rate</v>
          </cell>
          <cell r="E2187" t="str">
            <v>EU</v>
          </cell>
          <cell r="F2187" t="str">
            <v>West European Sub-Regional Division</v>
          </cell>
          <cell r="G2187" t="str">
            <v>Holand Rep.Office</v>
          </cell>
          <cell r="H2187" t="str">
            <v>3612</v>
          </cell>
          <cell r="I2187" t="str">
            <v>比利时</v>
          </cell>
          <cell r="J2187" t="str">
            <v>Belgium</v>
          </cell>
          <cell r="K2187" t="str">
            <v>Local employees</v>
          </cell>
          <cell r="L2187" t="str">
            <v>L1</v>
          </cell>
          <cell r="M2187" t="str">
            <v>ALL</v>
          </cell>
          <cell r="N2187" t="str">
            <v>FLPC(含奖金)</v>
          </cell>
          <cell r="O2187" t="str">
            <v>USD/小时</v>
          </cell>
          <cell r="P2187">
            <v>91.03</v>
          </cell>
        </row>
        <row r="2188">
          <cell r="A2188" t="str">
            <v>Belgium - Local employees - L2</v>
          </cell>
          <cell r="B2188" t="str">
            <v>Current version</v>
          </cell>
          <cell r="C2188" t="str">
            <v>V2009R2</v>
          </cell>
          <cell r="D2188" t="str">
            <v>Labor Rate</v>
          </cell>
          <cell r="E2188" t="str">
            <v>EU</v>
          </cell>
          <cell r="F2188" t="str">
            <v>West European Sub-Regional Division</v>
          </cell>
          <cell r="G2188" t="str">
            <v>Holand Rep.Office</v>
          </cell>
          <cell r="H2188" t="str">
            <v>3612</v>
          </cell>
          <cell r="I2188" t="str">
            <v>比利时</v>
          </cell>
          <cell r="J2188" t="str">
            <v>Belgium</v>
          </cell>
          <cell r="K2188" t="str">
            <v>Local employees</v>
          </cell>
          <cell r="L2188" t="str">
            <v>L2</v>
          </cell>
          <cell r="M2188" t="str">
            <v>ALL</v>
          </cell>
          <cell r="N2188" t="str">
            <v>FLPC(含奖金)</v>
          </cell>
          <cell r="O2188" t="str">
            <v>USD/小时</v>
          </cell>
          <cell r="P2188">
            <v>121.64</v>
          </cell>
        </row>
        <row r="2189">
          <cell r="A2189" t="str">
            <v>Belgium - Local employees - L3</v>
          </cell>
          <cell r="B2189" t="str">
            <v>Current version</v>
          </cell>
          <cell r="C2189" t="str">
            <v>V2009R2</v>
          </cell>
          <cell r="D2189" t="str">
            <v>Labor Rate</v>
          </cell>
          <cell r="E2189" t="str">
            <v>EU</v>
          </cell>
          <cell r="F2189" t="str">
            <v>West European Sub-Regional Division</v>
          </cell>
          <cell r="G2189" t="str">
            <v>Holand Rep.Office</v>
          </cell>
          <cell r="H2189" t="str">
            <v>3612</v>
          </cell>
          <cell r="I2189" t="str">
            <v>比利时</v>
          </cell>
          <cell r="J2189" t="str">
            <v>Belgium</v>
          </cell>
          <cell r="K2189" t="str">
            <v>Local employees</v>
          </cell>
          <cell r="L2189" t="str">
            <v>L3</v>
          </cell>
          <cell r="M2189" t="str">
            <v>ALL</v>
          </cell>
          <cell r="N2189" t="str">
            <v>FLPC(含奖金)</v>
          </cell>
          <cell r="O2189" t="str">
            <v>USD/小时</v>
          </cell>
          <cell r="P2189">
            <v>164.99</v>
          </cell>
        </row>
        <row r="2190">
          <cell r="A2190" t="str">
            <v>Belgium - Local employees - L4</v>
          </cell>
          <cell r="B2190" t="str">
            <v>Current version</v>
          </cell>
          <cell r="C2190" t="str">
            <v>V2009R2</v>
          </cell>
          <cell r="D2190" t="str">
            <v>Labor Rate</v>
          </cell>
          <cell r="E2190" t="str">
            <v>EU</v>
          </cell>
          <cell r="F2190" t="str">
            <v>West European Sub-Regional Division</v>
          </cell>
          <cell r="G2190" t="str">
            <v>Holand Rep.Office</v>
          </cell>
          <cell r="H2190" t="str">
            <v>3612</v>
          </cell>
          <cell r="I2190" t="str">
            <v>比利时</v>
          </cell>
          <cell r="J2190" t="str">
            <v>Belgium</v>
          </cell>
          <cell r="K2190" t="str">
            <v>Local employees</v>
          </cell>
          <cell r="L2190" t="str">
            <v>L4</v>
          </cell>
          <cell r="M2190" t="str">
            <v>ALL</v>
          </cell>
          <cell r="N2190" t="str">
            <v>FLPC(含奖金)</v>
          </cell>
          <cell r="O2190" t="str">
            <v>USD/小时</v>
          </cell>
          <cell r="P2190">
            <v>241.96</v>
          </cell>
        </row>
        <row r="2191">
          <cell r="A2191" t="str">
            <v>中亚地区部总部 - Local employees - L4</v>
          </cell>
          <cell r="B2191" t="str">
            <v>Current version</v>
          </cell>
          <cell r="C2191" t="str">
            <v>V2009R2</v>
          </cell>
          <cell r="D2191" t="str">
            <v>Labor Rate</v>
          </cell>
          <cell r="E2191" t="str">
            <v>CIS</v>
          </cell>
          <cell r="F2191" t="str">
            <v>Central Asia Sub-Regional Division</v>
          </cell>
          <cell r="G2191" t="str">
            <v>Middle Asia Sub-Region Headquarter</v>
          </cell>
          <cell r="H2191" t="str">
            <v>3032</v>
          </cell>
          <cell r="I2191" t="str">
            <v>中亚地区部总部</v>
          </cell>
          <cell r="J2191" t="str">
            <v>中亚地区部总部</v>
          </cell>
          <cell r="K2191" t="str">
            <v>Local employees</v>
          </cell>
          <cell r="L2191" t="str">
            <v>L4</v>
          </cell>
          <cell r="M2191" t="str">
            <v>ALL</v>
          </cell>
          <cell r="N2191" t="str">
            <v>FLPC(含奖金)</v>
          </cell>
          <cell r="O2191" t="str">
            <v>USD/小时</v>
          </cell>
          <cell r="P2191">
            <v>49.3</v>
          </cell>
        </row>
        <row r="2192">
          <cell r="A2192" t="str">
            <v>东北欧地区部总部 - Local employees - L0</v>
          </cell>
          <cell r="B2192" t="str">
            <v>Current version</v>
          </cell>
          <cell r="C2192" t="str">
            <v>V2009R2</v>
          </cell>
          <cell r="D2192" t="str">
            <v>Labor Rate</v>
          </cell>
          <cell r="E2192" t="str">
            <v>EU</v>
          </cell>
          <cell r="F2192" t="str">
            <v>CEE&amp;Nordic European Sub-Regional Division</v>
          </cell>
          <cell r="G2192" t="str">
            <v>东北欧地区部总部</v>
          </cell>
          <cell r="H2192" t="str">
            <v>3300</v>
          </cell>
          <cell r="I2192" t="str">
            <v>东北欧地区部总部</v>
          </cell>
          <cell r="J2192" t="str">
            <v>东北欧地区部总部</v>
          </cell>
          <cell r="K2192" t="str">
            <v>Local employees</v>
          </cell>
          <cell r="L2192" t="str">
            <v>L0</v>
          </cell>
          <cell r="M2192" t="str">
            <v>ALL</v>
          </cell>
          <cell r="N2192" t="str">
            <v>FLPC(含奖金)</v>
          </cell>
          <cell r="O2192" t="str">
            <v>USD/小时</v>
          </cell>
          <cell r="P2192">
            <v>38.18</v>
          </cell>
        </row>
        <row r="2193">
          <cell r="A2193" t="str">
            <v>东北欧地区部总部 - Local employees - L1</v>
          </cell>
          <cell r="B2193" t="str">
            <v>Current version</v>
          </cell>
          <cell r="C2193" t="str">
            <v>V2009R2</v>
          </cell>
          <cell r="D2193" t="str">
            <v>Labor Rate</v>
          </cell>
          <cell r="E2193" t="str">
            <v>EU</v>
          </cell>
          <cell r="F2193" t="str">
            <v>CEE&amp;Nordic European Sub-Regional Division</v>
          </cell>
          <cell r="G2193" t="str">
            <v>东北欧地区部总部</v>
          </cell>
          <cell r="H2193" t="str">
            <v>3300</v>
          </cell>
          <cell r="I2193" t="str">
            <v>东北欧地区部总部</v>
          </cell>
          <cell r="J2193" t="str">
            <v>东北欧地区部总部</v>
          </cell>
          <cell r="K2193" t="str">
            <v>Local employees</v>
          </cell>
          <cell r="L2193" t="str">
            <v>L1</v>
          </cell>
          <cell r="M2193" t="str">
            <v>ALL</v>
          </cell>
          <cell r="N2193" t="str">
            <v>FLPC(含奖金)</v>
          </cell>
          <cell r="O2193" t="str">
            <v>USD/小时</v>
          </cell>
          <cell r="P2193">
            <v>52.4</v>
          </cell>
        </row>
        <row r="2194">
          <cell r="A2194" t="str">
            <v>东北欧地区部总部 - Local employees - L2</v>
          </cell>
          <cell r="B2194" t="str">
            <v>Current version</v>
          </cell>
          <cell r="C2194" t="str">
            <v>V2009R2</v>
          </cell>
          <cell r="D2194" t="str">
            <v>Labor Rate</v>
          </cell>
          <cell r="E2194" t="str">
            <v>EU</v>
          </cell>
          <cell r="F2194" t="str">
            <v>CEE&amp;Nordic European Sub-Regional Division</v>
          </cell>
          <cell r="G2194" t="str">
            <v>东北欧地区部总部</v>
          </cell>
          <cell r="H2194" t="str">
            <v>3300</v>
          </cell>
          <cell r="I2194" t="str">
            <v>东北欧地区部总部</v>
          </cell>
          <cell r="J2194" t="str">
            <v>东北欧地区部总部</v>
          </cell>
          <cell r="K2194" t="str">
            <v>Local employees</v>
          </cell>
          <cell r="L2194" t="str">
            <v>L2</v>
          </cell>
          <cell r="M2194" t="str">
            <v>ALL</v>
          </cell>
          <cell r="N2194" t="str">
            <v>FLPC(含奖金)</v>
          </cell>
          <cell r="O2194" t="str">
            <v>USD/小时</v>
          </cell>
          <cell r="P2194">
            <v>72.260000000000005</v>
          </cell>
        </row>
        <row r="2195">
          <cell r="A2195" t="str">
            <v>东北欧地区部总部 - Local employees - L3</v>
          </cell>
          <cell r="B2195" t="str">
            <v>Current version</v>
          </cell>
          <cell r="C2195" t="str">
            <v>V2009R2</v>
          </cell>
          <cell r="D2195" t="str">
            <v>Labor Rate</v>
          </cell>
          <cell r="E2195" t="str">
            <v>EU</v>
          </cell>
          <cell r="F2195" t="str">
            <v>CEE&amp;Nordic European Sub-Regional Division</v>
          </cell>
          <cell r="G2195" t="str">
            <v>东北欧地区部总部</v>
          </cell>
          <cell r="H2195" t="str">
            <v>3300</v>
          </cell>
          <cell r="I2195" t="str">
            <v>东北欧地区部总部</v>
          </cell>
          <cell r="J2195" t="str">
            <v>东北欧地区部总部</v>
          </cell>
          <cell r="K2195" t="str">
            <v>Local employees</v>
          </cell>
          <cell r="L2195" t="str">
            <v>L3</v>
          </cell>
          <cell r="M2195" t="str">
            <v>ALL</v>
          </cell>
          <cell r="N2195" t="str">
            <v>FLPC(含奖金)</v>
          </cell>
          <cell r="O2195" t="str">
            <v>USD/小时</v>
          </cell>
          <cell r="P2195">
            <v>94.07</v>
          </cell>
        </row>
        <row r="2196">
          <cell r="A2196" t="str">
            <v>西欧地区部总部 - Local employees - L0</v>
          </cell>
          <cell r="B2196" t="str">
            <v>Current version</v>
          </cell>
          <cell r="C2196" t="str">
            <v>V2009R2</v>
          </cell>
          <cell r="D2196" t="str">
            <v>Labor Rate</v>
          </cell>
          <cell r="E2196" t="str">
            <v>EU</v>
          </cell>
          <cell r="F2196" t="str">
            <v>West European Sub-Regional Division</v>
          </cell>
          <cell r="G2196" t="str">
            <v>西欧地区部总部</v>
          </cell>
          <cell r="H2196" t="str">
            <v>3616</v>
          </cell>
          <cell r="I2196" t="str">
            <v>西欧地区部总部</v>
          </cell>
          <cell r="J2196" t="str">
            <v>西欧地区部总部</v>
          </cell>
          <cell r="K2196" t="str">
            <v>Local employees</v>
          </cell>
          <cell r="L2196" t="str">
            <v>L0</v>
          </cell>
          <cell r="M2196" t="str">
            <v>ALL</v>
          </cell>
          <cell r="N2196" t="str">
            <v>FLPC(含奖金)</v>
          </cell>
          <cell r="O2196" t="str">
            <v>USD/小时</v>
          </cell>
          <cell r="P2196">
            <v>63.18</v>
          </cell>
        </row>
        <row r="2197">
          <cell r="A2197" t="str">
            <v>西欧地区部总部 - Local employees - L1</v>
          </cell>
          <cell r="B2197" t="str">
            <v>Current version</v>
          </cell>
          <cell r="C2197" t="str">
            <v>V2009R2</v>
          </cell>
          <cell r="D2197" t="str">
            <v>Labor Rate</v>
          </cell>
          <cell r="E2197" t="str">
            <v>EU</v>
          </cell>
          <cell r="F2197" t="str">
            <v>West European Sub-Regional Division</v>
          </cell>
          <cell r="G2197" t="str">
            <v>西欧地区部总部</v>
          </cell>
          <cell r="H2197" t="str">
            <v>3616</v>
          </cell>
          <cell r="I2197" t="str">
            <v>西欧地区部总部</v>
          </cell>
          <cell r="J2197" t="str">
            <v>西欧地区部总部</v>
          </cell>
          <cell r="K2197" t="str">
            <v>Local employees</v>
          </cell>
          <cell r="L2197" t="str">
            <v>L1</v>
          </cell>
          <cell r="M2197" t="str">
            <v>ALL</v>
          </cell>
          <cell r="N2197" t="str">
            <v>FLPC(含奖金)</v>
          </cell>
          <cell r="O2197" t="str">
            <v>USD/小时</v>
          </cell>
          <cell r="P2197">
            <v>79.72</v>
          </cell>
        </row>
        <row r="2198">
          <cell r="A2198" t="str">
            <v>西欧地区部总部 - Local employees - L2</v>
          </cell>
          <cell r="B2198" t="str">
            <v>Current version</v>
          </cell>
          <cell r="C2198" t="str">
            <v>V2009R2</v>
          </cell>
          <cell r="D2198" t="str">
            <v>Labor Rate</v>
          </cell>
          <cell r="E2198" t="str">
            <v>EU</v>
          </cell>
          <cell r="F2198" t="str">
            <v>West European Sub-Regional Division</v>
          </cell>
          <cell r="G2198" t="str">
            <v>西欧地区部总部</v>
          </cell>
          <cell r="H2198" t="str">
            <v>3616</v>
          </cell>
          <cell r="I2198" t="str">
            <v>西欧地区部总部</v>
          </cell>
          <cell r="J2198" t="str">
            <v>西欧地区部总部</v>
          </cell>
          <cell r="K2198" t="str">
            <v>Local employees</v>
          </cell>
          <cell r="L2198" t="str">
            <v>L2</v>
          </cell>
          <cell r="M2198" t="str">
            <v>ALL</v>
          </cell>
          <cell r="N2198" t="str">
            <v>FLPC(含奖金)</v>
          </cell>
          <cell r="O2198" t="str">
            <v>USD/小时</v>
          </cell>
          <cell r="P2198">
            <v>102.66</v>
          </cell>
        </row>
        <row r="2199">
          <cell r="A2199" t="str">
            <v>西欧地区部总部 - Local employees - L3</v>
          </cell>
          <cell r="B2199" t="str">
            <v>Current version</v>
          </cell>
          <cell r="C2199" t="str">
            <v>V2009R2</v>
          </cell>
          <cell r="D2199" t="str">
            <v>Labor Rate</v>
          </cell>
          <cell r="E2199" t="str">
            <v>EU</v>
          </cell>
          <cell r="F2199" t="str">
            <v>West European Sub-Regional Division</v>
          </cell>
          <cell r="G2199" t="str">
            <v>西欧地区部总部</v>
          </cell>
          <cell r="H2199" t="str">
            <v>3616</v>
          </cell>
          <cell r="I2199" t="str">
            <v>西欧地区部总部</v>
          </cell>
          <cell r="J2199" t="str">
            <v>西欧地区部总部</v>
          </cell>
          <cell r="K2199" t="str">
            <v>Local employees</v>
          </cell>
          <cell r="L2199" t="str">
            <v>L3</v>
          </cell>
          <cell r="M2199" t="str">
            <v>ALL</v>
          </cell>
          <cell r="N2199" t="str">
            <v>FLPC(含奖金)</v>
          </cell>
          <cell r="O2199" t="str">
            <v>USD/小时</v>
          </cell>
          <cell r="P2199">
            <v>124.1</v>
          </cell>
        </row>
        <row r="2200">
          <cell r="A2200" t="str">
            <v>西欧地区部总部 - Local employees - L4</v>
          </cell>
          <cell r="B2200" t="str">
            <v>Current version</v>
          </cell>
          <cell r="C2200" t="str">
            <v>V2009R2</v>
          </cell>
          <cell r="D2200" t="str">
            <v>Labor Rate</v>
          </cell>
          <cell r="E2200" t="str">
            <v>EU</v>
          </cell>
          <cell r="F2200" t="str">
            <v>West European Sub-Regional Division</v>
          </cell>
          <cell r="G2200" t="str">
            <v>西欧地区部总部</v>
          </cell>
          <cell r="H2200" t="str">
            <v>3616</v>
          </cell>
          <cell r="I2200" t="str">
            <v>西欧地区部总部</v>
          </cell>
          <cell r="J2200" t="str">
            <v>西欧地区部总部</v>
          </cell>
          <cell r="K2200" t="str">
            <v>Local employees</v>
          </cell>
          <cell r="L2200" t="str">
            <v>L4</v>
          </cell>
          <cell r="M2200" t="str">
            <v>ALL</v>
          </cell>
          <cell r="N2200" t="str">
            <v>FLPC(含奖金)</v>
          </cell>
          <cell r="O2200" t="str">
            <v>USD/小时</v>
          </cell>
          <cell r="P2200">
            <v>193.29</v>
          </cell>
        </row>
        <row r="2201">
          <cell r="A2201" t="str">
            <v>南部非洲片区总部 - Local employees - L0</v>
          </cell>
          <cell r="B2201" t="str">
            <v>Current version</v>
          </cell>
          <cell r="C2201" t="str">
            <v>V2009R2</v>
          </cell>
          <cell r="D2201" t="str">
            <v>Labor Rate</v>
          </cell>
          <cell r="E2201" t="str">
            <v>SA</v>
          </cell>
          <cell r="F2201" t="str">
            <v>Sub-Sahara Regional Headquarter</v>
          </cell>
          <cell r="G2201" t="str">
            <v>Sub-Sahara Regional Headquarter</v>
          </cell>
          <cell r="H2201" t="str">
            <v>4000</v>
          </cell>
          <cell r="I2201" t="str">
            <v>南部非洲片区总部</v>
          </cell>
          <cell r="J2201" t="str">
            <v>南部非洲片区总部</v>
          </cell>
          <cell r="K2201" t="str">
            <v>Local employees</v>
          </cell>
          <cell r="L2201" t="str">
            <v>L0</v>
          </cell>
          <cell r="M2201" t="str">
            <v>ALL</v>
          </cell>
          <cell r="N2201" t="str">
            <v>FLPC(含奖金)</v>
          </cell>
          <cell r="O2201" t="str">
            <v>USD/小时</v>
          </cell>
          <cell r="P2201">
            <v>25.55</v>
          </cell>
        </row>
        <row r="2202">
          <cell r="A2202" t="str">
            <v>南部非洲片区总部 - Local employees - L1</v>
          </cell>
          <cell r="B2202" t="str">
            <v>Current version</v>
          </cell>
          <cell r="C2202" t="str">
            <v>V2009R2</v>
          </cell>
          <cell r="D2202" t="str">
            <v>Labor Rate</v>
          </cell>
          <cell r="E2202" t="str">
            <v>SA</v>
          </cell>
          <cell r="F2202" t="str">
            <v>Sub-Sahara Regional Headquarter</v>
          </cell>
          <cell r="G2202" t="str">
            <v>Sub-Sahara Regional Headquarter</v>
          </cell>
          <cell r="H2202" t="str">
            <v>4000</v>
          </cell>
          <cell r="I2202" t="str">
            <v>南部非洲片区总部</v>
          </cell>
          <cell r="J2202" t="str">
            <v>南部非洲片区总部</v>
          </cell>
          <cell r="K2202" t="str">
            <v>Local employees</v>
          </cell>
          <cell r="L2202" t="str">
            <v>L1</v>
          </cell>
          <cell r="M2202" t="str">
            <v>ALL</v>
          </cell>
          <cell r="N2202" t="str">
            <v>FLPC(含奖金)</v>
          </cell>
          <cell r="O2202" t="str">
            <v>USD/小时</v>
          </cell>
          <cell r="P2202">
            <v>32.53</v>
          </cell>
        </row>
        <row r="2203">
          <cell r="A2203" t="str">
            <v>南部非洲片区总部 - Local employees - L2</v>
          </cell>
          <cell r="B2203" t="str">
            <v>Current version</v>
          </cell>
          <cell r="C2203" t="str">
            <v>V2009R2</v>
          </cell>
          <cell r="D2203" t="str">
            <v>Labor Rate</v>
          </cell>
          <cell r="E2203" t="str">
            <v>SA</v>
          </cell>
          <cell r="F2203" t="str">
            <v>Sub-Sahara Regional Headquarter</v>
          </cell>
          <cell r="G2203" t="str">
            <v>Sub-Sahara Regional Headquarter</v>
          </cell>
          <cell r="H2203" t="str">
            <v>4000</v>
          </cell>
          <cell r="I2203" t="str">
            <v>南部非洲片区总部</v>
          </cell>
          <cell r="J2203" t="str">
            <v>南部非洲片区总部</v>
          </cell>
          <cell r="K2203" t="str">
            <v>Local employees</v>
          </cell>
          <cell r="L2203" t="str">
            <v>L2</v>
          </cell>
          <cell r="M2203" t="str">
            <v>ALL</v>
          </cell>
          <cell r="N2203" t="str">
            <v>FLPC(含奖金)</v>
          </cell>
          <cell r="O2203" t="str">
            <v>USD/小时</v>
          </cell>
          <cell r="P2203">
            <v>43.55</v>
          </cell>
        </row>
        <row r="2204">
          <cell r="A2204" t="str">
            <v>南部非洲片区总部 - Local employees - L3</v>
          </cell>
          <cell r="B2204" t="str">
            <v>Current version</v>
          </cell>
          <cell r="C2204" t="str">
            <v>V2009R2</v>
          </cell>
          <cell r="D2204" t="str">
            <v>Labor Rate</v>
          </cell>
          <cell r="E2204" t="str">
            <v>SA</v>
          </cell>
          <cell r="F2204" t="str">
            <v>Sub-Sahara Regional Headquarter</v>
          </cell>
          <cell r="G2204" t="str">
            <v>Sub-Sahara Regional Headquarter</v>
          </cell>
          <cell r="H2204" t="str">
            <v>4000</v>
          </cell>
          <cell r="I2204" t="str">
            <v>南部非洲片区总部</v>
          </cell>
          <cell r="J2204" t="str">
            <v>南部非洲片区总部</v>
          </cell>
          <cell r="K2204" t="str">
            <v>Local employees</v>
          </cell>
          <cell r="L2204" t="str">
            <v>L3</v>
          </cell>
          <cell r="M2204" t="str">
            <v>ALL</v>
          </cell>
          <cell r="N2204" t="str">
            <v>FLPC(含奖金)</v>
          </cell>
          <cell r="O2204" t="str">
            <v>USD/小时</v>
          </cell>
          <cell r="P2204">
            <v>68.88</v>
          </cell>
        </row>
        <row r="2205">
          <cell r="A2205" t="str">
            <v>南部非洲片区总部 - Local employees - L4</v>
          </cell>
          <cell r="B2205" t="str">
            <v>Current version</v>
          </cell>
          <cell r="C2205" t="str">
            <v>V2009R2</v>
          </cell>
          <cell r="D2205" t="str">
            <v>Labor Rate</v>
          </cell>
          <cell r="E2205" t="str">
            <v>SA</v>
          </cell>
          <cell r="F2205" t="str">
            <v>Sub-Sahara Regional Headquarter</v>
          </cell>
          <cell r="G2205" t="str">
            <v>Sub-Sahara Regional Headquarter</v>
          </cell>
          <cell r="H2205" t="str">
            <v>4000</v>
          </cell>
          <cell r="I2205" t="str">
            <v>南部非洲片区总部</v>
          </cell>
          <cell r="J2205" t="str">
            <v>南部非洲片区总部</v>
          </cell>
          <cell r="K2205" t="str">
            <v>Local employees</v>
          </cell>
          <cell r="L2205" t="str">
            <v>L4</v>
          </cell>
          <cell r="M2205" t="str">
            <v>ALL</v>
          </cell>
          <cell r="N2205" t="str">
            <v>FLPC(含奖金)</v>
          </cell>
          <cell r="O2205" t="str">
            <v>USD/小时</v>
          </cell>
          <cell r="P2205">
            <v>120.22</v>
          </cell>
        </row>
        <row r="2206">
          <cell r="A2206" t="str">
            <v>南非地区部总部 - Local employees - L0</v>
          </cell>
          <cell r="B2206" t="str">
            <v>Current version</v>
          </cell>
          <cell r="C2206" t="str">
            <v>V2009R2</v>
          </cell>
          <cell r="D2206" t="str">
            <v>Labor Rate</v>
          </cell>
          <cell r="E2206" t="str">
            <v>SA</v>
          </cell>
          <cell r="F2206" t="str">
            <v>Southern Africa Sub-Regional Division</v>
          </cell>
          <cell r="G2206" t="str">
            <v>南非地区部总部</v>
          </cell>
          <cell r="H2206" t="str">
            <v>4033</v>
          </cell>
          <cell r="I2206" t="str">
            <v>南非地区部总部</v>
          </cell>
          <cell r="J2206" t="str">
            <v>南非地区部总部</v>
          </cell>
          <cell r="K2206" t="str">
            <v>Local employees</v>
          </cell>
          <cell r="L2206" t="str">
            <v>L0</v>
          </cell>
          <cell r="M2206" t="str">
            <v>ALL</v>
          </cell>
          <cell r="N2206" t="str">
            <v>FLPC(含奖金)</v>
          </cell>
          <cell r="O2206" t="str">
            <v>USD/小时</v>
          </cell>
          <cell r="P2206">
            <v>25.55</v>
          </cell>
        </row>
        <row r="2207">
          <cell r="A2207" t="str">
            <v>南非地区部总部 - Local employees - L1</v>
          </cell>
          <cell r="B2207" t="str">
            <v>Current version</v>
          </cell>
          <cell r="C2207" t="str">
            <v>V2009R2</v>
          </cell>
          <cell r="D2207" t="str">
            <v>Labor Rate</v>
          </cell>
          <cell r="E2207" t="str">
            <v>SA</v>
          </cell>
          <cell r="F2207" t="str">
            <v>Southern Africa Sub-Regional Division</v>
          </cell>
          <cell r="G2207" t="str">
            <v>南非地区部总部</v>
          </cell>
          <cell r="H2207" t="str">
            <v>4033</v>
          </cell>
          <cell r="I2207" t="str">
            <v>南非地区部总部</v>
          </cell>
          <cell r="J2207" t="str">
            <v>南非地区部总部</v>
          </cell>
          <cell r="K2207" t="str">
            <v>Local employees</v>
          </cell>
          <cell r="L2207" t="str">
            <v>L1</v>
          </cell>
          <cell r="M2207" t="str">
            <v>ALL</v>
          </cell>
          <cell r="N2207" t="str">
            <v>FLPC(含奖金)</v>
          </cell>
          <cell r="O2207" t="str">
            <v>USD/小时</v>
          </cell>
          <cell r="P2207">
            <v>32.53</v>
          </cell>
        </row>
        <row r="2208">
          <cell r="A2208" t="str">
            <v>南非地区部总部 - Local employees - L2</v>
          </cell>
          <cell r="B2208" t="str">
            <v>Current version</v>
          </cell>
          <cell r="C2208" t="str">
            <v>V2009R2</v>
          </cell>
          <cell r="D2208" t="str">
            <v>Labor Rate</v>
          </cell>
          <cell r="E2208" t="str">
            <v>SA</v>
          </cell>
          <cell r="F2208" t="str">
            <v>Southern Africa Sub-Regional Division</v>
          </cell>
          <cell r="G2208" t="str">
            <v>南非地区部总部</v>
          </cell>
          <cell r="H2208" t="str">
            <v>4033</v>
          </cell>
          <cell r="I2208" t="str">
            <v>南非地区部总部</v>
          </cell>
          <cell r="J2208" t="str">
            <v>南非地区部总部</v>
          </cell>
          <cell r="K2208" t="str">
            <v>Local employees</v>
          </cell>
          <cell r="L2208" t="str">
            <v>L2</v>
          </cell>
          <cell r="M2208" t="str">
            <v>ALL</v>
          </cell>
          <cell r="N2208" t="str">
            <v>FLPC(含奖金)</v>
          </cell>
          <cell r="O2208" t="str">
            <v>USD/小时</v>
          </cell>
          <cell r="P2208">
            <v>43.55</v>
          </cell>
        </row>
        <row r="2209">
          <cell r="A2209" t="str">
            <v>南非地区部总部 - Local employees - L3</v>
          </cell>
          <cell r="B2209" t="str">
            <v>Current version</v>
          </cell>
          <cell r="C2209" t="str">
            <v>V2009R2</v>
          </cell>
          <cell r="D2209" t="str">
            <v>Labor Rate</v>
          </cell>
          <cell r="E2209" t="str">
            <v>SA</v>
          </cell>
          <cell r="F2209" t="str">
            <v>Southern Africa Sub-Regional Division</v>
          </cell>
          <cell r="G2209" t="str">
            <v>南非地区部总部</v>
          </cell>
          <cell r="H2209" t="str">
            <v>4033</v>
          </cell>
          <cell r="I2209" t="str">
            <v>南非地区部总部</v>
          </cell>
          <cell r="J2209" t="str">
            <v>南非地区部总部</v>
          </cell>
          <cell r="K2209" t="str">
            <v>Local employees</v>
          </cell>
          <cell r="L2209" t="str">
            <v>L3</v>
          </cell>
          <cell r="M2209" t="str">
            <v>ALL</v>
          </cell>
          <cell r="N2209" t="str">
            <v>FLPC(含奖金)</v>
          </cell>
          <cell r="O2209" t="str">
            <v>USD/小时</v>
          </cell>
          <cell r="P2209">
            <v>68.88</v>
          </cell>
        </row>
        <row r="2210">
          <cell r="A2210" t="str">
            <v>南非地区部总部 - Local employees - L4</v>
          </cell>
          <cell r="B2210" t="str">
            <v>Current version</v>
          </cell>
          <cell r="C2210" t="str">
            <v>V2009R2</v>
          </cell>
          <cell r="D2210" t="str">
            <v>Labor Rate</v>
          </cell>
          <cell r="E2210" t="str">
            <v>SA</v>
          </cell>
          <cell r="F2210" t="str">
            <v>Southern Africa Sub-Regional Division</v>
          </cell>
          <cell r="G2210" t="str">
            <v>南非地区部总部</v>
          </cell>
          <cell r="H2210" t="str">
            <v>4033</v>
          </cell>
          <cell r="I2210" t="str">
            <v>南非地区部总部</v>
          </cell>
          <cell r="J2210" t="str">
            <v>南非地区部总部</v>
          </cell>
          <cell r="K2210" t="str">
            <v>Local employees</v>
          </cell>
          <cell r="L2210" t="str">
            <v>L4</v>
          </cell>
          <cell r="M2210" t="str">
            <v>ALL</v>
          </cell>
          <cell r="N2210" t="str">
            <v>FLPC(含奖金)</v>
          </cell>
          <cell r="O2210" t="str">
            <v>USD/小时</v>
          </cell>
          <cell r="P2210">
            <v>120.22</v>
          </cell>
        </row>
        <row r="2211">
          <cell r="A2211" t="str">
            <v>东非地区部总部 - Local employees - L0</v>
          </cell>
          <cell r="B2211" t="str">
            <v>Current version</v>
          </cell>
          <cell r="C2211" t="str">
            <v>V2009R2</v>
          </cell>
          <cell r="D2211" t="str">
            <v>Labor Rate</v>
          </cell>
          <cell r="E2211" t="str">
            <v>SA</v>
          </cell>
          <cell r="F2211" t="str">
            <v>Eastern Africa Sub-Regional Division</v>
          </cell>
          <cell r="G2211" t="str">
            <v>东非地区部总部</v>
          </cell>
          <cell r="H2211" t="str">
            <v>4034</v>
          </cell>
          <cell r="I2211" t="str">
            <v>东非地区部总部</v>
          </cell>
          <cell r="J2211" t="str">
            <v>东非地区部总部</v>
          </cell>
          <cell r="K2211" t="str">
            <v>Local employees</v>
          </cell>
          <cell r="L2211" t="str">
            <v>L0</v>
          </cell>
          <cell r="M2211" t="str">
            <v>ALL</v>
          </cell>
          <cell r="N2211" t="str">
            <v>FLPC(含奖金)</v>
          </cell>
          <cell r="O2211" t="str">
            <v>USD/小时</v>
          </cell>
          <cell r="P2211">
            <v>17.45</v>
          </cell>
        </row>
        <row r="2212">
          <cell r="A2212" t="str">
            <v>东非地区部总部 - Local employees - L1</v>
          </cell>
          <cell r="B2212" t="str">
            <v>Current version</v>
          </cell>
          <cell r="C2212" t="str">
            <v>V2009R2</v>
          </cell>
          <cell r="D2212" t="str">
            <v>Labor Rate</v>
          </cell>
          <cell r="E2212" t="str">
            <v>SA</v>
          </cell>
          <cell r="F2212" t="str">
            <v>Eastern Africa Sub-Regional Division</v>
          </cell>
          <cell r="G2212" t="str">
            <v>东非地区部总部</v>
          </cell>
          <cell r="H2212" t="str">
            <v>4034</v>
          </cell>
          <cell r="I2212" t="str">
            <v>东非地区部总部</v>
          </cell>
          <cell r="J2212" t="str">
            <v>东非地区部总部</v>
          </cell>
          <cell r="K2212" t="str">
            <v>Local employees</v>
          </cell>
          <cell r="L2212" t="str">
            <v>L1</v>
          </cell>
          <cell r="M2212" t="str">
            <v>ALL</v>
          </cell>
          <cell r="N2212" t="str">
            <v>FLPC(含奖金)</v>
          </cell>
          <cell r="O2212" t="str">
            <v>USD/小时</v>
          </cell>
          <cell r="P2212">
            <v>24.72</v>
          </cell>
        </row>
        <row r="2213">
          <cell r="A2213" t="str">
            <v>东非地区部总部 - Local employees - L2</v>
          </cell>
          <cell r="B2213" t="str">
            <v>Current version</v>
          </cell>
          <cell r="C2213" t="str">
            <v>V2009R2</v>
          </cell>
          <cell r="D2213" t="str">
            <v>Labor Rate</v>
          </cell>
          <cell r="E2213" t="str">
            <v>SA</v>
          </cell>
          <cell r="F2213" t="str">
            <v>Eastern Africa Sub-Regional Division</v>
          </cell>
          <cell r="G2213" t="str">
            <v>东非地区部总部</v>
          </cell>
          <cell r="H2213" t="str">
            <v>4034</v>
          </cell>
          <cell r="I2213" t="str">
            <v>东非地区部总部</v>
          </cell>
          <cell r="J2213" t="str">
            <v>东非地区部总部</v>
          </cell>
          <cell r="K2213" t="str">
            <v>Local employees</v>
          </cell>
          <cell r="L2213" t="str">
            <v>L2</v>
          </cell>
          <cell r="M2213" t="str">
            <v>ALL</v>
          </cell>
          <cell r="N2213" t="str">
            <v>FLPC(含奖金)</v>
          </cell>
          <cell r="O2213" t="str">
            <v>USD/小时</v>
          </cell>
          <cell r="P2213">
            <v>38.96</v>
          </cell>
        </row>
        <row r="2214">
          <cell r="A2214" t="str">
            <v>东非地区部总部 - Local employees - L3</v>
          </cell>
          <cell r="B2214" t="str">
            <v>Current version</v>
          </cell>
          <cell r="C2214" t="str">
            <v>V2009R2</v>
          </cell>
          <cell r="D2214" t="str">
            <v>Labor Rate</v>
          </cell>
          <cell r="E2214" t="str">
            <v>SA</v>
          </cell>
          <cell r="F2214" t="str">
            <v>Eastern Africa Sub-Regional Division</v>
          </cell>
          <cell r="G2214" t="str">
            <v>东非地区部总部</v>
          </cell>
          <cell r="H2214" t="str">
            <v>4034</v>
          </cell>
          <cell r="I2214" t="str">
            <v>东非地区部总部</v>
          </cell>
          <cell r="J2214" t="str">
            <v>东非地区部总部</v>
          </cell>
          <cell r="K2214" t="str">
            <v>Local employees</v>
          </cell>
          <cell r="L2214" t="str">
            <v>L3</v>
          </cell>
          <cell r="M2214" t="str">
            <v>ALL</v>
          </cell>
          <cell r="N2214" t="str">
            <v>FLPC(含奖金)</v>
          </cell>
          <cell r="O2214" t="str">
            <v>USD/小时</v>
          </cell>
          <cell r="P2214">
            <v>67.45</v>
          </cell>
        </row>
        <row r="2215">
          <cell r="A2215" t="str">
            <v>东非地区部总部 - Local employees - L4</v>
          </cell>
          <cell r="B2215" t="str">
            <v>Current version</v>
          </cell>
          <cell r="C2215" t="str">
            <v>V2009R2</v>
          </cell>
          <cell r="D2215" t="str">
            <v>Labor Rate</v>
          </cell>
          <cell r="E2215" t="str">
            <v>SA</v>
          </cell>
          <cell r="F2215" t="str">
            <v>Eastern Africa Sub-Regional Division</v>
          </cell>
          <cell r="G2215" t="str">
            <v>东非地区部总部</v>
          </cell>
          <cell r="H2215" t="str">
            <v>4034</v>
          </cell>
          <cell r="I2215" t="str">
            <v>东非地区部总部</v>
          </cell>
          <cell r="J2215" t="str">
            <v>东非地区部总部</v>
          </cell>
          <cell r="K2215" t="str">
            <v>Local employees</v>
          </cell>
          <cell r="L2215" t="str">
            <v>L4</v>
          </cell>
          <cell r="M2215" t="str">
            <v>ALL</v>
          </cell>
          <cell r="N2215" t="str">
            <v>FLPC(含奖金)</v>
          </cell>
          <cell r="O2215" t="str">
            <v>USD/小时</v>
          </cell>
          <cell r="P2215">
            <v>104.59</v>
          </cell>
        </row>
        <row r="2216">
          <cell r="A2216" t="str">
            <v>西非地区部总部 - Local employees - L0</v>
          </cell>
          <cell r="B2216" t="str">
            <v>Current version</v>
          </cell>
          <cell r="C2216" t="str">
            <v>V2009R2</v>
          </cell>
          <cell r="D2216" t="str">
            <v>Labor Rate</v>
          </cell>
          <cell r="E2216" t="str">
            <v>SA</v>
          </cell>
          <cell r="F2216" t="str">
            <v>Western Africa Sub-Regional Division</v>
          </cell>
          <cell r="G2216" t="str">
            <v>西非地区部总部</v>
          </cell>
          <cell r="H2216" t="str">
            <v>4035</v>
          </cell>
          <cell r="I2216" t="str">
            <v>西非地区部总部</v>
          </cell>
          <cell r="J2216" t="str">
            <v>西非地区部总部</v>
          </cell>
          <cell r="K2216" t="str">
            <v>Local employees</v>
          </cell>
          <cell r="L2216" t="str">
            <v>L0</v>
          </cell>
          <cell r="M2216" t="str">
            <v>ALL</v>
          </cell>
          <cell r="N2216" t="str">
            <v>FLPC(含奖金)</v>
          </cell>
          <cell r="O2216" t="str">
            <v>USD/小时</v>
          </cell>
          <cell r="P2216">
            <v>28.21</v>
          </cell>
        </row>
        <row r="2217">
          <cell r="A2217" t="str">
            <v>西非地区部总部 - Local employees - L1</v>
          </cell>
          <cell r="B2217" t="str">
            <v>Current version</v>
          </cell>
          <cell r="C2217" t="str">
            <v>V2009R2</v>
          </cell>
          <cell r="D2217" t="str">
            <v>Labor Rate</v>
          </cell>
          <cell r="E2217" t="str">
            <v>SA</v>
          </cell>
          <cell r="F2217" t="str">
            <v>Western Africa Sub-Regional Division</v>
          </cell>
          <cell r="G2217" t="str">
            <v>西非地区部总部</v>
          </cell>
          <cell r="H2217" t="str">
            <v>4035</v>
          </cell>
          <cell r="I2217" t="str">
            <v>西非地区部总部</v>
          </cell>
          <cell r="J2217" t="str">
            <v>西非地区部总部</v>
          </cell>
          <cell r="K2217" t="str">
            <v>Local employees</v>
          </cell>
          <cell r="L2217" t="str">
            <v>L1</v>
          </cell>
          <cell r="M2217" t="str">
            <v>ALL</v>
          </cell>
          <cell r="N2217" t="str">
            <v>FLPC(含奖金)</v>
          </cell>
          <cell r="O2217" t="str">
            <v>USD/小时</v>
          </cell>
          <cell r="P2217">
            <v>32.049999999999997</v>
          </cell>
        </row>
        <row r="2218">
          <cell r="A2218" t="str">
            <v>西非地区部总部 - Local employees - L2</v>
          </cell>
          <cell r="B2218" t="str">
            <v>Current version</v>
          </cell>
          <cell r="C2218" t="str">
            <v>V2009R2</v>
          </cell>
          <cell r="D2218" t="str">
            <v>Labor Rate</v>
          </cell>
          <cell r="E2218" t="str">
            <v>SA</v>
          </cell>
          <cell r="F2218" t="str">
            <v>Western Africa Sub-Regional Division</v>
          </cell>
          <cell r="G2218" t="str">
            <v>西非地区部总部</v>
          </cell>
          <cell r="H2218" t="str">
            <v>4035</v>
          </cell>
          <cell r="I2218" t="str">
            <v>西非地区部总部</v>
          </cell>
          <cell r="J2218" t="str">
            <v>西非地区部总部</v>
          </cell>
          <cell r="K2218" t="str">
            <v>Local employees</v>
          </cell>
          <cell r="L2218" t="str">
            <v>L2</v>
          </cell>
          <cell r="M2218" t="str">
            <v>ALL</v>
          </cell>
          <cell r="N2218" t="str">
            <v>FLPC(含奖金)</v>
          </cell>
          <cell r="O2218" t="str">
            <v>USD/小时</v>
          </cell>
          <cell r="P2218">
            <v>40.25</v>
          </cell>
        </row>
        <row r="2219">
          <cell r="A2219" t="str">
            <v>西非地区部总部 - Local employees - L3</v>
          </cell>
          <cell r="B2219" t="str">
            <v>Current version</v>
          </cell>
          <cell r="C2219" t="str">
            <v>V2009R2</v>
          </cell>
          <cell r="D2219" t="str">
            <v>Labor Rate</v>
          </cell>
          <cell r="E2219" t="str">
            <v>SA</v>
          </cell>
          <cell r="F2219" t="str">
            <v>Western Africa Sub-Regional Division</v>
          </cell>
          <cell r="G2219" t="str">
            <v>西非地区部总部</v>
          </cell>
          <cell r="H2219" t="str">
            <v>4035</v>
          </cell>
          <cell r="I2219" t="str">
            <v>西非地区部总部</v>
          </cell>
          <cell r="J2219" t="str">
            <v>西非地区部总部</v>
          </cell>
          <cell r="K2219" t="str">
            <v>Local employees</v>
          </cell>
          <cell r="L2219" t="str">
            <v>L3</v>
          </cell>
          <cell r="M2219" t="str">
            <v>ALL</v>
          </cell>
          <cell r="N2219" t="str">
            <v>FLPC(含奖金)</v>
          </cell>
          <cell r="O2219" t="str">
            <v>USD/小时</v>
          </cell>
          <cell r="P2219">
            <v>89.68</v>
          </cell>
        </row>
        <row r="2220">
          <cell r="A2220" t="str">
            <v>西非地区部总部 - Local employees - L4</v>
          </cell>
          <cell r="B2220" t="str">
            <v>Current version</v>
          </cell>
          <cell r="C2220" t="str">
            <v>V2009R2</v>
          </cell>
          <cell r="D2220" t="str">
            <v>Labor Rate</v>
          </cell>
          <cell r="E2220" t="str">
            <v>SA</v>
          </cell>
          <cell r="F2220" t="str">
            <v>Western Africa Sub-Regional Division</v>
          </cell>
          <cell r="G2220" t="str">
            <v>西非地区部总部</v>
          </cell>
          <cell r="H2220" t="str">
            <v>4035</v>
          </cell>
          <cell r="I2220" t="str">
            <v>西非地区部总部</v>
          </cell>
          <cell r="J2220" t="str">
            <v>西非地区部总部</v>
          </cell>
          <cell r="K2220" t="str">
            <v>Local employees</v>
          </cell>
          <cell r="L2220" t="str">
            <v>L4</v>
          </cell>
          <cell r="M2220" t="str">
            <v>ALL</v>
          </cell>
          <cell r="N2220" t="str">
            <v>FLPC(含奖金)</v>
          </cell>
          <cell r="O2220" t="str">
            <v>USD/小时</v>
          </cell>
          <cell r="P2220">
            <v>115.17</v>
          </cell>
        </row>
        <row r="2221">
          <cell r="A2221" t="str">
            <v>中东北非片区总部 - Local employees - L0</v>
          </cell>
          <cell r="B2221" t="str">
            <v>Current version</v>
          </cell>
          <cell r="C2221" t="str">
            <v>V2009R2</v>
          </cell>
          <cell r="D2221" t="str">
            <v>Labor Rate</v>
          </cell>
          <cell r="E2221" t="str">
            <v>MENA</v>
          </cell>
          <cell r="F2221" t="str">
            <v>Mena Regional Headquarter</v>
          </cell>
          <cell r="G2221" t="str">
            <v>Mena Regional Headquarter</v>
          </cell>
          <cell r="H2221" t="str">
            <v>5000</v>
          </cell>
          <cell r="I2221" t="str">
            <v>中东北非片区总部</v>
          </cell>
          <cell r="J2221" t="str">
            <v>中东北非片区总部</v>
          </cell>
          <cell r="K2221" t="str">
            <v>Local employees</v>
          </cell>
          <cell r="L2221" t="str">
            <v>L0</v>
          </cell>
          <cell r="M2221" t="str">
            <v>ALL</v>
          </cell>
          <cell r="N2221" t="str">
            <v>FLPC(含奖金)</v>
          </cell>
          <cell r="O2221" t="str">
            <v>USD/小时</v>
          </cell>
          <cell r="P2221">
            <v>11.73</v>
          </cell>
        </row>
        <row r="2222">
          <cell r="A2222" t="str">
            <v>中东北非片区总部 - Local employees - L1</v>
          </cell>
          <cell r="B2222" t="str">
            <v>Current version</v>
          </cell>
          <cell r="C2222" t="str">
            <v>V2009R2</v>
          </cell>
          <cell r="D2222" t="str">
            <v>Labor Rate</v>
          </cell>
          <cell r="E2222" t="str">
            <v>MENA</v>
          </cell>
          <cell r="F2222" t="str">
            <v>Mena Regional Headquarter</v>
          </cell>
          <cell r="G2222" t="str">
            <v>Mena Regional Headquarter</v>
          </cell>
          <cell r="H2222" t="str">
            <v>5000</v>
          </cell>
          <cell r="I2222" t="str">
            <v>中东北非片区总部</v>
          </cell>
          <cell r="J2222" t="str">
            <v>中东北非片区总部</v>
          </cell>
          <cell r="K2222" t="str">
            <v>Local employees</v>
          </cell>
          <cell r="L2222" t="str">
            <v>L1</v>
          </cell>
          <cell r="M2222" t="str">
            <v>ALL</v>
          </cell>
          <cell r="N2222" t="str">
            <v>FLPC(含奖金)</v>
          </cell>
          <cell r="O2222" t="str">
            <v>USD/小时</v>
          </cell>
          <cell r="P2222">
            <v>15.39</v>
          </cell>
        </row>
        <row r="2223">
          <cell r="A2223" t="str">
            <v>中东北非片区总部 - Local employees - L2</v>
          </cell>
          <cell r="B2223" t="str">
            <v>Current version</v>
          </cell>
          <cell r="C2223" t="str">
            <v>V2009R2</v>
          </cell>
          <cell r="D2223" t="str">
            <v>Labor Rate</v>
          </cell>
          <cell r="E2223" t="str">
            <v>MENA</v>
          </cell>
          <cell r="F2223" t="str">
            <v>Mena Regional Headquarter</v>
          </cell>
          <cell r="G2223" t="str">
            <v>Mena Regional Headquarter</v>
          </cell>
          <cell r="H2223" t="str">
            <v>5000</v>
          </cell>
          <cell r="I2223" t="str">
            <v>中东北非片区总部</v>
          </cell>
          <cell r="J2223" t="str">
            <v>中东北非片区总部</v>
          </cell>
          <cell r="K2223" t="str">
            <v>Local employees</v>
          </cell>
          <cell r="L2223" t="str">
            <v>L2</v>
          </cell>
          <cell r="M2223" t="str">
            <v>ALL</v>
          </cell>
          <cell r="N2223" t="str">
            <v>FLPC(含奖金)</v>
          </cell>
          <cell r="O2223" t="str">
            <v>USD/小时</v>
          </cell>
          <cell r="P2223">
            <v>23.07</v>
          </cell>
        </row>
        <row r="2224">
          <cell r="A2224" t="str">
            <v>中东北非片区总部 - Local employees - L3</v>
          </cell>
          <cell r="B2224" t="str">
            <v>Current version</v>
          </cell>
          <cell r="C2224" t="str">
            <v>V2009R2</v>
          </cell>
          <cell r="D2224" t="str">
            <v>Labor Rate</v>
          </cell>
          <cell r="E2224" t="str">
            <v>MENA</v>
          </cell>
          <cell r="F2224" t="str">
            <v>Mena Regional Headquarter</v>
          </cell>
          <cell r="G2224" t="str">
            <v>Mena Regional Headquarter</v>
          </cell>
          <cell r="H2224" t="str">
            <v>5000</v>
          </cell>
          <cell r="I2224" t="str">
            <v>中东北非片区总部</v>
          </cell>
          <cell r="J2224" t="str">
            <v>中东北非片区总部</v>
          </cell>
          <cell r="K2224" t="str">
            <v>Local employees</v>
          </cell>
          <cell r="L2224" t="str">
            <v>L3</v>
          </cell>
          <cell r="M2224" t="str">
            <v>ALL</v>
          </cell>
          <cell r="N2224" t="str">
            <v>FLPC(含奖金)</v>
          </cell>
          <cell r="O2224" t="str">
            <v>USD/小时</v>
          </cell>
          <cell r="P2224">
            <v>36.130000000000003</v>
          </cell>
        </row>
        <row r="2225">
          <cell r="A2225" t="str">
            <v>中东北非片区总部 - Local employees - L4</v>
          </cell>
          <cell r="B2225" t="str">
            <v>Current version</v>
          </cell>
          <cell r="C2225" t="str">
            <v>V2009R2</v>
          </cell>
          <cell r="D2225" t="str">
            <v>Labor Rate</v>
          </cell>
          <cell r="E2225" t="str">
            <v>MENA</v>
          </cell>
          <cell r="F2225" t="str">
            <v>Mena Regional Headquarter</v>
          </cell>
          <cell r="G2225" t="str">
            <v>Mena Regional Headquarter</v>
          </cell>
          <cell r="H2225" t="str">
            <v>5000</v>
          </cell>
          <cell r="I2225" t="str">
            <v>中东北非片区总部</v>
          </cell>
          <cell r="J2225" t="str">
            <v>中东北非片区总部</v>
          </cell>
          <cell r="K2225" t="str">
            <v>Local employees</v>
          </cell>
          <cell r="L2225" t="str">
            <v>L4</v>
          </cell>
          <cell r="M2225" t="str">
            <v>ALL</v>
          </cell>
          <cell r="N2225" t="str">
            <v>FLPC(含奖金)</v>
          </cell>
          <cell r="O2225" t="str">
            <v>USD/小时</v>
          </cell>
          <cell r="P2225">
            <v>60.89</v>
          </cell>
        </row>
        <row r="2226">
          <cell r="A2226" t="str">
            <v>中东地区部总部 - Local employees - L0</v>
          </cell>
          <cell r="B2226" t="str">
            <v>Current version</v>
          </cell>
          <cell r="C2226" t="str">
            <v>V2009R2</v>
          </cell>
          <cell r="D2226" t="str">
            <v>Labor Rate</v>
          </cell>
          <cell r="E2226" t="str">
            <v>MENA</v>
          </cell>
          <cell r="F2226" t="str">
            <v>Middle East Sub-Regional Division</v>
          </cell>
          <cell r="G2226" t="str">
            <v>中东地区部总部</v>
          </cell>
          <cell r="H2226" t="str">
            <v>5020</v>
          </cell>
          <cell r="I2226" t="str">
            <v>中东地区部总部</v>
          </cell>
          <cell r="J2226" t="str">
            <v>中东地区部总部</v>
          </cell>
          <cell r="K2226" t="str">
            <v>Local employees</v>
          </cell>
          <cell r="L2226" t="str">
            <v>L0</v>
          </cell>
          <cell r="M2226" t="str">
            <v>ALL</v>
          </cell>
          <cell r="N2226" t="str">
            <v>FLPC(含奖金)</v>
          </cell>
          <cell r="O2226" t="str">
            <v>USD/小时</v>
          </cell>
          <cell r="P2226">
            <v>25.54</v>
          </cell>
        </row>
        <row r="2227">
          <cell r="A2227" t="str">
            <v>中东地区部总部 - Local employees - L1</v>
          </cell>
          <cell r="B2227" t="str">
            <v>Current version</v>
          </cell>
          <cell r="C2227" t="str">
            <v>V2009R2</v>
          </cell>
          <cell r="D2227" t="str">
            <v>Labor Rate</v>
          </cell>
          <cell r="E2227" t="str">
            <v>MENA</v>
          </cell>
          <cell r="F2227" t="str">
            <v>Middle East Sub-Regional Division</v>
          </cell>
          <cell r="G2227" t="str">
            <v>中东地区部总部</v>
          </cell>
          <cell r="H2227" t="str">
            <v>5020</v>
          </cell>
          <cell r="I2227" t="str">
            <v>中东地区部总部</v>
          </cell>
          <cell r="J2227" t="str">
            <v>中东地区部总部</v>
          </cell>
          <cell r="K2227" t="str">
            <v>Local employees</v>
          </cell>
          <cell r="L2227" t="str">
            <v>L1</v>
          </cell>
          <cell r="M2227" t="str">
            <v>ALL</v>
          </cell>
          <cell r="N2227" t="str">
            <v>FLPC(含奖金)</v>
          </cell>
          <cell r="O2227" t="str">
            <v>USD/小时</v>
          </cell>
          <cell r="P2227">
            <v>34.17</v>
          </cell>
        </row>
        <row r="2228">
          <cell r="A2228" t="str">
            <v>中东地区部总部 - Local employees - L2</v>
          </cell>
          <cell r="B2228" t="str">
            <v>Current version</v>
          </cell>
          <cell r="C2228" t="str">
            <v>V2009R2</v>
          </cell>
          <cell r="D2228" t="str">
            <v>Labor Rate</v>
          </cell>
          <cell r="E2228" t="str">
            <v>MENA</v>
          </cell>
          <cell r="F2228" t="str">
            <v>Middle East Sub-Regional Division</v>
          </cell>
          <cell r="G2228" t="str">
            <v>中东地区部总部</v>
          </cell>
          <cell r="H2228" t="str">
            <v>5020</v>
          </cell>
          <cell r="I2228" t="str">
            <v>中东地区部总部</v>
          </cell>
          <cell r="J2228" t="str">
            <v>中东地区部总部</v>
          </cell>
          <cell r="K2228" t="str">
            <v>Local employees</v>
          </cell>
          <cell r="L2228" t="str">
            <v>L2</v>
          </cell>
          <cell r="M2228" t="str">
            <v>ALL</v>
          </cell>
          <cell r="N2228" t="str">
            <v>FLPC(含奖金)</v>
          </cell>
          <cell r="O2228" t="str">
            <v>USD/小时</v>
          </cell>
          <cell r="P2228">
            <v>44.93</v>
          </cell>
        </row>
        <row r="2229">
          <cell r="A2229" t="str">
            <v>中东地区部总部 - Local employees - L3</v>
          </cell>
          <cell r="B2229" t="str">
            <v>Current version</v>
          </cell>
          <cell r="C2229" t="str">
            <v>V2009R2</v>
          </cell>
          <cell r="D2229" t="str">
            <v>Labor Rate</v>
          </cell>
          <cell r="E2229" t="str">
            <v>MENA</v>
          </cell>
          <cell r="F2229" t="str">
            <v>Middle East Sub-Regional Division</v>
          </cell>
          <cell r="G2229" t="str">
            <v>中东地区部总部</v>
          </cell>
          <cell r="H2229" t="str">
            <v>5020</v>
          </cell>
          <cell r="I2229" t="str">
            <v>中东地区部总部</v>
          </cell>
          <cell r="J2229" t="str">
            <v>中东地区部总部</v>
          </cell>
          <cell r="K2229" t="str">
            <v>Local employees</v>
          </cell>
          <cell r="L2229" t="str">
            <v>L3</v>
          </cell>
          <cell r="M2229" t="str">
            <v>ALL</v>
          </cell>
          <cell r="N2229" t="str">
            <v>FLPC(含奖金)</v>
          </cell>
          <cell r="O2229" t="str">
            <v>USD/小时</v>
          </cell>
          <cell r="P2229">
            <v>71.989999999999995</v>
          </cell>
        </row>
        <row r="2230">
          <cell r="A2230" t="str">
            <v>中东地区部总部 - Local employees - L4</v>
          </cell>
          <cell r="B2230" t="str">
            <v>Current version</v>
          </cell>
          <cell r="C2230" t="str">
            <v>V2009R2</v>
          </cell>
          <cell r="D2230" t="str">
            <v>Labor Rate</v>
          </cell>
          <cell r="E2230" t="str">
            <v>MENA</v>
          </cell>
          <cell r="F2230" t="str">
            <v>Middle East Sub-Regional Division</v>
          </cell>
          <cell r="G2230" t="str">
            <v>中东地区部总部</v>
          </cell>
          <cell r="H2230" t="str">
            <v>5020</v>
          </cell>
          <cell r="I2230" t="str">
            <v>中东地区部总部</v>
          </cell>
          <cell r="J2230" t="str">
            <v>中东地区部总部</v>
          </cell>
          <cell r="K2230" t="str">
            <v>Local employees</v>
          </cell>
          <cell r="L2230" t="str">
            <v>L4</v>
          </cell>
          <cell r="M2230" t="str">
            <v>ALL</v>
          </cell>
          <cell r="N2230" t="str">
            <v>FLPC(含奖金)</v>
          </cell>
          <cell r="O2230" t="str">
            <v>USD/小时</v>
          </cell>
          <cell r="P2230">
            <v>95.65</v>
          </cell>
        </row>
        <row r="2231">
          <cell r="A2231" t="str">
            <v>北非地区部总部 - Local employees - L0</v>
          </cell>
          <cell r="B2231" t="str">
            <v>Current version</v>
          </cell>
          <cell r="C2231" t="str">
            <v>V2009R2</v>
          </cell>
          <cell r="D2231" t="str">
            <v>Labor Rate</v>
          </cell>
          <cell r="E2231" t="str">
            <v>MENA</v>
          </cell>
          <cell r="F2231" t="str">
            <v>Northern Africa Sub-Regional Division</v>
          </cell>
          <cell r="G2231" t="str">
            <v>北非地区部总部</v>
          </cell>
          <cell r="H2231" t="str">
            <v>5021</v>
          </cell>
          <cell r="I2231" t="str">
            <v>北非地区部总部</v>
          </cell>
          <cell r="J2231" t="str">
            <v>北非地区部总部</v>
          </cell>
          <cell r="K2231" t="str">
            <v>Local employees</v>
          </cell>
          <cell r="L2231" t="str">
            <v>L0</v>
          </cell>
          <cell r="M2231" t="str">
            <v>ALL</v>
          </cell>
          <cell r="N2231" t="str">
            <v>FLPC(含奖金)</v>
          </cell>
          <cell r="O2231" t="str">
            <v>USD/小时</v>
          </cell>
          <cell r="P2231">
            <v>11.73</v>
          </cell>
        </row>
        <row r="2232">
          <cell r="A2232" t="str">
            <v>北非地区部总部 - Local employees - L1</v>
          </cell>
          <cell r="B2232" t="str">
            <v>Current version</v>
          </cell>
          <cell r="C2232" t="str">
            <v>V2009R2</v>
          </cell>
          <cell r="D2232" t="str">
            <v>Labor Rate</v>
          </cell>
          <cell r="E2232" t="str">
            <v>MENA</v>
          </cell>
          <cell r="F2232" t="str">
            <v>Northern Africa Sub-Regional Division</v>
          </cell>
          <cell r="G2232" t="str">
            <v>北非地区部总部</v>
          </cell>
          <cell r="H2232" t="str">
            <v>5021</v>
          </cell>
          <cell r="I2232" t="str">
            <v>北非地区部总部</v>
          </cell>
          <cell r="J2232" t="str">
            <v>北非地区部总部</v>
          </cell>
          <cell r="K2232" t="str">
            <v>Local employees</v>
          </cell>
          <cell r="L2232" t="str">
            <v>L1</v>
          </cell>
          <cell r="M2232" t="str">
            <v>ALL</v>
          </cell>
          <cell r="N2232" t="str">
            <v>FLPC(含奖金)</v>
          </cell>
          <cell r="O2232" t="str">
            <v>USD/小时</v>
          </cell>
          <cell r="P2232">
            <v>15.39</v>
          </cell>
        </row>
        <row r="2233">
          <cell r="A2233" t="str">
            <v>Netherlands - Local employees - L1</v>
          </cell>
          <cell r="B2233" t="str">
            <v>Current version</v>
          </cell>
          <cell r="C2233" t="str">
            <v>V2009R2</v>
          </cell>
          <cell r="D2233" t="str">
            <v>Labor Rate</v>
          </cell>
          <cell r="E2233" t="str">
            <v>EU</v>
          </cell>
          <cell r="F2233" t="str">
            <v>West European Sub-Regional Division</v>
          </cell>
          <cell r="G2233" t="str">
            <v>Holand Rep.Office</v>
          </cell>
          <cell r="H2233" t="str">
            <v>3613</v>
          </cell>
          <cell r="I2233" t="str">
            <v>荷兰</v>
          </cell>
          <cell r="J2233" t="str">
            <v>Netherlands</v>
          </cell>
          <cell r="K2233" t="str">
            <v>Local employees</v>
          </cell>
          <cell r="L2233" t="str">
            <v>L1</v>
          </cell>
          <cell r="M2233" t="str">
            <v>ALL</v>
          </cell>
          <cell r="N2233" t="str">
            <v>FLPC(含奖金)</v>
          </cell>
          <cell r="O2233" t="str">
            <v>USD/小时</v>
          </cell>
          <cell r="P2233">
            <v>82.37</v>
          </cell>
        </row>
        <row r="2234">
          <cell r="A2234" t="str">
            <v>Netherlands - Local employees - L2</v>
          </cell>
          <cell r="B2234" t="str">
            <v>Current version</v>
          </cell>
          <cell r="C2234" t="str">
            <v>V2009R2</v>
          </cell>
          <cell r="D2234" t="str">
            <v>Labor Rate</v>
          </cell>
          <cell r="E2234" t="str">
            <v>EU</v>
          </cell>
          <cell r="F2234" t="str">
            <v>West European Sub-Regional Division</v>
          </cell>
          <cell r="G2234" t="str">
            <v>Holand Rep.Office</v>
          </cell>
          <cell r="H2234" t="str">
            <v>3613</v>
          </cell>
          <cell r="I2234" t="str">
            <v>荷兰</v>
          </cell>
          <cell r="J2234" t="str">
            <v>Netherlands</v>
          </cell>
          <cell r="K2234" t="str">
            <v>Local employees</v>
          </cell>
          <cell r="L2234" t="str">
            <v>L2</v>
          </cell>
          <cell r="M2234" t="str">
            <v>ALL</v>
          </cell>
          <cell r="N2234" t="str">
            <v>FLPC(含奖金)</v>
          </cell>
          <cell r="O2234" t="str">
            <v>USD/小时</v>
          </cell>
          <cell r="P2234">
            <v>104.04</v>
          </cell>
        </row>
        <row r="2235">
          <cell r="A2235" t="str">
            <v>Netherlands - Local employees - L3</v>
          </cell>
          <cell r="B2235" t="str">
            <v>Current version</v>
          </cell>
          <cell r="C2235" t="str">
            <v>V2009R2</v>
          </cell>
          <cell r="D2235" t="str">
            <v>Labor Rate</v>
          </cell>
          <cell r="E2235" t="str">
            <v>EU</v>
          </cell>
          <cell r="F2235" t="str">
            <v>West European Sub-Regional Division</v>
          </cell>
          <cell r="G2235" t="str">
            <v>Holand Rep.Office</v>
          </cell>
          <cell r="H2235" t="str">
            <v>3613</v>
          </cell>
          <cell r="I2235" t="str">
            <v>荷兰</v>
          </cell>
          <cell r="J2235" t="str">
            <v>Netherlands</v>
          </cell>
          <cell r="K2235" t="str">
            <v>Local employees</v>
          </cell>
          <cell r="L2235" t="str">
            <v>L3</v>
          </cell>
          <cell r="M2235" t="str">
            <v>ALL</v>
          </cell>
          <cell r="N2235" t="str">
            <v>FLPC(含奖金)</v>
          </cell>
          <cell r="O2235" t="str">
            <v>USD/小时</v>
          </cell>
          <cell r="P2235">
            <v>151.65</v>
          </cell>
        </row>
        <row r="2236">
          <cell r="A2236" t="str">
            <v>Netherlands - Local employees - L4</v>
          </cell>
          <cell r="B2236" t="str">
            <v>Current version</v>
          </cell>
          <cell r="C2236" t="str">
            <v>V2009R2</v>
          </cell>
          <cell r="D2236" t="str">
            <v>Labor Rate</v>
          </cell>
          <cell r="E2236" t="str">
            <v>EU</v>
          </cell>
          <cell r="F2236" t="str">
            <v>West European Sub-Regional Division</v>
          </cell>
          <cell r="G2236" t="str">
            <v>Holand Rep.Office</v>
          </cell>
          <cell r="H2236" t="str">
            <v>3613</v>
          </cell>
          <cell r="I2236" t="str">
            <v>荷兰</v>
          </cell>
          <cell r="J2236" t="str">
            <v>Netherlands</v>
          </cell>
          <cell r="K2236" t="str">
            <v>Local employees</v>
          </cell>
          <cell r="L2236" t="str">
            <v>L4</v>
          </cell>
          <cell r="M2236" t="str">
            <v>ALL</v>
          </cell>
          <cell r="N2236" t="str">
            <v>FLPC(含奖金)</v>
          </cell>
          <cell r="O2236" t="str">
            <v>USD/小时</v>
          </cell>
          <cell r="P2236">
            <v>203.35</v>
          </cell>
        </row>
        <row r="2237">
          <cell r="A2237" t="str">
            <v>luxembourg - Local employees - L0</v>
          </cell>
          <cell r="B2237" t="str">
            <v>Current version</v>
          </cell>
          <cell r="C2237" t="str">
            <v>V2009R2</v>
          </cell>
          <cell r="D2237" t="str">
            <v>Labor Rate</v>
          </cell>
          <cell r="E2237" t="str">
            <v>EU</v>
          </cell>
          <cell r="F2237" t="str">
            <v>West European Sub-Regional Division</v>
          </cell>
          <cell r="G2237" t="str">
            <v>Holand Rep.Office</v>
          </cell>
          <cell r="H2237" t="str">
            <v>3621</v>
          </cell>
          <cell r="I2237" t="str">
            <v>卢森堡</v>
          </cell>
          <cell r="J2237" t="str">
            <v>luxembourg</v>
          </cell>
          <cell r="K2237" t="str">
            <v>Local employees</v>
          </cell>
          <cell r="L2237" t="str">
            <v>L0</v>
          </cell>
          <cell r="M2237" t="str">
            <v>ALL</v>
          </cell>
          <cell r="N2237" t="str">
            <v>FLPC(含奖金)</v>
          </cell>
          <cell r="O2237" t="str">
            <v>USD/小时</v>
          </cell>
          <cell r="P2237">
            <v>68.23</v>
          </cell>
        </row>
        <row r="2238">
          <cell r="A2238" t="str">
            <v>luxembourg - Local employees - L1</v>
          </cell>
          <cell r="B2238" t="str">
            <v>Current version</v>
          </cell>
          <cell r="C2238" t="str">
            <v>V2009R2</v>
          </cell>
          <cell r="D2238" t="str">
            <v>Labor Rate</v>
          </cell>
          <cell r="E2238" t="str">
            <v>EU</v>
          </cell>
          <cell r="F2238" t="str">
            <v>West European Sub-Regional Division</v>
          </cell>
          <cell r="G2238" t="str">
            <v>Holand Rep.Office</v>
          </cell>
          <cell r="H2238" t="str">
            <v>3621</v>
          </cell>
          <cell r="I2238" t="str">
            <v>卢森堡</v>
          </cell>
          <cell r="J2238" t="str">
            <v>luxembourg</v>
          </cell>
          <cell r="K2238" t="str">
            <v>Local employees</v>
          </cell>
          <cell r="L2238" t="str">
            <v>L1</v>
          </cell>
          <cell r="M2238" t="str">
            <v>ALL</v>
          </cell>
          <cell r="N2238" t="str">
            <v>FLPC(含奖金)</v>
          </cell>
          <cell r="O2238" t="str">
            <v>USD/小时</v>
          </cell>
          <cell r="P2238">
            <v>84.8</v>
          </cell>
        </row>
        <row r="2239">
          <cell r="A2239" t="str">
            <v>luxembourg - Local employees - L2</v>
          </cell>
          <cell r="B2239" t="str">
            <v>Current version</v>
          </cell>
          <cell r="C2239" t="str">
            <v>V2009R2</v>
          </cell>
          <cell r="D2239" t="str">
            <v>Labor Rate</v>
          </cell>
          <cell r="E2239" t="str">
            <v>EU</v>
          </cell>
          <cell r="F2239" t="str">
            <v>West European Sub-Regional Division</v>
          </cell>
          <cell r="G2239" t="str">
            <v>Holand Rep.Office</v>
          </cell>
          <cell r="H2239" t="str">
            <v>3621</v>
          </cell>
          <cell r="I2239" t="str">
            <v>卢森堡</v>
          </cell>
          <cell r="J2239" t="str">
            <v>luxembourg</v>
          </cell>
          <cell r="K2239" t="str">
            <v>Local employees</v>
          </cell>
          <cell r="L2239" t="str">
            <v>L2</v>
          </cell>
          <cell r="M2239" t="str">
            <v>ALL</v>
          </cell>
          <cell r="N2239" t="str">
            <v>FLPC(含奖金)</v>
          </cell>
          <cell r="O2239" t="str">
            <v>USD/小时</v>
          </cell>
          <cell r="P2239">
            <v>111.63</v>
          </cell>
        </row>
        <row r="2240">
          <cell r="A2240" t="str">
            <v>luxembourg - Local employees - L3</v>
          </cell>
          <cell r="B2240" t="str">
            <v>Current version</v>
          </cell>
          <cell r="C2240" t="str">
            <v>V2009R2</v>
          </cell>
          <cell r="D2240" t="str">
            <v>Labor Rate</v>
          </cell>
          <cell r="E2240" t="str">
            <v>EU</v>
          </cell>
          <cell r="F2240" t="str">
            <v>West European Sub-Regional Division</v>
          </cell>
          <cell r="G2240" t="str">
            <v>Holand Rep.Office</v>
          </cell>
          <cell r="H2240" t="str">
            <v>3621</v>
          </cell>
          <cell r="I2240" t="str">
            <v>卢森堡</v>
          </cell>
          <cell r="J2240" t="str">
            <v>luxembourg</v>
          </cell>
          <cell r="K2240" t="str">
            <v>Local employees</v>
          </cell>
          <cell r="L2240" t="str">
            <v>L3</v>
          </cell>
          <cell r="M2240" t="str">
            <v>ALL</v>
          </cell>
          <cell r="N2240" t="str">
            <v>FLPC(含奖金)</v>
          </cell>
          <cell r="O2240" t="str">
            <v>USD/小时</v>
          </cell>
          <cell r="P2240">
            <v>126.85</v>
          </cell>
        </row>
        <row r="2241">
          <cell r="A2241" t="str">
            <v>luxembourg - Local employees - L4</v>
          </cell>
          <cell r="B2241" t="str">
            <v>Current version</v>
          </cell>
          <cell r="C2241" t="str">
            <v>V2009R2</v>
          </cell>
          <cell r="D2241" t="str">
            <v>Labor Rate</v>
          </cell>
          <cell r="E2241" t="str">
            <v>EU</v>
          </cell>
          <cell r="F2241" t="str">
            <v>West European Sub-Regional Division</v>
          </cell>
          <cell r="G2241" t="str">
            <v>Holand Rep.Office</v>
          </cell>
          <cell r="H2241" t="str">
            <v>3621</v>
          </cell>
          <cell r="I2241" t="str">
            <v>卢森堡</v>
          </cell>
          <cell r="J2241" t="str">
            <v>luxembourg</v>
          </cell>
          <cell r="K2241" t="str">
            <v>Local employees</v>
          </cell>
          <cell r="L2241" t="str">
            <v>L4</v>
          </cell>
          <cell r="M2241" t="str">
            <v>ALL</v>
          </cell>
          <cell r="N2241" t="str">
            <v>FLPC(含奖金)</v>
          </cell>
          <cell r="O2241" t="str">
            <v>USD/小时</v>
          </cell>
          <cell r="P2241">
            <v>206.89</v>
          </cell>
        </row>
        <row r="2242">
          <cell r="A2242" t="str">
            <v>Germany - Local employees - L0</v>
          </cell>
          <cell r="B2242" t="str">
            <v>Current version</v>
          </cell>
          <cell r="C2242" t="str">
            <v>V2009R2</v>
          </cell>
          <cell r="D2242" t="str">
            <v>Labor Rate</v>
          </cell>
          <cell r="E2242" t="str">
            <v>EU</v>
          </cell>
          <cell r="F2242" t="str">
            <v>West European Sub-Regional Division</v>
          </cell>
          <cell r="G2242" t="str">
            <v>Germany</v>
          </cell>
          <cell r="H2242" t="str">
            <v>3602</v>
          </cell>
          <cell r="I2242" t="str">
            <v>德国</v>
          </cell>
          <cell r="J2242" t="str">
            <v>Germany</v>
          </cell>
          <cell r="K2242" t="str">
            <v>Local employees</v>
          </cell>
          <cell r="L2242" t="str">
            <v>L0</v>
          </cell>
          <cell r="M2242" t="str">
            <v>ALL</v>
          </cell>
          <cell r="N2242" t="str">
            <v>FLPC(含奖金)</v>
          </cell>
          <cell r="O2242" t="str">
            <v>USD/小时</v>
          </cell>
          <cell r="P2242">
            <v>63.18</v>
          </cell>
        </row>
        <row r="2243">
          <cell r="A2243" t="str">
            <v>Germany - Local employees - L1</v>
          </cell>
          <cell r="B2243" t="str">
            <v>Current version</v>
          </cell>
          <cell r="C2243" t="str">
            <v>V2009R2</v>
          </cell>
          <cell r="D2243" t="str">
            <v>Labor Rate</v>
          </cell>
          <cell r="E2243" t="str">
            <v>EU</v>
          </cell>
          <cell r="F2243" t="str">
            <v>West European Sub-Regional Division</v>
          </cell>
          <cell r="G2243" t="str">
            <v>Germany</v>
          </cell>
          <cell r="H2243" t="str">
            <v>3602</v>
          </cell>
          <cell r="I2243" t="str">
            <v>德国</v>
          </cell>
          <cell r="J2243" t="str">
            <v>Germany</v>
          </cell>
          <cell r="K2243" t="str">
            <v>Local employees</v>
          </cell>
          <cell r="L2243" t="str">
            <v>L1</v>
          </cell>
          <cell r="M2243" t="str">
            <v>ALL</v>
          </cell>
          <cell r="N2243" t="str">
            <v>FLPC(含奖金)</v>
          </cell>
          <cell r="O2243" t="str">
            <v>USD/小时</v>
          </cell>
          <cell r="P2243">
            <v>79.72</v>
          </cell>
        </row>
        <row r="2244">
          <cell r="A2244" t="str">
            <v>Germany - Local employees - L2</v>
          </cell>
          <cell r="B2244" t="str">
            <v>Current version</v>
          </cell>
          <cell r="C2244" t="str">
            <v>V2009R2</v>
          </cell>
          <cell r="D2244" t="str">
            <v>Labor Rate</v>
          </cell>
          <cell r="E2244" t="str">
            <v>EU</v>
          </cell>
          <cell r="F2244" t="str">
            <v>West European Sub-Regional Division</v>
          </cell>
          <cell r="G2244" t="str">
            <v>Germany</v>
          </cell>
          <cell r="H2244" t="str">
            <v>3602</v>
          </cell>
          <cell r="I2244" t="str">
            <v>德国</v>
          </cell>
          <cell r="J2244" t="str">
            <v>Germany</v>
          </cell>
          <cell r="K2244" t="str">
            <v>Local employees</v>
          </cell>
          <cell r="L2244" t="str">
            <v>L2</v>
          </cell>
          <cell r="M2244" t="str">
            <v>ALL</v>
          </cell>
          <cell r="N2244" t="str">
            <v>FLPC(含奖金)</v>
          </cell>
          <cell r="O2244" t="str">
            <v>USD/小时</v>
          </cell>
          <cell r="P2244">
            <v>102.66</v>
          </cell>
        </row>
        <row r="2245">
          <cell r="A2245" t="str">
            <v>Germany - Local employees - L3</v>
          </cell>
          <cell r="B2245" t="str">
            <v>Current version</v>
          </cell>
          <cell r="C2245" t="str">
            <v>V2009R2</v>
          </cell>
          <cell r="D2245" t="str">
            <v>Labor Rate</v>
          </cell>
          <cell r="E2245" t="str">
            <v>EU</v>
          </cell>
          <cell r="F2245" t="str">
            <v>West European Sub-Regional Division</v>
          </cell>
          <cell r="G2245" t="str">
            <v>Germany</v>
          </cell>
          <cell r="H2245" t="str">
            <v>3602</v>
          </cell>
          <cell r="I2245" t="str">
            <v>德国</v>
          </cell>
          <cell r="J2245" t="str">
            <v>Germany</v>
          </cell>
          <cell r="K2245" t="str">
            <v>Local employees</v>
          </cell>
          <cell r="L2245" t="str">
            <v>L3</v>
          </cell>
          <cell r="M2245" t="str">
            <v>ALL</v>
          </cell>
          <cell r="N2245" t="str">
            <v>FLPC(含奖金)</v>
          </cell>
          <cell r="O2245" t="str">
            <v>USD/小时</v>
          </cell>
          <cell r="P2245">
            <v>124.1</v>
          </cell>
        </row>
        <row r="2246">
          <cell r="A2246" t="str">
            <v>Germany - Local employees - L4</v>
          </cell>
          <cell r="B2246" t="str">
            <v>Current version</v>
          </cell>
          <cell r="C2246" t="str">
            <v>V2009R2</v>
          </cell>
          <cell r="D2246" t="str">
            <v>Labor Rate</v>
          </cell>
          <cell r="E2246" t="str">
            <v>EU</v>
          </cell>
          <cell r="F2246" t="str">
            <v>West European Sub-Regional Division</v>
          </cell>
          <cell r="G2246" t="str">
            <v>Germany</v>
          </cell>
          <cell r="H2246" t="str">
            <v>3602</v>
          </cell>
          <cell r="I2246" t="str">
            <v>德国</v>
          </cell>
          <cell r="J2246" t="str">
            <v>Germany</v>
          </cell>
          <cell r="K2246" t="str">
            <v>Local employees</v>
          </cell>
          <cell r="L2246" t="str">
            <v>L4</v>
          </cell>
          <cell r="M2246" t="str">
            <v>ALL</v>
          </cell>
          <cell r="N2246" t="str">
            <v>FLPC(含奖金)</v>
          </cell>
          <cell r="O2246" t="str">
            <v>USD/小时</v>
          </cell>
          <cell r="P2246">
            <v>193.29</v>
          </cell>
        </row>
        <row r="2247">
          <cell r="A2247" t="str">
            <v>France - Local employees - L0</v>
          </cell>
          <cell r="B2247" t="str">
            <v>Current version</v>
          </cell>
          <cell r="C2247" t="str">
            <v>V2009R2</v>
          </cell>
          <cell r="D2247" t="str">
            <v>Labor Rate</v>
          </cell>
          <cell r="E2247" t="str">
            <v>EU</v>
          </cell>
          <cell r="F2247" t="str">
            <v>West European Sub-Regional Division</v>
          </cell>
          <cell r="G2247" t="str">
            <v>France</v>
          </cell>
          <cell r="H2247" t="str">
            <v>3604</v>
          </cell>
          <cell r="I2247" t="str">
            <v>法国</v>
          </cell>
          <cell r="J2247" t="str">
            <v>France</v>
          </cell>
          <cell r="K2247" t="str">
            <v>Local employees</v>
          </cell>
          <cell r="L2247" t="str">
            <v>L0</v>
          </cell>
          <cell r="M2247" t="str">
            <v>ALL</v>
          </cell>
          <cell r="N2247" t="str">
            <v>FLPC(含奖金)</v>
          </cell>
          <cell r="O2247" t="str">
            <v>USD/小时</v>
          </cell>
          <cell r="P2247">
            <v>64.97</v>
          </cell>
        </row>
        <row r="2248">
          <cell r="A2248" t="str">
            <v>France - Local employees - L1</v>
          </cell>
          <cell r="B2248" t="str">
            <v>Current version</v>
          </cell>
          <cell r="C2248" t="str">
            <v>V2009R2</v>
          </cell>
          <cell r="D2248" t="str">
            <v>Labor Rate</v>
          </cell>
          <cell r="E2248" t="str">
            <v>EU</v>
          </cell>
          <cell r="F2248" t="str">
            <v>West European Sub-Regional Division</v>
          </cell>
          <cell r="G2248" t="str">
            <v>France</v>
          </cell>
          <cell r="H2248" t="str">
            <v>3604</v>
          </cell>
          <cell r="I2248" t="str">
            <v>法国</v>
          </cell>
          <cell r="J2248" t="str">
            <v>France</v>
          </cell>
          <cell r="K2248" t="str">
            <v>Local employees</v>
          </cell>
          <cell r="L2248" t="str">
            <v>L1</v>
          </cell>
          <cell r="M2248" t="str">
            <v>ALL</v>
          </cell>
          <cell r="N2248" t="str">
            <v>FLPC(含奖金)</v>
          </cell>
          <cell r="O2248" t="str">
            <v>USD/小时</v>
          </cell>
          <cell r="P2248">
            <v>83.06</v>
          </cell>
        </row>
        <row r="2249">
          <cell r="A2249" t="str">
            <v>France - Local employees - L2</v>
          </cell>
          <cell r="B2249" t="str">
            <v>Current version</v>
          </cell>
          <cell r="C2249" t="str">
            <v>V2009R2</v>
          </cell>
          <cell r="D2249" t="str">
            <v>Labor Rate</v>
          </cell>
          <cell r="E2249" t="str">
            <v>EU</v>
          </cell>
          <cell r="F2249" t="str">
            <v>West European Sub-Regional Division</v>
          </cell>
          <cell r="G2249" t="str">
            <v>France</v>
          </cell>
          <cell r="H2249" t="str">
            <v>3604</v>
          </cell>
          <cell r="I2249" t="str">
            <v>法国</v>
          </cell>
          <cell r="J2249" t="str">
            <v>France</v>
          </cell>
          <cell r="K2249" t="str">
            <v>Local employees</v>
          </cell>
          <cell r="L2249" t="str">
            <v>L2</v>
          </cell>
          <cell r="M2249" t="str">
            <v>ALL</v>
          </cell>
          <cell r="N2249" t="str">
            <v>FLPC(含奖金)</v>
          </cell>
          <cell r="O2249" t="str">
            <v>USD/小时</v>
          </cell>
          <cell r="P2249">
            <v>113.71</v>
          </cell>
        </row>
        <row r="2250">
          <cell r="A2250" t="str">
            <v>France - Local employees - L3</v>
          </cell>
          <cell r="B2250" t="str">
            <v>Current version</v>
          </cell>
          <cell r="C2250" t="str">
            <v>V2009R2</v>
          </cell>
          <cell r="D2250" t="str">
            <v>Labor Rate</v>
          </cell>
          <cell r="E2250" t="str">
            <v>EU</v>
          </cell>
          <cell r="F2250" t="str">
            <v>West European Sub-Regional Division</v>
          </cell>
          <cell r="G2250" t="str">
            <v>France</v>
          </cell>
          <cell r="H2250" t="str">
            <v>3604</v>
          </cell>
          <cell r="I2250" t="str">
            <v>法国</v>
          </cell>
          <cell r="J2250" t="str">
            <v>France</v>
          </cell>
          <cell r="K2250" t="str">
            <v>Local employees</v>
          </cell>
          <cell r="L2250" t="str">
            <v>L3</v>
          </cell>
          <cell r="M2250" t="str">
            <v>ALL</v>
          </cell>
          <cell r="N2250" t="str">
            <v>FLPC(含奖金)</v>
          </cell>
          <cell r="O2250" t="str">
            <v>USD/小时</v>
          </cell>
          <cell r="P2250">
            <v>159.80000000000001</v>
          </cell>
        </row>
        <row r="2251">
          <cell r="A2251" t="str">
            <v>France - Local employees - L4</v>
          </cell>
          <cell r="B2251" t="str">
            <v>Current version</v>
          </cell>
          <cell r="C2251" t="str">
            <v>V2009R2</v>
          </cell>
          <cell r="D2251" t="str">
            <v>Labor Rate</v>
          </cell>
          <cell r="E2251" t="str">
            <v>EU</v>
          </cell>
          <cell r="F2251" t="str">
            <v>West European Sub-Regional Division</v>
          </cell>
          <cell r="G2251" t="str">
            <v>France</v>
          </cell>
          <cell r="H2251" t="str">
            <v>3604</v>
          </cell>
          <cell r="I2251" t="str">
            <v>法国</v>
          </cell>
          <cell r="J2251" t="str">
            <v>France</v>
          </cell>
          <cell r="K2251" t="str">
            <v>Local employees</v>
          </cell>
          <cell r="L2251" t="str">
            <v>L4</v>
          </cell>
          <cell r="M2251" t="str">
            <v>ALL</v>
          </cell>
          <cell r="N2251" t="str">
            <v>FLPC(含奖金)</v>
          </cell>
          <cell r="O2251" t="str">
            <v>USD/小时</v>
          </cell>
          <cell r="P2251">
            <v>243.3</v>
          </cell>
        </row>
        <row r="2252">
          <cell r="A2252" t="str">
            <v>Latvia - Local employees - L0</v>
          </cell>
          <cell r="B2252" t="str">
            <v>Current version</v>
          </cell>
          <cell r="C2252" t="str">
            <v>V2009R2</v>
          </cell>
          <cell r="D2252" t="str">
            <v>Labor Rate</v>
          </cell>
          <cell r="E2252" t="str">
            <v>EU</v>
          </cell>
          <cell r="F2252" t="str">
            <v>CEE&amp;Nordic European Sub-Regional Division</v>
          </cell>
          <cell r="G2252" t="str">
            <v>Sweden Rep.Office</v>
          </cell>
          <cell r="H2252" t="str">
            <v>3303</v>
          </cell>
          <cell r="I2252" t="str">
            <v>拉脱维亚</v>
          </cell>
          <cell r="J2252" t="str">
            <v>Latvia</v>
          </cell>
          <cell r="K2252" t="str">
            <v>Local employees</v>
          </cell>
          <cell r="L2252" t="str">
            <v>L0</v>
          </cell>
          <cell r="M2252" t="str">
            <v>ALL</v>
          </cell>
          <cell r="N2252" t="str">
            <v>FLPC(含奖金)</v>
          </cell>
          <cell r="O2252" t="str">
            <v>USD/小时</v>
          </cell>
          <cell r="P2252">
            <v>48.56</v>
          </cell>
        </row>
        <row r="2253">
          <cell r="A2253" t="str">
            <v>Latvia - Local employees - L1</v>
          </cell>
          <cell r="B2253" t="str">
            <v>Current version</v>
          </cell>
          <cell r="C2253" t="str">
            <v>V2009R2</v>
          </cell>
          <cell r="D2253" t="str">
            <v>Labor Rate</v>
          </cell>
          <cell r="E2253" t="str">
            <v>EU</v>
          </cell>
          <cell r="F2253" t="str">
            <v>CEE&amp;Nordic European Sub-Regional Division</v>
          </cell>
          <cell r="G2253" t="str">
            <v>Sweden Rep.Office</v>
          </cell>
          <cell r="H2253" t="str">
            <v>3303</v>
          </cell>
          <cell r="I2253" t="str">
            <v>拉脱维亚</v>
          </cell>
          <cell r="J2253" t="str">
            <v>Latvia</v>
          </cell>
          <cell r="K2253" t="str">
            <v>Local employees</v>
          </cell>
          <cell r="L2253" t="str">
            <v>L1</v>
          </cell>
          <cell r="M2253" t="str">
            <v>ALL</v>
          </cell>
          <cell r="N2253" t="str">
            <v>FLPC(含奖金)</v>
          </cell>
          <cell r="O2253" t="str">
            <v>USD/小时</v>
          </cell>
          <cell r="P2253">
            <v>57.72</v>
          </cell>
        </row>
        <row r="2254">
          <cell r="A2254" t="str">
            <v>Latvia - Local employees - L2</v>
          </cell>
          <cell r="B2254" t="str">
            <v>Current version</v>
          </cell>
          <cell r="C2254" t="str">
            <v>V2009R2</v>
          </cell>
          <cell r="D2254" t="str">
            <v>Labor Rate</v>
          </cell>
          <cell r="E2254" t="str">
            <v>EU</v>
          </cell>
          <cell r="F2254" t="str">
            <v>CEE&amp;Nordic European Sub-Regional Division</v>
          </cell>
          <cell r="G2254" t="str">
            <v>Sweden Rep.Office</v>
          </cell>
          <cell r="H2254" t="str">
            <v>3303</v>
          </cell>
          <cell r="I2254" t="str">
            <v>拉脱维亚</v>
          </cell>
          <cell r="J2254" t="str">
            <v>Latvia</v>
          </cell>
          <cell r="K2254" t="str">
            <v>Local employees</v>
          </cell>
          <cell r="L2254" t="str">
            <v>L2</v>
          </cell>
          <cell r="M2254" t="str">
            <v>ALL</v>
          </cell>
          <cell r="N2254" t="str">
            <v>FLPC(含奖金)</v>
          </cell>
          <cell r="O2254" t="str">
            <v>USD/小时</v>
          </cell>
          <cell r="P2254">
            <v>74.75</v>
          </cell>
        </row>
        <row r="2255">
          <cell r="A2255" t="str">
            <v>Latvia - Local employees - L3</v>
          </cell>
          <cell r="B2255" t="str">
            <v>Current version</v>
          </cell>
          <cell r="C2255" t="str">
            <v>V2009R2</v>
          </cell>
          <cell r="D2255" t="str">
            <v>Labor Rate</v>
          </cell>
          <cell r="E2255" t="str">
            <v>EU</v>
          </cell>
          <cell r="F2255" t="str">
            <v>CEE&amp;Nordic European Sub-Regional Division</v>
          </cell>
          <cell r="G2255" t="str">
            <v>Sweden Rep.Office</v>
          </cell>
          <cell r="H2255" t="str">
            <v>3303</v>
          </cell>
          <cell r="I2255" t="str">
            <v>拉脱维亚</v>
          </cell>
          <cell r="J2255" t="str">
            <v>Latvia</v>
          </cell>
          <cell r="K2255" t="str">
            <v>Local employees</v>
          </cell>
          <cell r="L2255" t="str">
            <v>L3</v>
          </cell>
          <cell r="M2255" t="str">
            <v>ALL</v>
          </cell>
          <cell r="N2255" t="str">
            <v>FLPC(含奖金)</v>
          </cell>
          <cell r="O2255" t="str">
            <v>USD/小时</v>
          </cell>
          <cell r="P2255">
            <v>92.81</v>
          </cell>
        </row>
        <row r="2256">
          <cell r="A2256" t="str">
            <v>Lithuania - Local employees - L0</v>
          </cell>
          <cell r="B2256" t="str">
            <v>Current version</v>
          </cell>
          <cell r="C2256" t="str">
            <v>V2009R2</v>
          </cell>
          <cell r="D2256" t="str">
            <v>Labor Rate</v>
          </cell>
          <cell r="E2256" t="str">
            <v>EU</v>
          </cell>
          <cell r="F2256" t="str">
            <v>CEE&amp;Nordic European Sub-Regional Division</v>
          </cell>
          <cell r="G2256" t="str">
            <v>Sweden Rep.Office</v>
          </cell>
          <cell r="H2256" t="str">
            <v>3304</v>
          </cell>
          <cell r="I2256" t="str">
            <v>立陶宛</v>
          </cell>
          <cell r="J2256" t="str">
            <v>Lithuania</v>
          </cell>
          <cell r="K2256" t="str">
            <v>Local employees</v>
          </cell>
          <cell r="L2256" t="str">
            <v>L0</v>
          </cell>
          <cell r="M2256" t="str">
            <v>ALL</v>
          </cell>
          <cell r="N2256" t="str">
            <v>FLPC(含奖金)</v>
          </cell>
          <cell r="O2256" t="str">
            <v>USD/小时</v>
          </cell>
          <cell r="P2256">
            <v>43.82</v>
          </cell>
        </row>
        <row r="2257">
          <cell r="A2257" t="str">
            <v>Lithuania - Local employees - L1</v>
          </cell>
          <cell r="B2257" t="str">
            <v>Current version</v>
          </cell>
          <cell r="C2257" t="str">
            <v>V2009R2</v>
          </cell>
          <cell r="D2257" t="str">
            <v>Labor Rate</v>
          </cell>
          <cell r="E2257" t="str">
            <v>EU</v>
          </cell>
          <cell r="F2257" t="str">
            <v>CEE&amp;Nordic European Sub-Regional Division</v>
          </cell>
          <cell r="G2257" t="str">
            <v>Sweden Rep.Office</v>
          </cell>
          <cell r="H2257" t="str">
            <v>3304</v>
          </cell>
          <cell r="I2257" t="str">
            <v>立陶宛</v>
          </cell>
          <cell r="J2257" t="str">
            <v>Lithuania</v>
          </cell>
          <cell r="K2257" t="str">
            <v>Local employees</v>
          </cell>
          <cell r="L2257" t="str">
            <v>L1</v>
          </cell>
          <cell r="M2257" t="str">
            <v>ALL</v>
          </cell>
          <cell r="N2257" t="str">
            <v>FLPC(含奖金)</v>
          </cell>
          <cell r="O2257" t="str">
            <v>USD/小时</v>
          </cell>
          <cell r="P2257">
            <v>61.67</v>
          </cell>
        </row>
        <row r="2258">
          <cell r="A2258" t="str">
            <v>Lithuania - Local employees - L2</v>
          </cell>
          <cell r="B2258" t="str">
            <v>Current version</v>
          </cell>
          <cell r="C2258" t="str">
            <v>V2009R2</v>
          </cell>
          <cell r="D2258" t="str">
            <v>Labor Rate</v>
          </cell>
          <cell r="E2258" t="str">
            <v>EU</v>
          </cell>
          <cell r="F2258" t="str">
            <v>CEE&amp;Nordic European Sub-Regional Division</v>
          </cell>
          <cell r="G2258" t="str">
            <v>Sweden Rep.Office</v>
          </cell>
          <cell r="H2258" t="str">
            <v>3304</v>
          </cell>
          <cell r="I2258" t="str">
            <v>立陶宛</v>
          </cell>
          <cell r="J2258" t="str">
            <v>Lithuania</v>
          </cell>
          <cell r="K2258" t="str">
            <v>Local employees</v>
          </cell>
          <cell r="L2258" t="str">
            <v>L2</v>
          </cell>
          <cell r="M2258" t="str">
            <v>ALL</v>
          </cell>
          <cell r="N2258" t="str">
            <v>FLPC(含奖金)</v>
          </cell>
          <cell r="O2258" t="str">
            <v>USD/小时</v>
          </cell>
          <cell r="P2258">
            <v>79.63</v>
          </cell>
        </row>
        <row r="2259">
          <cell r="A2259" t="str">
            <v>Lithuania - Local employees - L3</v>
          </cell>
          <cell r="B2259" t="str">
            <v>Current version</v>
          </cell>
          <cell r="C2259" t="str">
            <v>V2009R2</v>
          </cell>
          <cell r="D2259" t="str">
            <v>Labor Rate</v>
          </cell>
          <cell r="E2259" t="str">
            <v>EU</v>
          </cell>
          <cell r="F2259" t="str">
            <v>CEE&amp;Nordic European Sub-Regional Division</v>
          </cell>
          <cell r="G2259" t="str">
            <v>Sweden Rep.Office</v>
          </cell>
          <cell r="H2259" t="str">
            <v>3304</v>
          </cell>
          <cell r="I2259" t="str">
            <v>立陶宛</v>
          </cell>
          <cell r="J2259" t="str">
            <v>Lithuania</v>
          </cell>
          <cell r="K2259" t="str">
            <v>Local employees</v>
          </cell>
          <cell r="L2259" t="str">
            <v>L3</v>
          </cell>
          <cell r="M2259" t="str">
            <v>ALL</v>
          </cell>
          <cell r="N2259" t="str">
            <v>FLPC(含奖金)</v>
          </cell>
          <cell r="O2259" t="str">
            <v>USD/小时</v>
          </cell>
          <cell r="P2259">
            <v>98.62</v>
          </cell>
        </row>
        <row r="2260">
          <cell r="A2260" t="str">
            <v>Esthonian - Local employees - L0</v>
          </cell>
          <cell r="B2260" t="str">
            <v>Current version</v>
          </cell>
          <cell r="C2260" t="str">
            <v>V2009R2</v>
          </cell>
          <cell r="D2260" t="str">
            <v>Labor Rate</v>
          </cell>
          <cell r="E2260" t="str">
            <v>EU</v>
          </cell>
          <cell r="F2260" t="str">
            <v>CEE&amp;Nordic European Sub-Regional Division</v>
          </cell>
          <cell r="G2260" t="str">
            <v>Sweden Rep.Office</v>
          </cell>
          <cell r="H2260" t="str">
            <v>3305</v>
          </cell>
          <cell r="I2260" t="str">
            <v>爱沙尼亚</v>
          </cell>
          <cell r="J2260" t="str">
            <v>Esthonian</v>
          </cell>
          <cell r="K2260" t="str">
            <v>Local employees</v>
          </cell>
          <cell r="L2260" t="str">
            <v>L0</v>
          </cell>
          <cell r="M2260" t="str">
            <v>ALL</v>
          </cell>
          <cell r="N2260" t="str">
            <v>FLPC(含奖金)</v>
          </cell>
          <cell r="O2260" t="str">
            <v>USD/小时</v>
          </cell>
          <cell r="P2260">
            <v>44.01</v>
          </cell>
        </row>
        <row r="2261">
          <cell r="A2261" t="str">
            <v>Esthonian - Local employees - L1</v>
          </cell>
          <cell r="B2261" t="str">
            <v>Current version</v>
          </cell>
          <cell r="C2261" t="str">
            <v>V2009R2</v>
          </cell>
          <cell r="D2261" t="str">
            <v>Labor Rate</v>
          </cell>
          <cell r="E2261" t="str">
            <v>EU</v>
          </cell>
          <cell r="F2261" t="str">
            <v>CEE&amp;Nordic European Sub-Regional Division</v>
          </cell>
          <cell r="G2261" t="str">
            <v>Sweden Rep.Office</v>
          </cell>
          <cell r="H2261" t="str">
            <v>3305</v>
          </cell>
          <cell r="I2261" t="str">
            <v>爱沙尼亚</v>
          </cell>
          <cell r="J2261" t="str">
            <v>Esthonian</v>
          </cell>
          <cell r="K2261" t="str">
            <v>Local employees</v>
          </cell>
          <cell r="L2261" t="str">
            <v>L1</v>
          </cell>
          <cell r="M2261" t="str">
            <v>ALL</v>
          </cell>
          <cell r="N2261" t="str">
            <v>FLPC(含奖金)</v>
          </cell>
          <cell r="O2261" t="str">
            <v>USD/小时</v>
          </cell>
          <cell r="P2261">
            <v>61.93</v>
          </cell>
        </row>
        <row r="2262">
          <cell r="A2262" t="str">
            <v>Esthonian - Local employees - L2</v>
          </cell>
          <cell r="B2262" t="str">
            <v>Current version</v>
          </cell>
          <cell r="C2262" t="str">
            <v>V2009R2</v>
          </cell>
          <cell r="D2262" t="str">
            <v>Labor Rate</v>
          </cell>
          <cell r="E2262" t="str">
            <v>EU</v>
          </cell>
          <cell r="F2262" t="str">
            <v>CEE&amp;Nordic European Sub-Regional Division</v>
          </cell>
          <cell r="G2262" t="str">
            <v>Sweden Rep.Office</v>
          </cell>
          <cell r="H2262" t="str">
            <v>3305</v>
          </cell>
          <cell r="I2262" t="str">
            <v>爱沙尼亚</v>
          </cell>
          <cell r="J2262" t="str">
            <v>Esthonian</v>
          </cell>
          <cell r="K2262" t="str">
            <v>Local employees</v>
          </cell>
          <cell r="L2262" t="str">
            <v>L2</v>
          </cell>
          <cell r="M2262" t="str">
            <v>ALL</v>
          </cell>
          <cell r="N2262" t="str">
            <v>FLPC(含奖金)</v>
          </cell>
          <cell r="O2262" t="str">
            <v>USD/小时</v>
          </cell>
          <cell r="P2262">
            <v>79.959999999999994</v>
          </cell>
        </row>
        <row r="2263">
          <cell r="A2263" t="str">
            <v>Esthonian - Local employees - L3</v>
          </cell>
          <cell r="B2263" t="str">
            <v>Current version</v>
          </cell>
          <cell r="C2263" t="str">
            <v>V2009R2</v>
          </cell>
          <cell r="D2263" t="str">
            <v>Labor Rate</v>
          </cell>
          <cell r="E2263" t="str">
            <v>EU</v>
          </cell>
          <cell r="F2263" t="str">
            <v>CEE&amp;Nordic European Sub-Regional Division</v>
          </cell>
          <cell r="G2263" t="str">
            <v>Sweden Rep.Office</v>
          </cell>
          <cell r="H2263" t="str">
            <v>3305</v>
          </cell>
          <cell r="I2263" t="str">
            <v>爱沙尼亚</v>
          </cell>
          <cell r="J2263" t="str">
            <v>Esthonian</v>
          </cell>
          <cell r="K2263" t="str">
            <v>Local employees</v>
          </cell>
          <cell r="L2263" t="str">
            <v>L3</v>
          </cell>
          <cell r="M2263" t="str">
            <v>ALL</v>
          </cell>
          <cell r="N2263" t="str">
            <v>FLPC(含奖金)</v>
          </cell>
          <cell r="O2263" t="str">
            <v>USD/小时</v>
          </cell>
          <cell r="P2263">
            <v>99.03</v>
          </cell>
        </row>
        <row r="2264">
          <cell r="A2264" t="str">
            <v>Sweden - Local employees - L0</v>
          </cell>
          <cell r="B2264" t="str">
            <v>Current version</v>
          </cell>
          <cell r="C2264" t="str">
            <v>V2009R2</v>
          </cell>
          <cell r="D2264" t="str">
            <v>Labor Rate</v>
          </cell>
          <cell r="E2264" t="str">
            <v>EU</v>
          </cell>
          <cell r="F2264" t="str">
            <v>CEE&amp;Nordic European Sub-Regional Division</v>
          </cell>
          <cell r="G2264" t="str">
            <v>Sweden Rep.Office</v>
          </cell>
          <cell r="H2264" t="str">
            <v>3607</v>
          </cell>
          <cell r="I2264" t="str">
            <v>瑞典</v>
          </cell>
          <cell r="J2264" t="str">
            <v>Sweden</v>
          </cell>
          <cell r="K2264" t="str">
            <v>Local employees</v>
          </cell>
          <cell r="L2264" t="str">
            <v>L0</v>
          </cell>
          <cell r="M2264" t="str">
            <v>ALL</v>
          </cell>
          <cell r="N2264" t="str">
            <v>FLPC(含奖金)</v>
          </cell>
          <cell r="O2264" t="str">
            <v>USD/小时</v>
          </cell>
          <cell r="P2264">
            <v>66.680000000000007</v>
          </cell>
        </row>
        <row r="2265">
          <cell r="A2265" t="str">
            <v>Sweden - Local employees - L1</v>
          </cell>
          <cell r="B2265" t="str">
            <v>Current version</v>
          </cell>
          <cell r="C2265" t="str">
            <v>V2009R2</v>
          </cell>
          <cell r="D2265" t="str">
            <v>Labor Rate</v>
          </cell>
          <cell r="E2265" t="str">
            <v>EU</v>
          </cell>
          <cell r="F2265" t="str">
            <v>CEE&amp;Nordic European Sub-Regional Division</v>
          </cell>
          <cell r="G2265" t="str">
            <v>Sweden Rep.Office</v>
          </cell>
          <cell r="H2265" t="str">
            <v>3607</v>
          </cell>
          <cell r="I2265" t="str">
            <v>瑞典</v>
          </cell>
          <cell r="J2265" t="str">
            <v>Sweden</v>
          </cell>
          <cell r="K2265" t="str">
            <v>Local employees</v>
          </cell>
          <cell r="L2265" t="str">
            <v>L1</v>
          </cell>
          <cell r="M2265" t="str">
            <v>ALL</v>
          </cell>
          <cell r="N2265" t="str">
            <v>FLPC(含奖金)</v>
          </cell>
          <cell r="O2265" t="str">
            <v>USD/小时</v>
          </cell>
          <cell r="P2265">
            <v>77.290000000000006</v>
          </cell>
        </row>
        <row r="2266">
          <cell r="A2266" t="str">
            <v>Sweden - Local employees - L2</v>
          </cell>
          <cell r="B2266" t="str">
            <v>Current version</v>
          </cell>
          <cell r="C2266" t="str">
            <v>V2009R2</v>
          </cell>
          <cell r="D2266" t="str">
            <v>Labor Rate</v>
          </cell>
          <cell r="E2266" t="str">
            <v>EU</v>
          </cell>
          <cell r="F2266" t="str">
            <v>CEE&amp;Nordic European Sub-Regional Division</v>
          </cell>
          <cell r="G2266" t="str">
            <v>Sweden Rep.Office</v>
          </cell>
          <cell r="H2266" t="str">
            <v>3607</v>
          </cell>
          <cell r="I2266" t="str">
            <v>瑞典</v>
          </cell>
          <cell r="J2266" t="str">
            <v>Sweden</v>
          </cell>
          <cell r="K2266" t="str">
            <v>Local employees</v>
          </cell>
          <cell r="L2266" t="str">
            <v>L2</v>
          </cell>
          <cell r="M2266" t="str">
            <v>ALL</v>
          </cell>
          <cell r="N2266" t="str">
            <v>FLPC(含奖金)</v>
          </cell>
          <cell r="O2266" t="str">
            <v>USD/小时</v>
          </cell>
          <cell r="P2266">
            <v>95.37</v>
          </cell>
        </row>
        <row r="2267">
          <cell r="A2267" t="str">
            <v>Sweden - Local employees - L3</v>
          </cell>
          <cell r="B2267" t="str">
            <v>Current version</v>
          </cell>
          <cell r="C2267" t="str">
            <v>V2009R2</v>
          </cell>
          <cell r="D2267" t="str">
            <v>Labor Rate</v>
          </cell>
          <cell r="E2267" t="str">
            <v>EU</v>
          </cell>
          <cell r="F2267" t="str">
            <v>CEE&amp;Nordic European Sub-Regional Division</v>
          </cell>
          <cell r="G2267" t="str">
            <v>Sweden Rep.Office</v>
          </cell>
          <cell r="H2267" t="str">
            <v>3607</v>
          </cell>
          <cell r="I2267" t="str">
            <v>瑞典</v>
          </cell>
          <cell r="J2267" t="str">
            <v>Sweden</v>
          </cell>
          <cell r="K2267" t="str">
            <v>Local employees</v>
          </cell>
          <cell r="L2267" t="str">
            <v>L3</v>
          </cell>
          <cell r="M2267" t="str">
            <v>ALL</v>
          </cell>
          <cell r="N2267" t="str">
            <v>FLPC(含奖金)</v>
          </cell>
          <cell r="O2267" t="str">
            <v>USD/小时</v>
          </cell>
          <cell r="P2267">
            <v>118.27</v>
          </cell>
        </row>
        <row r="2268">
          <cell r="A2268" t="str">
            <v>Sweden - Local employees - L4</v>
          </cell>
          <cell r="B2268" t="str">
            <v>Current version</v>
          </cell>
          <cell r="C2268" t="str">
            <v>V2009R2</v>
          </cell>
          <cell r="D2268" t="str">
            <v>Labor Rate</v>
          </cell>
          <cell r="E2268" t="str">
            <v>EU</v>
          </cell>
          <cell r="F2268" t="str">
            <v>CEE&amp;Nordic European Sub-Regional Division</v>
          </cell>
          <cell r="G2268" t="str">
            <v>Sweden Rep.Office</v>
          </cell>
          <cell r="H2268" t="str">
            <v>3607</v>
          </cell>
          <cell r="I2268" t="str">
            <v>瑞典</v>
          </cell>
          <cell r="J2268" t="str">
            <v>Sweden</v>
          </cell>
          <cell r="K2268" t="str">
            <v>Local employees</v>
          </cell>
          <cell r="L2268" t="str">
            <v>L4</v>
          </cell>
          <cell r="M2268" t="str">
            <v>ALL</v>
          </cell>
          <cell r="N2268" t="str">
            <v>FLPC(含奖金)</v>
          </cell>
          <cell r="O2268" t="str">
            <v>USD/小时</v>
          </cell>
          <cell r="P2268">
            <v>223.38</v>
          </cell>
        </row>
        <row r="2269">
          <cell r="A2269" t="str">
            <v>Finland - Local employees - L0</v>
          </cell>
          <cell r="B2269" t="str">
            <v>Current version</v>
          </cell>
          <cell r="C2269" t="str">
            <v>V2009R2</v>
          </cell>
          <cell r="D2269" t="str">
            <v>Labor Rate</v>
          </cell>
          <cell r="E2269" t="str">
            <v>EU</v>
          </cell>
          <cell r="F2269" t="str">
            <v>CEE&amp;Nordic European Sub-Regional Division</v>
          </cell>
          <cell r="G2269" t="str">
            <v>Sweden Rep.Office</v>
          </cell>
          <cell r="H2269" t="str">
            <v>3611</v>
          </cell>
          <cell r="I2269" t="str">
            <v>芬兰</v>
          </cell>
          <cell r="J2269" t="str">
            <v>Finland</v>
          </cell>
          <cell r="K2269" t="str">
            <v>Local employees</v>
          </cell>
          <cell r="L2269" t="str">
            <v>L0</v>
          </cell>
          <cell r="M2269" t="str">
            <v>ALL</v>
          </cell>
          <cell r="N2269" t="str">
            <v>FLPC(含奖金)</v>
          </cell>
          <cell r="O2269" t="str">
            <v>USD/小时</v>
          </cell>
          <cell r="P2269">
            <v>70.06</v>
          </cell>
        </row>
        <row r="2270">
          <cell r="A2270" t="str">
            <v>Finland - Local employees - L1</v>
          </cell>
          <cell r="B2270" t="str">
            <v>Current version</v>
          </cell>
          <cell r="C2270" t="str">
            <v>V2009R2</v>
          </cell>
          <cell r="D2270" t="str">
            <v>Labor Rate</v>
          </cell>
          <cell r="E2270" t="str">
            <v>EU</v>
          </cell>
          <cell r="F2270" t="str">
            <v>CEE&amp;Nordic European Sub-Regional Division</v>
          </cell>
          <cell r="G2270" t="str">
            <v>Sweden Rep.Office</v>
          </cell>
          <cell r="H2270" t="str">
            <v>3611</v>
          </cell>
          <cell r="I2270" t="str">
            <v>芬兰</v>
          </cell>
          <cell r="J2270" t="str">
            <v>Finland</v>
          </cell>
          <cell r="K2270" t="str">
            <v>Local employees</v>
          </cell>
          <cell r="L2270" t="str">
            <v>L1</v>
          </cell>
          <cell r="M2270" t="str">
            <v>ALL</v>
          </cell>
          <cell r="N2270" t="str">
            <v>FLPC(含奖金)</v>
          </cell>
          <cell r="O2270" t="str">
            <v>USD/小时</v>
          </cell>
          <cell r="P2270">
            <v>79.19</v>
          </cell>
        </row>
        <row r="2271">
          <cell r="A2271" t="str">
            <v>Finland - Local employees - L2</v>
          </cell>
          <cell r="B2271" t="str">
            <v>Current version</v>
          </cell>
          <cell r="C2271" t="str">
            <v>V2009R2</v>
          </cell>
          <cell r="D2271" t="str">
            <v>Labor Rate</v>
          </cell>
          <cell r="E2271" t="str">
            <v>EU</v>
          </cell>
          <cell r="F2271" t="str">
            <v>CEE&amp;Nordic European Sub-Regional Division</v>
          </cell>
          <cell r="G2271" t="str">
            <v>Sweden Rep.Office</v>
          </cell>
          <cell r="H2271" t="str">
            <v>3611</v>
          </cell>
          <cell r="I2271" t="str">
            <v>芬兰</v>
          </cell>
          <cell r="J2271" t="str">
            <v>Finland</v>
          </cell>
          <cell r="K2271" t="str">
            <v>Local employees</v>
          </cell>
          <cell r="L2271" t="str">
            <v>L2</v>
          </cell>
          <cell r="M2271" t="str">
            <v>ALL</v>
          </cell>
          <cell r="N2271" t="str">
            <v>FLPC(含奖金)</v>
          </cell>
          <cell r="O2271" t="str">
            <v>USD/小时</v>
          </cell>
          <cell r="P2271">
            <v>107.61</v>
          </cell>
        </row>
        <row r="2272">
          <cell r="A2272" t="str">
            <v>Finland - Local employees - L3</v>
          </cell>
          <cell r="B2272" t="str">
            <v>Current version</v>
          </cell>
          <cell r="C2272" t="str">
            <v>V2009R2</v>
          </cell>
          <cell r="D2272" t="str">
            <v>Labor Rate</v>
          </cell>
          <cell r="E2272" t="str">
            <v>EU</v>
          </cell>
          <cell r="F2272" t="str">
            <v>CEE&amp;Nordic European Sub-Regional Division</v>
          </cell>
          <cell r="G2272" t="str">
            <v>Sweden Rep.Office</v>
          </cell>
          <cell r="H2272" t="str">
            <v>3611</v>
          </cell>
          <cell r="I2272" t="str">
            <v>芬兰</v>
          </cell>
          <cell r="J2272" t="str">
            <v>Finland</v>
          </cell>
          <cell r="K2272" t="str">
            <v>Local employees</v>
          </cell>
          <cell r="L2272" t="str">
            <v>L3</v>
          </cell>
          <cell r="M2272" t="str">
            <v>ALL</v>
          </cell>
          <cell r="N2272" t="str">
            <v>FLPC(含奖金)</v>
          </cell>
          <cell r="O2272" t="str">
            <v>USD/小时</v>
          </cell>
          <cell r="P2272">
            <v>122.63</v>
          </cell>
        </row>
        <row r="2273">
          <cell r="A2273" t="str">
            <v>Finland - Local employees - L4</v>
          </cell>
          <cell r="B2273" t="str">
            <v>Current version</v>
          </cell>
          <cell r="C2273" t="str">
            <v>V2009R2</v>
          </cell>
          <cell r="D2273" t="str">
            <v>Labor Rate</v>
          </cell>
          <cell r="E2273" t="str">
            <v>EU</v>
          </cell>
          <cell r="F2273" t="str">
            <v>CEE&amp;Nordic European Sub-Regional Division</v>
          </cell>
          <cell r="G2273" t="str">
            <v>Sweden Rep.Office</v>
          </cell>
          <cell r="H2273" t="str">
            <v>3611</v>
          </cell>
          <cell r="I2273" t="str">
            <v>芬兰</v>
          </cell>
          <cell r="J2273" t="str">
            <v>Finland</v>
          </cell>
          <cell r="K2273" t="str">
            <v>Local employees</v>
          </cell>
          <cell r="L2273" t="str">
            <v>L4</v>
          </cell>
          <cell r="M2273" t="str">
            <v>ALL</v>
          </cell>
          <cell r="N2273" t="str">
            <v>FLPC(含奖金)</v>
          </cell>
          <cell r="O2273" t="str">
            <v>USD/小时</v>
          </cell>
          <cell r="P2273">
            <v>190.53</v>
          </cell>
        </row>
        <row r="2274">
          <cell r="A2274" t="str">
            <v>Norway - Local employees - L0</v>
          </cell>
          <cell r="B2274" t="str">
            <v>Current version</v>
          </cell>
          <cell r="C2274" t="str">
            <v>V2009R2</v>
          </cell>
          <cell r="D2274" t="str">
            <v>Labor Rate</v>
          </cell>
          <cell r="E2274" t="str">
            <v>EU</v>
          </cell>
          <cell r="F2274" t="str">
            <v>CEE&amp;Nordic European Sub-Regional Division</v>
          </cell>
          <cell r="G2274" t="str">
            <v>Sweden Rep.Office</v>
          </cell>
          <cell r="H2274" t="str">
            <v>3614</v>
          </cell>
          <cell r="I2274" t="str">
            <v>挪威</v>
          </cell>
          <cell r="J2274" t="str">
            <v>Norway</v>
          </cell>
          <cell r="K2274" t="str">
            <v>Local employees</v>
          </cell>
          <cell r="L2274" t="str">
            <v>L0</v>
          </cell>
          <cell r="M2274" t="str">
            <v>ALL</v>
          </cell>
          <cell r="N2274" t="str">
            <v>FLPC(含奖金)</v>
          </cell>
          <cell r="O2274" t="str">
            <v>USD/小时</v>
          </cell>
          <cell r="P2274">
            <v>72.87</v>
          </cell>
        </row>
        <row r="2275">
          <cell r="A2275" t="str">
            <v>北非地区部总部 - Local employees - L2</v>
          </cell>
          <cell r="B2275" t="str">
            <v>Current version</v>
          </cell>
          <cell r="C2275" t="str">
            <v>V2009R2</v>
          </cell>
          <cell r="D2275" t="str">
            <v>Labor Rate</v>
          </cell>
          <cell r="E2275" t="str">
            <v>MENA</v>
          </cell>
          <cell r="F2275" t="str">
            <v>Northern Africa Sub-Regional Division</v>
          </cell>
          <cell r="G2275" t="str">
            <v>北非地区部总部</v>
          </cell>
          <cell r="H2275" t="str">
            <v>5021</v>
          </cell>
          <cell r="I2275" t="str">
            <v>北非地区部总部</v>
          </cell>
          <cell r="J2275" t="str">
            <v>北非地区部总部</v>
          </cell>
          <cell r="K2275" t="str">
            <v>Local employees</v>
          </cell>
          <cell r="L2275" t="str">
            <v>L2</v>
          </cell>
          <cell r="M2275" t="str">
            <v>ALL</v>
          </cell>
          <cell r="N2275" t="str">
            <v>FLPC(含奖金)</v>
          </cell>
          <cell r="O2275" t="str">
            <v>USD/小时</v>
          </cell>
          <cell r="P2275">
            <v>23.07</v>
          </cell>
        </row>
        <row r="2276">
          <cell r="A2276" t="str">
            <v>北非地区部总部 - Local employees - L3</v>
          </cell>
          <cell r="B2276" t="str">
            <v>Current version</v>
          </cell>
          <cell r="C2276" t="str">
            <v>V2009R2</v>
          </cell>
          <cell r="D2276" t="str">
            <v>Labor Rate</v>
          </cell>
          <cell r="E2276" t="str">
            <v>MENA</v>
          </cell>
          <cell r="F2276" t="str">
            <v>Northern Africa Sub-Regional Division</v>
          </cell>
          <cell r="G2276" t="str">
            <v>北非地区部总部</v>
          </cell>
          <cell r="H2276" t="str">
            <v>5021</v>
          </cell>
          <cell r="I2276" t="str">
            <v>北非地区部总部</v>
          </cell>
          <cell r="J2276" t="str">
            <v>北非地区部总部</v>
          </cell>
          <cell r="K2276" t="str">
            <v>Local employees</v>
          </cell>
          <cell r="L2276" t="str">
            <v>L3</v>
          </cell>
          <cell r="M2276" t="str">
            <v>ALL</v>
          </cell>
          <cell r="N2276" t="str">
            <v>FLPC(含奖金)</v>
          </cell>
          <cell r="O2276" t="str">
            <v>USD/小时</v>
          </cell>
          <cell r="P2276">
            <v>36.130000000000003</v>
          </cell>
        </row>
        <row r="2277">
          <cell r="A2277" t="str">
            <v>北非地区部总部 - Local employees - L4</v>
          </cell>
          <cell r="B2277" t="str">
            <v>Current version</v>
          </cell>
          <cell r="C2277" t="str">
            <v>V2009R2</v>
          </cell>
          <cell r="D2277" t="str">
            <v>Labor Rate</v>
          </cell>
          <cell r="E2277" t="str">
            <v>MENA</v>
          </cell>
          <cell r="F2277" t="str">
            <v>Northern Africa Sub-Regional Division</v>
          </cell>
          <cell r="G2277" t="str">
            <v>北非地区部总部</v>
          </cell>
          <cell r="H2277" t="str">
            <v>5021</v>
          </cell>
          <cell r="I2277" t="str">
            <v>北非地区部总部</v>
          </cell>
          <cell r="J2277" t="str">
            <v>北非地区部总部</v>
          </cell>
          <cell r="K2277" t="str">
            <v>Local employees</v>
          </cell>
          <cell r="L2277" t="str">
            <v>L4</v>
          </cell>
          <cell r="M2277" t="str">
            <v>ALL</v>
          </cell>
          <cell r="N2277" t="str">
            <v>FLPC(含奖金)</v>
          </cell>
          <cell r="O2277" t="str">
            <v>USD/小时</v>
          </cell>
          <cell r="P2277">
            <v>60.89</v>
          </cell>
        </row>
        <row r="2278">
          <cell r="A2278" t="str">
            <v>西北非地区部总部 - Local employees - L0</v>
          </cell>
          <cell r="B2278" t="str">
            <v>Current version</v>
          </cell>
          <cell r="C2278" t="str">
            <v>V2009R2</v>
          </cell>
          <cell r="D2278" t="str">
            <v>Labor Rate</v>
          </cell>
          <cell r="E2278" t="str">
            <v>MENA</v>
          </cell>
          <cell r="F2278" t="str">
            <v>Northern Africa Sub-Regional Division</v>
          </cell>
          <cell r="G2278" t="str">
            <v>西北非地区部总部</v>
          </cell>
          <cell r="H2278" t="str">
            <v>5022</v>
          </cell>
          <cell r="I2278" t="str">
            <v>西北非地区部总部</v>
          </cell>
          <cell r="J2278" t="str">
            <v>西北非地区部总部</v>
          </cell>
          <cell r="K2278" t="str">
            <v>Local employees</v>
          </cell>
          <cell r="L2278" t="str">
            <v>L0</v>
          </cell>
          <cell r="M2278" t="str">
            <v>ALL</v>
          </cell>
          <cell r="N2278" t="str">
            <v>FLPC(含奖金)</v>
          </cell>
          <cell r="O2278" t="str">
            <v>USD/小时</v>
          </cell>
          <cell r="P2278">
            <v>16.88</v>
          </cell>
        </row>
        <row r="2279">
          <cell r="A2279" t="str">
            <v>西北非地区部总部 - Local employees - L1</v>
          </cell>
          <cell r="B2279" t="str">
            <v>Current version</v>
          </cell>
          <cell r="C2279" t="str">
            <v>V2009R2</v>
          </cell>
          <cell r="D2279" t="str">
            <v>Labor Rate</v>
          </cell>
          <cell r="E2279" t="str">
            <v>MENA</v>
          </cell>
          <cell r="F2279" t="str">
            <v>Northern Africa Sub-Regional Division</v>
          </cell>
          <cell r="G2279" t="str">
            <v>西北非地区部总部</v>
          </cell>
          <cell r="H2279" t="str">
            <v>5022</v>
          </cell>
          <cell r="I2279" t="str">
            <v>西北非地区部总部</v>
          </cell>
          <cell r="J2279" t="str">
            <v>西北非地区部总部</v>
          </cell>
          <cell r="K2279" t="str">
            <v>Local employees</v>
          </cell>
          <cell r="L2279" t="str">
            <v>L1</v>
          </cell>
          <cell r="M2279" t="str">
            <v>ALL</v>
          </cell>
          <cell r="N2279" t="str">
            <v>FLPC(含奖金)</v>
          </cell>
          <cell r="O2279" t="str">
            <v>USD/小时</v>
          </cell>
          <cell r="P2279">
            <v>25.89</v>
          </cell>
        </row>
        <row r="2280">
          <cell r="A2280" t="str">
            <v>西北非地区部总部 - Local employees - L2</v>
          </cell>
          <cell r="B2280" t="str">
            <v>Current version</v>
          </cell>
          <cell r="C2280" t="str">
            <v>V2009R2</v>
          </cell>
          <cell r="D2280" t="str">
            <v>Labor Rate</v>
          </cell>
          <cell r="E2280" t="str">
            <v>MENA</v>
          </cell>
          <cell r="F2280" t="str">
            <v>Northern Africa Sub-Regional Division</v>
          </cell>
          <cell r="G2280" t="str">
            <v>西北非地区部总部</v>
          </cell>
          <cell r="H2280" t="str">
            <v>5022</v>
          </cell>
          <cell r="I2280" t="str">
            <v>西北非地区部总部</v>
          </cell>
          <cell r="J2280" t="str">
            <v>西北非地区部总部</v>
          </cell>
          <cell r="K2280" t="str">
            <v>Local employees</v>
          </cell>
          <cell r="L2280" t="str">
            <v>L2</v>
          </cell>
          <cell r="M2280" t="str">
            <v>ALL</v>
          </cell>
          <cell r="N2280" t="str">
            <v>FLPC(含奖金)</v>
          </cell>
          <cell r="O2280" t="str">
            <v>USD/小时</v>
          </cell>
          <cell r="P2280">
            <v>53.15</v>
          </cell>
        </row>
        <row r="2281">
          <cell r="A2281" t="str">
            <v>拉美片区总部 - Local employees - L0</v>
          </cell>
          <cell r="B2281" t="str">
            <v>Current version</v>
          </cell>
          <cell r="C2281" t="str">
            <v>V2009R2</v>
          </cell>
          <cell r="D2281" t="str">
            <v>Labor Rate</v>
          </cell>
          <cell r="E2281" t="str">
            <v>LA</v>
          </cell>
          <cell r="F2281" t="str">
            <v>La Regional Headquarter</v>
          </cell>
          <cell r="G2281" t="str">
            <v>La Regional Headquarter</v>
          </cell>
          <cell r="H2281" t="str">
            <v>6000</v>
          </cell>
          <cell r="I2281" t="str">
            <v>拉美片区总部</v>
          </cell>
          <cell r="J2281" t="str">
            <v>拉美片区总部</v>
          </cell>
          <cell r="K2281" t="str">
            <v>Local employees</v>
          </cell>
          <cell r="L2281" t="str">
            <v>L0</v>
          </cell>
          <cell r="M2281" t="str">
            <v>ALL</v>
          </cell>
          <cell r="N2281" t="str">
            <v>FLPC(含奖金)</v>
          </cell>
          <cell r="O2281" t="str">
            <v>USD/小时</v>
          </cell>
          <cell r="P2281">
            <v>45.5</v>
          </cell>
        </row>
        <row r="2282">
          <cell r="A2282" t="str">
            <v>拉美片区总部 - Local employees - L1</v>
          </cell>
          <cell r="B2282" t="str">
            <v>Current version</v>
          </cell>
          <cell r="C2282" t="str">
            <v>V2009R2</v>
          </cell>
          <cell r="D2282" t="str">
            <v>Labor Rate</v>
          </cell>
          <cell r="E2282" t="str">
            <v>LA</v>
          </cell>
          <cell r="F2282" t="str">
            <v>La Regional Headquarter</v>
          </cell>
          <cell r="G2282" t="str">
            <v>La Regional Headquarter</v>
          </cell>
          <cell r="H2282" t="str">
            <v>6000</v>
          </cell>
          <cell r="I2282" t="str">
            <v>拉美片区总部</v>
          </cell>
          <cell r="J2282" t="str">
            <v>拉美片区总部</v>
          </cell>
          <cell r="K2282" t="str">
            <v>Local employees</v>
          </cell>
          <cell r="L2282" t="str">
            <v>L1</v>
          </cell>
          <cell r="M2282" t="str">
            <v>ALL</v>
          </cell>
          <cell r="N2282" t="str">
            <v>FLPC(含奖金)</v>
          </cell>
          <cell r="O2282" t="str">
            <v>USD/小时</v>
          </cell>
          <cell r="P2282">
            <v>59.5</v>
          </cell>
        </row>
        <row r="2283">
          <cell r="A2283" t="str">
            <v>拉美片区总部 - Local employees - L2</v>
          </cell>
          <cell r="B2283" t="str">
            <v>Current version</v>
          </cell>
          <cell r="C2283" t="str">
            <v>V2009R2</v>
          </cell>
          <cell r="D2283" t="str">
            <v>Labor Rate</v>
          </cell>
          <cell r="E2283" t="str">
            <v>LA</v>
          </cell>
          <cell r="F2283" t="str">
            <v>La Regional Headquarter</v>
          </cell>
          <cell r="G2283" t="str">
            <v>La Regional Headquarter</v>
          </cell>
          <cell r="H2283" t="str">
            <v>6000</v>
          </cell>
          <cell r="I2283" t="str">
            <v>拉美片区总部</v>
          </cell>
          <cell r="J2283" t="str">
            <v>拉美片区总部</v>
          </cell>
          <cell r="K2283" t="str">
            <v>Local employees</v>
          </cell>
          <cell r="L2283" t="str">
            <v>L2</v>
          </cell>
          <cell r="M2283" t="str">
            <v>ALL</v>
          </cell>
          <cell r="N2283" t="str">
            <v>FLPC(含奖金)</v>
          </cell>
          <cell r="O2283" t="str">
            <v>USD/小时</v>
          </cell>
          <cell r="P2283">
            <v>79.63</v>
          </cell>
        </row>
        <row r="2284">
          <cell r="A2284" t="str">
            <v>拉美片区总部 - Local employees - L3</v>
          </cell>
          <cell r="B2284" t="str">
            <v>Current version</v>
          </cell>
          <cell r="C2284" t="str">
            <v>V2009R2</v>
          </cell>
          <cell r="D2284" t="str">
            <v>Labor Rate</v>
          </cell>
          <cell r="E2284" t="str">
            <v>LA</v>
          </cell>
          <cell r="F2284" t="str">
            <v>La Regional Headquarter</v>
          </cell>
          <cell r="G2284" t="str">
            <v>La Regional Headquarter</v>
          </cell>
          <cell r="H2284" t="str">
            <v>6000</v>
          </cell>
          <cell r="I2284" t="str">
            <v>拉美片区总部</v>
          </cell>
          <cell r="J2284" t="str">
            <v>拉美片区总部</v>
          </cell>
          <cell r="K2284" t="str">
            <v>Local employees</v>
          </cell>
          <cell r="L2284" t="str">
            <v>L3</v>
          </cell>
          <cell r="M2284" t="str">
            <v>ALL</v>
          </cell>
          <cell r="N2284" t="str">
            <v>FLPC(含奖金)</v>
          </cell>
          <cell r="O2284" t="str">
            <v>USD/小时</v>
          </cell>
          <cell r="P2284">
            <v>119.01</v>
          </cell>
        </row>
        <row r="2285">
          <cell r="A2285" t="str">
            <v>拉美片区总部 - Local employees - L4</v>
          </cell>
          <cell r="B2285" t="str">
            <v>Current version</v>
          </cell>
          <cell r="C2285" t="str">
            <v>V2009R2</v>
          </cell>
          <cell r="D2285" t="str">
            <v>Labor Rate</v>
          </cell>
          <cell r="E2285" t="str">
            <v>LA</v>
          </cell>
          <cell r="F2285" t="str">
            <v>La Regional Headquarter</v>
          </cell>
          <cell r="G2285" t="str">
            <v>La Regional Headquarter</v>
          </cell>
          <cell r="H2285" t="str">
            <v>6000</v>
          </cell>
          <cell r="I2285" t="str">
            <v>拉美片区总部</v>
          </cell>
          <cell r="J2285" t="str">
            <v>拉美片区总部</v>
          </cell>
          <cell r="K2285" t="str">
            <v>Local employees</v>
          </cell>
          <cell r="L2285" t="str">
            <v>L4</v>
          </cell>
          <cell r="M2285" t="str">
            <v>ALL</v>
          </cell>
          <cell r="N2285" t="str">
            <v>FLPC(含奖金)</v>
          </cell>
          <cell r="O2285" t="str">
            <v>USD/小时</v>
          </cell>
          <cell r="P2285">
            <v>178.63</v>
          </cell>
        </row>
        <row r="2286">
          <cell r="A2286" t="str">
            <v>南美北地区部总部 - Local employees - L0</v>
          </cell>
          <cell r="B2286" t="str">
            <v>Current version</v>
          </cell>
          <cell r="C2286" t="str">
            <v>V2009R2</v>
          </cell>
          <cell r="D2286" t="str">
            <v>Labor Rate</v>
          </cell>
          <cell r="E2286" t="str">
            <v>LA</v>
          </cell>
          <cell r="F2286" t="str">
            <v>Northern South America Sub-Regional Division</v>
          </cell>
          <cell r="G2286" t="str">
            <v>南美北地区部</v>
          </cell>
          <cell r="H2286" t="str">
            <v>6024</v>
          </cell>
          <cell r="I2286" t="str">
            <v>南美北地区部总部</v>
          </cell>
          <cell r="J2286" t="str">
            <v>南美北地区部总部</v>
          </cell>
          <cell r="K2286" t="str">
            <v>Local employees</v>
          </cell>
          <cell r="L2286" t="str">
            <v>L0</v>
          </cell>
          <cell r="M2286" t="str">
            <v>ALL</v>
          </cell>
          <cell r="N2286" t="str">
            <v>FLPC(含奖金)</v>
          </cell>
          <cell r="O2286" t="str">
            <v>USD/小时</v>
          </cell>
          <cell r="P2286">
            <v>38.01</v>
          </cell>
        </row>
        <row r="2287">
          <cell r="A2287" t="str">
            <v>南美北地区部总部 - Local employees - L1</v>
          </cell>
          <cell r="B2287" t="str">
            <v>Current version</v>
          </cell>
          <cell r="C2287" t="str">
            <v>V2009R2</v>
          </cell>
          <cell r="D2287" t="str">
            <v>Labor Rate</v>
          </cell>
          <cell r="E2287" t="str">
            <v>LA</v>
          </cell>
          <cell r="F2287" t="str">
            <v>Northern South America Sub-Regional Division</v>
          </cell>
          <cell r="G2287" t="str">
            <v>南美北地区部</v>
          </cell>
          <cell r="H2287" t="str">
            <v>6024</v>
          </cell>
          <cell r="I2287" t="str">
            <v>南美北地区部总部</v>
          </cell>
          <cell r="J2287" t="str">
            <v>南美北地区部总部</v>
          </cell>
          <cell r="K2287" t="str">
            <v>Local employees</v>
          </cell>
          <cell r="L2287" t="str">
            <v>L1</v>
          </cell>
          <cell r="M2287" t="str">
            <v>ALL</v>
          </cell>
          <cell r="N2287" t="str">
            <v>FLPC(含奖金)</v>
          </cell>
          <cell r="O2287" t="str">
            <v>USD/小时</v>
          </cell>
          <cell r="P2287">
            <v>44.03</v>
          </cell>
        </row>
        <row r="2288">
          <cell r="A2288" t="str">
            <v>南美北地区部总部 - Local employees - L2</v>
          </cell>
          <cell r="B2288" t="str">
            <v>Current version</v>
          </cell>
          <cell r="C2288" t="str">
            <v>V2009R2</v>
          </cell>
          <cell r="D2288" t="str">
            <v>Labor Rate</v>
          </cell>
          <cell r="E2288" t="str">
            <v>LA</v>
          </cell>
          <cell r="F2288" t="str">
            <v>Northern South America Sub-Regional Division</v>
          </cell>
          <cell r="G2288" t="str">
            <v>南美北地区部</v>
          </cell>
          <cell r="H2288" t="str">
            <v>6024</v>
          </cell>
          <cell r="I2288" t="str">
            <v>南美北地区部总部</v>
          </cell>
          <cell r="J2288" t="str">
            <v>南美北地区部总部</v>
          </cell>
          <cell r="K2288" t="str">
            <v>Local employees</v>
          </cell>
          <cell r="L2288" t="str">
            <v>L2</v>
          </cell>
          <cell r="M2288" t="str">
            <v>ALL</v>
          </cell>
          <cell r="N2288" t="str">
            <v>FLPC(含奖金)</v>
          </cell>
          <cell r="O2288" t="str">
            <v>USD/小时</v>
          </cell>
          <cell r="P2288">
            <v>58.56</v>
          </cell>
        </row>
        <row r="2289">
          <cell r="A2289" t="str">
            <v>南美北地区部总部 - Local employees - L3</v>
          </cell>
          <cell r="B2289" t="str">
            <v>Current version</v>
          </cell>
          <cell r="C2289" t="str">
            <v>V2009R2</v>
          </cell>
          <cell r="D2289" t="str">
            <v>Labor Rate</v>
          </cell>
          <cell r="E2289" t="str">
            <v>LA</v>
          </cell>
          <cell r="F2289" t="str">
            <v>Northern South America Sub-Regional Division</v>
          </cell>
          <cell r="G2289" t="str">
            <v>南美北地区部</v>
          </cell>
          <cell r="H2289" t="str">
            <v>6024</v>
          </cell>
          <cell r="I2289" t="str">
            <v>南美北地区部总部</v>
          </cell>
          <cell r="J2289" t="str">
            <v>南美北地区部总部</v>
          </cell>
          <cell r="K2289" t="str">
            <v>Local employees</v>
          </cell>
          <cell r="L2289" t="str">
            <v>L3</v>
          </cell>
          <cell r="M2289" t="str">
            <v>ALL</v>
          </cell>
          <cell r="N2289" t="str">
            <v>FLPC(含奖金)</v>
          </cell>
          <cell r="O2289" t="str">
            <v>USD/小时</v>
          </cell>
          <cell r="P2289">
            <v>87.66</v>
          </cell>
        </row>
        <row r="2290">
          <cell r="A2290" t="str">
            <v>南美北地区部总部 - Local employees - L4</v>
          </cell>
          <cell r="B2290" t="str">
            <v>Current version</v>
          </cell>
          <cell r="C2290" t="str">
            <v>V2009R2</v>
          </cell>
          <cell r="D2290" t="str">
            <v>Labor Rate</v>
          </cell>
          <cell r="E2290" t="str">
            <v>LA</v>
          </cell>
          <cell r="F2290" t="str">
            <v>Northern South America Sub-Regional Division</v>
          </cell>
          <cell r="G2290" t="str">
            <v>南美北地区部</v>
          </cell>
          <cell r="H2290" t="str">
            <v>6024</v>
          </cell>
          <cell r="I2290" t="str">
            <v>南美北地区部总部</v>
          </cell>
          <cell r="J2290" t="str">
            <v>南美北地区部总部</v>
          </cell>
          <cell r="K2290" t="str">
            <v>Local employees</v>
          </cell>
          <cell r="L2290" t="str">
            <v>L4</v>
          </cell>
          <cell r="M2290" t="str">
            <v>ALL</v>
          </cell>
          <cell r="N2290" t="str">
            <v>FLPC(含奖金)</v>
          </cell>
          <cell r="O2290" t="str">
            <v>USD/小时</v>
          </cell>
          <cell r="P2290">
            <v>129.58000000000001</v>
          </cell>
        </row>
        <row r="2291">
          <cell r="A2291" t="str">
            <v>南美南地区部总部 - Local employees - L0</v>
          </cell>
          <cell r="B2291" t="str">
            <v>Current version</v>
          </cell>
          <cell r="C2291" t="str">
            <v>V2009R2</v>
          </cell>
          <cell r="D2291" t="str">
            <v>Labor Rate</v>
          </cell>
          <cell r="E2291" t="str">
            <v>LA</v>
          </cell>
          <cell r="F2291" t="str">
            <v>Southern South America Sub-Regional Division</v>
          </cell>
          <cell r="G2291" t="str">
            <v>南美南地区部总部</v>
          </cell>
          <cell r="H2291" t="str">
            <v>6027</v>
          </cell>
          <cell r="I2291" t="str">
            <v>南美南地区部总部</v>
          </cell>
          <cell r="J2291" t="str">
            <v>南美南地区部总部</v>
          </cell>
          <cell r="K2291" t="str">
            <v>Local employees</v>
          </cell>
          <cell r="L2291" t="str">
            <v>L0</v>
          </cell>
          <cell r="M2291" t="str">
            <v>ALL</v>
          </cell>
          <cell r="N2291" t="str">
            <v>FLPC(含奖金)</v>
          </cell>
          <cell r="O2291" t="str">
            <v>USD/小时</v>
          </cell>
          <cell r="P2291">
            <v>45.5</v>
          </cell>
        </row>
        <row r="2292">
          <cell r="A2292" t="str">
            <v>南美南地区部总部 - Local employees - L1</v>
          </cell>
          <cell r="B2292" t="str">
            <v>Current version</v>
          </cell>
          <cell r="C2292" t="str">
            <v>V2009R2</v>
          </cell>
          <cell r="D2292" t="str">
            <v>Labor Rate</v>
          </cell>
          <cell r="E2292" t="str">
            <v>LA</v>
          </cell>
          <cell r="F2292" t="str">
            <v>Southern South America Sub-Regional Division</v>
          </cell>
          <cell r="G2292" t="str">
            <v>南美南地区部总部</v>
          </cell>
          <cell r="H2292" t="str">
            <v>6027</v>
          </cell>
          <cell r="I2292" t="str">
            <v>南美南地区部总部</v>
          </cell>
          <cell r="J2292" t="str">
            <v>南美南地区部总部</v>
          </cell>
          <cell r="K2292" t="str">
            <v>Local employees</v>
          </cell>
          <cell r="L2292" t="str">
            <v>L1</v>
          </cell>
          <cell r="M2292" t="str">
            <v>ALL</v>
          </cell>
          <cell r="N2292" t="str">
            <v>FLPC(含奖金)</v>
          </cell>
          <cell r="O2292" t="str">
            <v>USD/小时</v>
          </cell>
          <cell r="P2292">
            <v>59.5</v>
          </cell>
        </row>
        <row r="2293">
          <cell r="A2293" t="str">
            <v>南美南地区部总部 - Local employees - L2</v>
          </cell>
          <cell r="B2293" t="str">
            <v>Current version</v>
          </cell>
          <cell r="C2293" t="str">
            <v>V2009R2</v>
          </cell>
          <cell r="D2293" t="str">
            <v>Labor Rate</v>
          </cell>
          <cell r="E2293" t="str">
            <v>LA</v>
          </cell>
          <cell r="F2293" t="str">
            <v>Southern South America Sub-Regional Division</v>
          </cell>
          <cell r="G2293" t="str">
            <v>南美南地区部总部</v>
          </cell>
          <cell r="H2293" t="str">
            <v>6027</v>
          </cell>
          <cell r="I2293" t="str">
            <v>南美南地区部总部</v>
          </cell>
          <cell r="J2293" t="str">
            <v>南美南地区部总部</v>
          </cell>
          <cell r="K2293" t="str">
            <v>Local employees</v>
          </cell>
          <cell r="L2293" t="str">
            <v>L2</v>
          </cell>
          <cell r="M2293" t="str">
            <v>ALL</v>
          </cell>
          <cell r="N2293" t="str">
            <v>FLPC(含奖金)</v>
          </cell>
          <cell r="O2293" t="str">
            <v>USD/小时</v>
          </cell>
          <cell r="P2293">
            <v>79.63</v>
          </cell>
        </row>
        <row r="2294">
          <cell r="A2294" t="str">
            <v>南美南地区部总部 - Local employees - L3</v>
          </cell>
          <cell r="B2294" t="str">
            <v>Current version</v>
          </cell>
          <cell r="C2294" t="str">
            <v>V2009R2</v>
          </cell>
          <cell r="D2294" t="str">
            <v>Labor Rate</v>
          </cell>
          <cell r="E2294" t="str">
            <v>LA</v>
          </cell>
          <cell r="F2294" t="str">
            <v>Southern South America Sub-Regional Division</v>
          </cell>
          <cell r="G2294" t="str">
            <v>南美南地区部总部</v>
          </cell>
          <cell r="H2294" t="str">
            <v>6027</v>
          </cell>
          <cell r="I2294" t="str">
            <v>南美南地区部总部</v>
          </cell>
          <cell r="J2294" t="str">
            <v>南美南地区部总部</v>
          </cell>
          <cell r="K2294" t="str">
            <v>Local employees</v>
          </cell>
          <cell r="L2294" t="str">
            <v>L3</v>
          </cell>
          <cell r="M2294" t="str">
            <v>ALL</v>
          </cell>
          <cell r="N2294" t="str">
            <v>FLPC(含奖金)</v>
          </cell>
          <cell r="O2294" t="str">
            <v>USD/小时</v>
          </cell>
          <cell r="P2294">
            <v>119.01</v>
          </cell>
        </row>
        <row r="2295">
          <cell r="A2295" t="str">
            <v>南美南地区部总部 - Local employees - L4</v>
          </cell>
          <cell r="B2295" t="str">
            <v>Current version</v>
          </cell>
          <cell r="C2295" t="str">
            <v>V2009R2</v>
          </cell>
          <cell r="D2295" t="str">
            <v>Labor Rate</v>
          </cell>
          <cell r="E2295" t="str">
            <v>LA</v>
          </cell>
          <cell r="F2295" t="str">
            <v>Southern South America Sub-Regional Division</v>
          </cell>
          <cell r="G2295" t="str">
            <v>南美南地区部总部</v>
          </cell>
          <cell r="H2295" t="str">
            <v>6027</v>
          </cell>
          <cell r="I2295" t="str">
            <v>南美南地区部总部</v>
          </cell>
          <cell r="J2295" t="str">
            <v>南美南地区部总部</v>
          </cell>
          <cell r="K2295" t="str">
            <v>Local employees</v>
          </cell>
          <cell r="L2295" t="str">
            <v>L4</v>
          </cell>
          <cell r="M2295" t="str">
            <v>ALL</v>
          </cell>
          <cell r="N2295" t="str">
            <v>FLPC(含奖金)</v>
          </cell>
          <cell r="O2295" t="str">
            <v>USD/小时</v>
          </cell>
          <cell r="P2295">
            <v>178.63</v>
          </cell>
        </row>
        <row r="2296">
          <cell r="A2296" t="str">
            <v>北美总部 - Local employees - L0</v>
          </cell>
          <cell r="B2296" t="str">
            <v>Current version</v>
          </cell>
          <cell r="C2296" t="str">
            <v>V2009R2</v>
          </cell>
          <cell r="D2296" t="str">
            <v>Labor Rate</v>
          </cell>
          <cell r="E2296" t="str">
            <v>USA Rep.O.</v>
          </cell>
          <cell r="F2296" t="str">
            <v>N.A. Regional Headquarter</v>
          </cell>
          <cell r="G2296" t="str">
            <v>N.A. Regional Headquarter</v>
          </cell>
          <cell r="H2296" t="str">
            <v>7000</v>
          </cell>
          <cell r="I2296" t="str">
            <v>北美总部</v>
          </cell>
          <cell r="J2296" t="str">
            <v>北美总部</v>
          </cell>
          <cell r="K2296" t="str">
            <v>Local employees</v>
          </cell>
          <cell r="L2296" t="str">
            <v>L0</v>
          </cell>
          <cell r="M2296" t="str">
            <v>ALL</v>
          </cell>
          <cell r="N2296" t="str">
            <v>FLPC(含奖金)</v>
          </cell>
          <cell r="O2296" t="str">
            <v>USD/小时</v>
          </cell>
          <cell r="P2296">
            <v>67.53</v>
          </cell>
        </row>
        <row r="2297">
          <cell r="A2297" t="str">
            <v>北美总部 - Local employees - L1</v>
          </cell>
          <cell r="B2297" t="str">
            <v>Current version</v>
          </cell>
          <cell r="C2297" t="str">
            <v>V2009R2</v>
          </cell>
          <cell r="D2297" t="str">
            <v>Labor Rate</v>
          </cell>
          <cell r="E2297" t="str">
            <v>USA Rep.O.</v>
          </cell>
          <cell r="F2297" t="str">
            <v>N.A. Regional Headquarter</v>
          </cell>
          <cell r="G2297" t="str">
            <v>N.A. Regional Headquarter</v>
          </cell>
          <cell r="H2297" t="str">
            <v>7000</v>
          </cell>
          <cell r="I2297" t="str">
            <v>北美总部</v>
          </cell>
          <cell r="J2297" t="str">
            <v>北美总部</v>
          </cell>
          <cell r="K2297" t="str">
            <v>Local employees</v>
          </cell>
          <cell r="L2297" t="str">
            <v>L1</v>
          </cell>
          <cell r="M2297" t="str">
            <v>ALL</v>
          </cell>
          <cell r="N2297" t="str">
            <v>FLPC(含奖金)</v>
          </cell>
          <cell r="O2297" t="str">
            <v>USD/小时</v>
          </cell>
          <cell r="P2297">
            <v>76.739999999999995</v>
          </cell>
        </row>
        <row r="2298">
          <cell r="A2298" t="str">
            <v>北美总部 - Local employees - L2</v>
          </cell>
          <cell r="B2298" t="str">
            <v>Current version</v>
          </cell>
          <cell r="C2298" t="str">
            <v>V2009R2</v>
          </cell>
          <cell r="D2298" t="str">
            <v>Labor Rate</v>
          </cell>
          <cell r="E2298" t="str">
            <v>USA Rep.O.</v>
          </cell>
          <cell r="F2298" t="str">
            <v>N.A. Regional Headquarter</v>
          </cell>
          <cell r="G2298" t="str">
            <v>N.A. Regional Headquarter</v>
          </cell>
          <cell r="H2298" t="str">
            <v>7000</v>
          </cell>
          <cell r="I2298" t="str">
            <v>北美总部</v>
          </cell>
          <cell r="J2298" t="str">
            <v>北美总部</v>
          </cell>
          <cell r="K2298" t="str">
            <v>Local employees</v>
          </cell>
          <cell r="L2298" t="str">
            <v>L2</v>
          </cell>
          <cell r="M2298" t="str">
            <v>ALL</v>
          </cell>
          <cell r="N2298" t="str">
            <v>FLPC(含奖金)</v>
          </cell>
          <cell r="O2298" t="str">
            <v>USD/小时</v>
          </cell>
          <cell r="P2298">
            <v>97.04</v>
          </cell>
        </row>
        <row r="2299">
          <cell r="A2299" t="str">
            <v>北美总部 - Local employees - L3</v>
          </cell>
          <cell r="B2299" t="str">
            <v>Current version</v>
          </cell>
          <cell r="C2299" t="str">
            <v>V2009R2</v>
          </cell>
          <cell r="D2299" t="str">
            <v>Labor Rate</v>
          </cell>
          <cell r="E2299" t="str">
            <v>USA Rep.O.</v>
          </cell>
          <cell r="F2299" t="str">
            <v>N.A. Regional Headquarter</v>
          </cell>
          <cell r="G2299" t="str">
            <v>N.A. Regional Headquarter</v>
          </cell>
          <cell r="H2299" t="str">
            <v>7000</v>
          </cell>
          <cell r="I2299" t="str">
            <v>北美总部</v>
          </cell>
          <cell r="J2299" t="str">
            <v>北美总部</v>
          </cell>
          <cell r="K2299" t="str">
            <v>Local employees</v>
          </cell>
          <cell r="L2299" t="str">
            <v>L3</v>
          </cell>
          <cell r="M2299" t="str">
            <v>ALL</v>
          </cell>
          <cell r="N2299" t="str">
            <v>FLPC(含奖金)</v>
          </cell>
          <cell r="O2299" t="str">
            <v>USD/小时</v>
          </cell>
          <cell r="P2299">
            <v>130.58000000000001</v>
          </cell>
        </row>
        <row r="2300">
          <cell r="A2300" t="str">
            <v>北美总部 - Local employees - L4</v>
          </cell>
          <cell r="B2300" t="str">
            <v>Current version</v>
          </cell>
          <cell r="C2300" t="str">
            <v>V2009R2</v>
          </cell>
          <cell r="D2300" t="str">
            <v>Labor Rate</v>
          </cell>
          <cell r="E2300" t="str">
            <v>USA Rep.O.</v>
          </cell>
          <cell r="F2300" t="str">
            <v>N.A. Regional Headquarter</v>
          </cell>
          <cell r="G2300" t="str">
            <v>N.A. Regional Headquarter</v>
          </cell>
          <cell r="H2300" t="str">
            <v>7000</v>
          </cell>
          <cell r="I2300" t="str">
            <v>北美总部</v>
          </cell>
          <cell r="J2300" t="str">
            <v>北美总部</v>
          </cell>
          <cell r="K2300" t="str">
            <v>Local employees</v>
          </cell>
          <cell r="L2300" t="str">
            <v>L4</v>
          </cell>
          <cell r="M2300" t="str">
            <v>ALL</v>
          </cell>
          <cell r="N2300" t="str">
            <v>FLPC(含奖金)</v>
          </cell>
          <cell r="O2300" t="str">
            <v>USD/小时</v>
          </cell>
          <cell r="P2300">
            <v>176.88</v>
          </cell>
        </row>
        <row r="2301">
          <cell r="A2301" t="str">
            <v>北欧地区部总部 - Local employees - L0</v>
          </cell>
          <cell r="B2301" t="str">
            <v>Current version</v>
          </cell>
          <cell r="C2301" t="str">
            <v>V2009R2</v>
          </cell>
          <cell r="D2301" t="str">
            <v>Labor Rate</v>
          </cell>
          <cell r="E2301" t="str">
            <v>EU</v>
          </cell>
          <cell r="F2301" t="str">
            <v>CEE&amp;Nordic European Sub-Regional Division</v>
          </cell>
          <cell r="G2301" t="str">
            <v>北欧地区部总部</v>
          </cell>
          <cell r="H2301" t="str">
            <v>3618</v>
          </cell>
          <cell r="I2301" t="str">
            <v>北欧地区部总部</v>
          </cell>
          <cell r="J2301" t="str">
            <v>北欧地区部总部</v>
          </cell>
          <cell r="K2301" t="str">
            <v>Local employees</v>
          </cell>
          <cell r="L2301" t="str">
            <v>L0</v>
          </cell>
          <cell r="M2301" t="str">
            <v>ALL</v>
          </cell>
          <cell r="N2301" t="str">
            <v>FLPC(含奖金)</v>
          </cell>
          <cell r="O2301" t="str">
            <v>USD/小时</v>
          </cell>
          <cell r="P2301">
            <v>38.18</v>
          </cell>
        </row>
        <row r="2302">
          <cell r="A2302" t="str">
            <v>北欧地区部总部 - Local employees - L1</v>
          </cell>
          <cell r="B2302" t="str">
            <v>Current version</v>
          </cell>
          <cell r="C2302" t="str">
            <v>V2009R2</v>
          </cell>
          <cell r="D2302" t="str">
            <v>Labor Rate</v>
          </cell>
          <cell r="E2302" t="str">
            <v>EU</v>
          </cell>
          <cell r="F2302" t="str">
            <v>CEE&amp;Nordic European Sub-Regional Division</v>
          </cell>
          <cell r="G2302" t="str">
            <v>北欧地区部总部</v>
          </cell>
          <cell r="H2302" t="str">
            <v>3618</v>
          </cell>
          <cell r="I2302" t="str">
            <v>北欧地区部总部</v>
          </cell>
          <cell r="J2302" t="str">
            <v>北欧地区部总部</v>
          </cell>
          <cell r="K2302" t="str">
            <v>Local employees</v>
          </cell>
          <cell r="L2302" t="str">
            <v>L1</v>
          </cell>
          <cell r="M2302" t="str">
            <v>ALL</v>
          </cell>
          <cell r="N2302" t="str">
            <v>FLPC(含奖金)</v>
          </cell>
          <cell r="O2302" t="str">
            <v>USD/小时</v>
          </cell>
          <cell r="P2302">
            <v>52.4</v>
          </cell>
        </row>
        <row r="2303">
          <cell r="A2303" t="str">
            <v>北欧地区部总部 - Local employees - L2</v>
          </cell>
          <cell r="B2303" t="str">
            <v>Current version</v>
          </cell>
          <cell r="C2303" t="str">
            <v>V2009R2</v>
          </cell>
          <cell r="D2303" t="str">
            <v>Labor Rate</v>
          </cell>
          <cell r="E2303" t="str">
            <v>EU</v>
          </cell>
          <cell r="F2303" t="str">
            <v>CEE&amp;Nordic European Sub-Regional Division</v>
          </cell>
          <cell r="G2303" t="str">
            <v>北欧地区部总部</v>
          </cell>
          <cell r="H2303" t="str">
            <v>3618</v>
          </cell>
          <cell r="I2303" t="str">
            <v>北欧地区部总部</v>
          </cell>
          <cell r="J2303" t="str">
            <v>北欧地区部总部</v>
          </cell>
          <cell r="K2303" t="str">
            <v>Local employees</v>
          </cell>
          <cell r="L2303" t="str">
            <v>L2</v>
          </cell>
          <cell r="M2303" t="str">
            <v>ALL</v>
          </cell>
          <cell r="N2303" t="str">
            <v>FLPC(含奖金)</v>
          </cell>
          <cell r="O2303" t="str">
            <v>USD/小时</v>
          </cell>
          <cell r="P2303">
            <v>72.260000000000005</v>
          </cell>
        </row>
        <row r="2304">
          <cell r="A2304" t="str">
            <v>北欧地区部总部 - Local employees - L3</v>
          </cell>
          <cell r="B2304" t="str">
            <v>Current version</v>
          </cell>
          <cell r="C2304" t="str">
            <v>V2009R2</v>
          </cell>
          <cell r="D2304" t="str">
            <v>Labor Rate</v>
          </cell>
          <cell r="E2304" t="str">
            <v>EU</v>
          </cell>
          <cell r="F2304" t="str">
            <v>CEE&amp;Nordic European Sub-Regional Division</v>
          </cell>
          <cell r="G2304" t="str">
            <v>北欧地区部总部</v>
          </cell>
          <cell r="H2304" t="str">
            <v>3618</v>
          </cell>
          <cell r="I2304" t="str">
            <v>北欧地区部总部</v>
          </cell>
          <cell r="J2304" t="str">
            <v>北欧地区部总部</v>
          </cell>
          <cell r="K2304" t="str">
            <v>Local employees</v>
          </cell>
          <cell r="L2304" t="str">
            <v>L3</v>
          </cell>
          <cell r="M2304" t="str">
            <v>ALL</v>
          </cell>
          <cell r="N2304" t="str">
            <v>FLPC(含奖金)</v>
          </cell>
          <cell r="O2304" t="str">
            <v>USD/小时</v>
          </cell>
          <cell r="P2304">
            <v>94.07</v>
          </cell>
        </row>
        <row r="2305">
          <cell r="A2305" t="str">
            <v>欧洲片区总部 - Local employees - L0</v>
          </cell>
          <cell r="B2305" t="str">
            <v>Current version</v>
          </cell>
          <cell r="C2305" t="str">
            <v>V2009R2</v>
          </cell>
          <cell r="D2305" t="str">
            <v>Labor Rate</v>
          </cell>
          <cell r="E2305" t="str">
            <v>EU</v>
          </cell>
          <cell r="F2305" t="str">
            <v>Europe Regional Headquarter</v>
          </cell>
          <cell r="G2305" t="str">
            <v>Europe Regional Headquarter</v>
          </cell>
          <cell r="H2305" t="str">
            <v>3600</v>
          </cell>
          <cell r="I2305" t="str">
            <v>欧洲片区总部</v>
          </cell>
          <cell r="J2305" t="str">
            <v>欧洲片区总部</v>
          </cell>
          <cell r="K2305" t="str">
            <v>Local employees</v>
          </cell>
          <cell r="L2305" t="str">
            <v>L0</v>
          </cell>
          <cell r="M2305" t="str">
            <v>ALL</v>
          </cell>
          <cell r="N2305" t="str">
            <v>FLPC(含奖金)</v>
          </cell>
          <cell r="O2305" t="str">
            <v>USD/小时</v>
          </cell>
          <cell r="P2305">
            <v>63.18</v>
          </cell>
        </row>
        <row r="2306">
          <cell r="A2306" t="str">
            <v>欧洲片区总部 - Local employees - L1</v>
          </cell>
          <cell r="B2306" t="str">
            <v>Current version</v>
          </cell>
          <cell r="C2306" t="str">
            <v>V2009R2</v>
          </cell>
          <cell r="D2306" t="str">
            <v>Labor Rate</v>
          </cell>
          <cell r="E2306" t="str">
            <v>EU</v>
          </cell>
          <cell r="F2306" t="str">
            <v>Europe Regional Headquarter</v>
          </cell>
          <cell r="G2306" t="str">
            <v>Europe Regional Headquarter</v>
          </cell>
          <cell r="H2306" t="str">
            <v>3600</v>
          </cell>
          <cell r="I2306" t="str">
            <v>欧洲片区总部</v>
          </cell>
          <cell r="J2306" t="str">
            <v>欧洲片区总部</v>
          </cell>
          <cell r="K2306" t="str">
            <v>Local employees</v>
          </cell>
          <cell r="L2306" t="str">
            <v>L1</v>
          </cell>
          <cell r="M2306" t="str">
            <v>ALL</v>
          </cell>
          <cell r="N2306" t="str">
            <v>FLPC(含奖金)</v>
          </cell>
          <cell r="O2306" t="str">
            <v>USD/小时</v>
          </cell>
          <cell r="P2306">
            <v>79.72</v>
          </cell>
        </row>
        <row r="2307">
          <cell r="A2307" t="str">
            <v>欧洲片区总部 - Local employees - L2</v>
          </cell>
          <cell r="B2307" t="str">
            <v>Current version</v>
          </cell>
          <cell r="C2307" t="str">
            <v>V2009R2</v>
          </cell>
          <cell r="D2307" t="str">
            <v>Labor Rate</v>
          </cell>
          <cell r="E2307" t="str">
            <v>EU</v>
          </cell>
          <cell r="F2307" t="str">
            <v>Europe Regional Headquarter</v>
          </cell>
          <cell r="G2307" t="str">
            <v>Europe Regional Headquarter</v>
          </cell>
          <cell r="H2307" t="str">
            <v>3600</v>
          </cell>
          <cell r="I2307" t="str">
            <v>欧洲片区总部</v>
          </cell>
          <cell r="J2307" t="str">
            <v>欧洲片区总部</v>
          </cell>
          <cell r="K2307" t="str">
            <v>Local employees</v>
          </cell>
          <cell r="L2307" t="str">
            <v>L2</v>
          </cell>
          <cell r="M2307" t="str">
            <v>ALL</v>
          </cell>
          <cell r="N2307" t="str">
            <v>FLPC(含奖金)</v>
          </cell>
          <cell r="O2307" t="str">
            <v>USD/小时</v>
          </cell>
          <cell r="P2307">
            <v>102.66</v>
          </cell>
        </row>
        <row r="2308">
          <cell r="A2308" t="str">
            <v>欧洲片区总部 - Local employees - L3</v>
          </cell>
          <cell r="B2308" t="str">
            <v>Current version</v>
          </cell>
          <cell r="C2308" t="str">
            <v>V2009R2</v>
          </cell>
          <cell r="D2308" t="str">
            <v>Labor Rate</v>
          </cell>
          <cell r="E2308" t="str">
            <v>EU</v>
          </cell>
          <cell r="F2308" t="str">
            <v>Europe Regional Headquarter</v>
          </cell>
          <cell r="G2308" t="str">
            <v>Europe Regional Headquarter</v>
          </cell>
          <cell r="H2308" t="str">
            <v>3600</v>
          </cell>
          <cell r="I2308" t="str">
            <v>欧洲片区总部</v>
          </cell>
          <cell r="J2308" t="str">
            <v>欧洲片区总部</v>
          </cell>
          <cell r="K2308" t="str">
            <v>Local employees</v>
          </cell>
          <cell r="L2308" t="str">
            <v>L3</v>
          </cell>
          <cell r="M2308" t="str">
            <v>ALL</v>
          </cell>
          <cell r="N2308" t="str">
            <v>FLPC(含奖金)</v>
          </cell>
          <cell r="O2308" t="str">
            <v>USD/小时</v>
          </cell>
          <cell r="P2308">
            <v>124.1</v>
          </cell>
        </row>
        <row r="2309">
          <cell r="A2309" t="str">
            <v>欧洲片区总部 - Local employees - L4</v>
          </cell>
          <cell r="B2309" t="str">
            <v>Current version</v>
          </cell>
          <cell r="C2309" t="str">
            <v>V2009R2</v>
          </cell>
          <cell r="D2309" t="str">
            <v>Labor Rate</v>
          </cell>
          <cell r="E2309" t="str">
            <v>EU</v>
          </cell>
          <cell r="F2309" t="str">
            <v>Europe Regional Headquarter</v>
          </cell>
          <cell r="G2309" t="str">
            <v>Europe Regional Headquarter</v>
          </cell>
          <cell r="H2309" t="str">
            <v>3600</v>
          </cell>
          <cell r="I2309" t="str">
            <v>欧洲片区总部</v>
          </cell>
          <cell r="J2309" t="str">
            <v>欧洲片区总部</v>
          </cell>
          <cell r="K2309" t="str">
            <v>Local employees</v>
          </cell>
          <cell r="L2309" t="str">
            <v>L4</v>
          </cell>
          <cell r="M2309" t="str">
            <v>ALL</v>
          </cell>
          <cell r="N2309" t="str">
            <v>FLPC(含奖金)</v>
          </cell>
          <cell r="O2309" t="str">
            <v>USD/小时</v>
          </cell>
          <cell r="P2309">
            <v>193.29</v>
          </cell>
        </row>
        <row r="2310">
          <cell r="A2310" t="str">
            <v>Netherlands - Local employees - L0</v>
          </cell>
          <cell r="B2310" t="str">
            <v>Current version</v>
          </cell>
          <cell r="C2310" t="str">
            <v>V2009R2</v>
          </cell>
          <cell r="D2310" t="str">
            <v>Labor Rate</v>
          </cell>
          <cell r="E2310" t="str">
            <v>EU</v>
          </cell>
          <cell r="F2310" t="str">
            <v>West European Sub-Regional Division</v>
          </cell>
          <cell r="G2310" t="str">
            <v>Holand Rep.Office</v>
          </cell>
          <cell r="H2310" t="str">
            <v>3613</v>
          </cell>
          <cell r="I2310" t="str">
            <v>荷兰</v>
          </cell>
          <cell r="J2310" t="str">
            <v>Netherlands</v>
          </cell>
          <cell r="K2310" t="str">
            <v>Local employees</v>
          </cell>
          <cell r="L2310" t="str">
            <v>L0</v>
          </cell>
          <cell r="M2310" t="str">
            <v>ALL</v>
          </cell>
          <cell r="N2310" t="str">
            <v>FLPC(含奖金)</v>
          </cell>
          <cell r="O2310" t="str">
            <v>USD/小时</v>
          </cell>
          <cell r="P2310">
            <v>71.510000000000005</v>
          </cell>
        </row>
        <row r="2311">
          <cell r="A2311" t="str">
            <v>Norway - Local employees - L1</v>
          </cell>
          <cell r="B2311" t="str">
            <v>Current version</v>
          </cell>
          <cell r="C2311" t="str">
            <v>V2009R2</v>
          </cell>
          <cell r="D2311" t="str">
            <v>Labor Rate</v>
          </cell>
          <cell r="E2311" t="str">
            <v>EU</v>
          </cell>
          <cell r="F2311" t="str">
            <v>CEE&amp;Nordic European Sub-Regional Division</v>
          </cell>
          <cell r="G2311" t="str">
            <v>Sweden Rep.Office</v>
          </cell>
          <cell r="H2311" t="str">
            <v>3614</v>
          </cell>
          <cell r="I2311" t="str">
            <v>挪威</v>
          </cell>
          <cell r="J2311" t="str">
            <v>Norway</v>
          </cell>
          <cell r="K2311" t="str">
            <v>Local employees</v>
          </cell>
          <cell r="L2311" t="str">
            <v>L1</v>
          </cell>
          <cell r="M2311" t="str">
            <v>ALL</v>
          </cell>
          <cell r="N2311" t="str">
            <v>FLPC(含奖金)</v>
          </cell>
          <cell r="O2311" t="str">
            <v>USD/小时</v>
          </cell>
          <cell r="P2311">
            <v>85.41</v>
          </cell>
        </row>
        <row r="2312">
          <cell r="A2312" t="str">
            <v>Norway - Local employees - L2</v>
          </cell>
          <cell r="B2312" t="str">
            <v>Current version</v>
          </cell>
          <cell r="C2312" t="str">
            <v>V2009R2</v>
          </cell>
          <cell r="D2312" t="str">
            <v>Labor Rate</v>
          </cell>
          <cell r="E2312" t="str">
            <v>EU</v>
          </cell>
          <cell r="F2312" t="str">
            <v>CEE&amp;Nordic European Sub-Regional Division</v>
          </cell>
          <cell r="G2312" t="str">
            <v>Sweden Rep.Office</v>
          </cell>
          <cell r="H2312" t="str">
            <v>3614</v>
          </cell>
          <cell r="I2312" t="str">
            <v>挪威</v>
          </cell>
          <cell r="J2312" t="str">
            <v>Norway</v>
          </cell>
          <cell r="K2312" t="str">
            <v>Local employees</v>
          </cell>
          <cell r="L2312" t="str">
            <v>L2</v>
          </cell>
          <cell r="M2312" t="str">
            <v>ALL</v>
          </cell>
          <cell r="N2312" t="str">
            <v>FLPC(含奖金)</v>
          </cell>
          <cell r="O2312" t="str">
            <v>USD/小时</v>
          </cell>
          <cell r="P2312">
            <v>124.24</v>
          </cell>
        </row>
        <row r="2313">
          <cell r="A2313" t="str">
            <v>Norway - Local employees - L3</v>
          </cell>
          <cell r="B2313" t="str">
            <v>Current version</v>
          </cell>
          <cell r="C2313" t="str">
            <v>V2009R2</v>
          </cell>
          <cell r="D2313" t="str">
            <v>Labor Rate</v>
          </cell>
          <cell r="E2313" t="str">
            <v>EU</v>
          </cell>
          <cell r="F2313" t="str">
            <v>CEE&amp;Nordic European Sub-Regional Division</v>
          </cell>
          <cell r="G2313" t="str">
            <v>Sweden Rep.Office</v>
          </cell>
          <cell r="H2313" t="str">
            <v>3614</v>
          </cell>
          <cell r="I2313" t="str">
            <v>挪威</v>
          </cell>
          <cell r="J2313" t="str">
            <v>Norway</v>
          </cell>
          <cell r="K2313" t="str">
            <v>Local employees</v>
          </cell>
          <cell r="L2313" t="str">
            <v>L3</v>
          </cell>
          <cell r="M2313" t="str">
            <v>ALL</v>
          </cell>
          <cell r="N2313" t="str">
            <v>FLPC(含奖金)</v>
          </cell>
          <cell r="O2313" t="str">
            <v>USD/小时</v>
          </cell>
          <cell r="P2313">
            <v>129.81</v>
          </cell>
        </row>
        <row r="2314">
          <cell r="A2314" t="str">
            <v>Norway - Local employees - L4</v>
          </cell>
          <cell r="B2314" t="str">
            <v>Current version</v>
          </cell>
          <cell r="C2314" t="str">
            <v>V2009R2</v>
          </cell>
          <cell r="D2314" t="str">
            <v>Labor Rate</v>
          </cell>
          <cell r="E2314" t="str">
            <v>EU</v>
          </cell>
          <cell r="F2314" t="str">
            <v>CEE&amp;Nordic European Sub-Regional Division</v>
          </cell>
          <cell r="G2314" t="str">
            <v>Sweden Rep.Office</v>
          </cell>
          <cell r="H2314" t="str">
            <v>3614</v>
          </cell>
          <cell r="I2314" t="str">
            <v>挪威</v>
          </cell>
          <cell r="J2314" t="str">
            <v>Norway</v>
          </cell>
          <cell r="K2314" t="str">
            <v>Local employees</v>
          </cell>
          <cell r="L2314" t="str">
            <v>L4</v>
          </cell>
          <cell r="M2314" t="str">
            <v>ALL</v>
          </cell>
          <cell r="N2314" t="str">
            <v>FLPC(含奖金)</v>
          </cell>
          <cell r="O2314" t="str">
            <v>USD/小时</v>
          </cell>
          <cell r="P2314">
            <v>198.62</v>
          </cell>
        </row>
        <row r="2315">
          <cell r="A2315" t="str">
            <v>Iceland - Local employees - L0</v>
          </cell>
          <cell r="B2315" t="str">
            <v>Current version</v>
          </cell>
          <cell r="C2315" t="str">
            <v>V2009R2</v>
          </cell>
          <cell r="D2315" t="str">
            <v>Labor Rate</v>
          </cell>
          <cell r="E2315" t="str">
            <v>EU</v>
          </cell>
          <cell r="F2315" t="str">
            <v>CEE&amp;Nordic European Sub-Regional Division</v>
          </cell>
          <cell r="G2315" t="str">
            <v>Sweden Rep.Office</v>
          </cell>
          <cell r="H2315" t="str">
            <v>3619</v>
          </cell>
          <cell r="I2315" t="str">
            <v>冰岛</v>
          </cell>
          <cell r="J2315" t="str">
            <v>Iceland</v>
          </cell>
          <cell r="K2315" t="str">
            <v>Local employees</v>
          </cell>
          <cell r="L2315" t="str">
            <v>L0</v>
          </cell>
          <cell r="M2315" t="str">
            <v>ALL</v>
          </cell>
          <cell r="N2315" t="str">
            <v>FLPC(含奖金)</v>
          </cell>
          <cell r="O2315" t="str">
            <v>USD/小时</v>
          </cell>
          <cell r="P2315">
            <v>65.31</v>
          </cell>
        </row>
        <row r="2316">
          <cell r="A2316" t="str">
            <v>Iceland - Local employees - L1</v>
          </cell>
          <cell r="B2316" t="str">
            <v>Current version</v>
          </cell>
          <cell r="C2316" t="str">
            <v>V2009R2</v>
          </cell>
          <cell r="D2316" t="str">
            <v>Labor Rate</v>
          </cell>
          <cell r="E2316" t="str">
            <v>EU</v>
          </cell>
          <cell r="F2316" t="str">
            <v>CEE&amp;Nordic European Sub-Regional Division</v>
          </cell>
          <cell r="G2316" t="str">
            <v>Sweden Rep.Office</v>
          </cell>
          <cell r="H2316" t="str">
            <v>3619</v>
          </cell>
          <cell r="I2316" t="str">
            <v>冰岛</v>
          </cell>
          <cell r="J2316" t="str">
            <v>Iceland</v>
          </cell>
          <cell r="K2316" t="str">
            <v>Local employees</v>
          </cell>
          <cell r="L2316" t="str">
            <v>L1</v>
          </cell>
          <cell r="M2316" t="str">
            <v>ALL</v>
          </cell>
          <cell r="N2316" t="str">
            <v>FLPC(含奖金)</v>
          </cell>
          <cell r="O2316" t="str">
            <v>USD/小时</v>
          </cell>
          <cell r="P2316">
            <v>71.599999999999994</v>
          </cell>
        </row>
        <row r="2317">
          <cell r="A2317" t="str">
            <v>Iceland - Local employees - L2</v>
          </cell>
          <cell r="B2317" t="str">
            <v>Current version</v>
          </cell>
          <cell r="C2317" t="str">
            <v>V2009R2</v>
          </cell>
          <cell r="D2317" t="str">
            <v>Labor Rate</v>
          </cell>
          <cell r="E2317" t="str">
            <v>EU</v>
          </cell>
          <cell r="F2317" t="str">
            <v>CEE&amp;Nordic European Sub-Regional Division</v>
          </cell>
          <cell r="G2317" t="str">
            <v>Sweden Rep.Office</v>
          </cell>
          <cell r="H2317" t="str">
            <v>3619</v>
          </cell>
          <cell r="I2317" t="str">
            <v>冰岛</v>
          </cell>
          <cell r="J2317" t="str">
            <v>Iceland</v>
          </cell>
          <cell r="K2317" t="str">
            <v>Local employees</v>
          </cell>
          <cell r="L2317" t="str">
            <v>L2</v>
          </cell>
          <cell r="M2317" t="str">
            <v>ALL</v>
          </cell>
          <cell r="N2317" t="str">
            <v>FLPC(含奖金)</v>
          </cell>
          <cell r="O2317" t="str">
            <v>USD/小时</v>
          </cell>
          <cell r="P2317">
            <v>83.36</v>
          </cell>
        </row>
        <row r="2318">
          <cell r="A2318" t="str">
            <v>Iceland - Local employees - L3</v>
          </cell>
          <cell r="B2318" t="str">
            <v>Current version</v>
          </cell>
          <cell r="C2318" t="str">
            <v>V2009R2</v>
          </cell>
          <cell r="D2318" t="str">
            <v>Labor Rate</v>
          </cell>
          <cell r="E2318" t="str">
            <v>EU</v>
          </cell>
          <cell r="F2318" t="str">
            <v>CEE&amp;Nordic European Sub-Regional Division</v>
          </cell>
          <cell r="G2318" t="str">
            <v>Sweden Rep.Office</v>
          </cell>
          <cell r="H2318" t="str">
            <v>3619</v>
          </cell>
          <cell r="I2318" t="str">
            <v>冰岛</v>
          </cell>
          <cell r="J2318" t="str">
            <v>Iceland</v>
          </cell>
          <cell r="K2318" t="str">
            <v>Local employees</v>
          </cell>
          <cell r="L2318" t="str">
            <v>L3</v>
          </cell>
          <cell r="M2318" t="str">
            <v>ALL</v>
          </cell>
          <cell r="N2318" t="str">
            <v>FLPC(含奖金)</v>
          </cell>
          <cell r="O2318" t="str">
            <v>USD/小时</v>
          </cell>
          <cell r="P2318">
            <v>98.97</v>
          </cell>
        </row>
        <row r="2319">
          <cell r="A2319" t="str">
            <v>Iceland - Local employees - L4</v>
          </cell>
          <cell r="B2319" t="str">
            <v>Current version</v>
          </cell>
          <cell r="C2319" t="str">
            <v>V2009R2</v>
          </cell>
          <cell r="D2319" t="str">
            <v>Labor Rate</v>
          </cell>
          <cell r="E2319" t="str">
            <v>EU</v>
          </cell>
          <cell r="F2319" t="str">
            <v>CEE&amp;Nordic European Sub-Regional Division</v>
          </cell>
          <cell r="G2319" t="str">
            <v>Sweden Rep.Office</v>
          </cell>
          <cell r="H2319" t="str">
            <v>3619</v>
          </cell>
          <cell r="I2319" t="str">
            <v>冰岛</v>
          </cell>
          <cell r="J2319" t="str">
            <v>Iceland</v>
          </cell>
          <cell r="K2319" t="str">
            <v>Local employees</v>
          </cell>
          <cell r="L2319" t="str">
            <v>L4</v>
          </cell>
          <cell r="M2319" t="str">
            <v>ALL</v>
          </cell>
          <cell r="N2319" t="str">
            <v>FLPC(含奖金)</v>
          </cell>
          <cell r="O2319" t="str">
            <v>USD/小时</v>
          </cell>
          <cell r="P2319">
            <v>190.81</v>
          </cell>
        </row>
        <row r="2320">
          <cell r="A2320" t="str">
            <v>Denmark - Local employees - L0</v>
          </cell>
          <cell r="B2320" t="str">
            <v>Current version</v>
          </cell>
          <cell r="C2320" t="str">
            <v>V2009R2</v>
          </cell>
          <cell r="D2320" t="str">
            <v>Labor Rate</v>
          </cell>
          <cell r="E2320" t="str">
            <v>EU</v>
          </cell>
          <cell r="F2320" t="str">
            <v>CEE&amp;Nordic European Sub-Regional Division</v>
          </cell>
          <cell r="G2320" t="str">
            <v>Sweden Rep.Office</v>
          </cell>
          <cell r="H2320" t="str">
            <v>3620</v>
          </cell>
          <cell r="I2320" t="str">
            <v>丹麦</v>
          </cell>
          <cell r="J2320" t="str">
            <v>Denmark</v>
          </cell>
          <cell r="K2320" t="str">
            <v>Local employees</v>
          </cell>
          <cell r="L2320" t="str">
            <v>L0</v>
          </cell>
          <cell r="M2320" t="str">
            <v>ALL</v>
          </cell>
          <cell r="N2320" t="str">
            <v>FLPC(含奖金)</v>
          </cell>
          <cell r="O2320" t="str">
            <v>USD/小时</v>
          </cell>
          <cell r="P2320">
            <v>54.33</v>
          </cell>
        </row>
        <row r="2321">
          <cell r="A2321" t="str">
            <v>Denmark - Local employees - L1</v>
          </cell>
          <cell r="B2321" t="str">
            <v>Current version</v>
          </cell>
          <cell r="C2321" t="str">
            <v>V2009R2</v>
          </cell>
          <cell r="D2321" t="str">
            <v>Labor Rate</v>
          </cell>
          <cell r="E2321" t="str">
            <v>EU</v>
          </cell>
          <cell r="F2321" t="str">
            <v>CEE&amp;Nordic European Sub-Regional Division</v>
          </cell>
          <cell r="G2321" t="str">
            <v>Sweden Rep.Office</v>
          </cell>
          <cell r="H2321" t="str">
            <v>3620</v>
          </cell>
          <cell r="I2321" t="str">
            <v>丹麦</v>
          </cell>
          <cell r="J2321" t="str">
            <v>Denmark</v>
          </cell>
          <cell r="K2321" t="str">
            <v>Local employees</v>
          </cell>
          <cell r="L2321" t="str">
            <v>L1</v>
          </cell>
          <cell r="M2321" t="str">
            <v>ALL</v>
          </cell>
          <cell r="N2321" t="str">
            <v>FLPC(含奖金)</v>
          </cell>
          <cell r="O2321" t="str">
            <v>USD/小时</v>
          </cell>
          <cell r="P2321">
            <v>72.239999999999995</v>
          </cell>
        </row>
        <row r="2322">
          <cell r="A2322" t="str">
            <v>Denmark - Local employees - L2</v>
          </cell>
          <cell r="B2322" t="str">
            <v>Current version</v>
          </cell>
          <cell r="C2322" t="str">
            <v>V2009R2</v>
          </cell>
          <cell r="D2322" t="str">
            <v>Labor Rate</v>
          </cell>
          <cell r="E2322" t="str">
            <v>EU</v>
          </cell>
          <cell r="F2322" t="str">
            <v>CEE&amp;Nordic European Sub-Regional Division</v>
          </cell>
          <cell r="G2322" t="str">
            <v>Sweden Rep.Office</v>
          </cell>
          <cell r="H2322" t="str">
            <v>3620</v>
          </cell>
          <cell r="I2322" t="str">
            <v>丹麦</v>
          </cell>
          <cell r="J2322" t="str">
            <v>Denmark</v>
          </cell>
          <cell r="K2322" t="str">
            <v>Local employees</v>
          </cell>
          <cell r="L2322" t="str">
            <v>L2</v>
          </cell>
          <cell r="M2322" t="str">
            <v>ALL</v>
          </cell>
          <cell r="N2322" t="str">
            <v>FLPC(含奖金)</v>
          </cell>
          <cell r="O2322" t="str">
            <v>USD/小时</v>
          </cell>
          <cell r="P2322">
            <v>117.04</v>
          </cell>
        </row>
        <row r="2323">
          <cell r="A2323" t="str">
            <v>Denmark - Local employees - L3</v>
          </cell>
          <cell r="B2323" t="str">
            <v>Current version</v>
          </cell>
          <cell r="C2323" t="str">
            <v>V2009R2</v>
          </cell>
          <cell r="D2323" t="str">
            <v>Labor Rate</v>
          </cell>
          <cell r="E2323" t="str">
            <v>EU</v>
          </cell>
          <cell r="F2323" t="str">
            <v>CEE&amp;Nordic European Sub-Regional Division</v>
          </cell>
          <cell r="G2323" t="str">
            <v>Sweden Rep.Office</v>
          </cell>
          <cell r="H2323" t="str">
            <v>3620</v>
          </cell>
          <cell r="I2323" t="str">
            <v>丹麦</v>
          </cell>
          <cell r="J2323" t="str">
            <v>Denmark</v>
          </cell>
          <cell r="K2323" t="str">
            <v>Local employees</v>
          </cell>
          <cell r="L2323" t="str">
            <v>L3</v>
          </cell>
          <cell r="M2323" t="str">
            <v>ALL</v>
          </cell>
          <cell r="N2323" t="str">
            <v>FLPC(含奖金)</v>
          </cell>
          <cell r="O2323" t="str">
            <v>USD/小时</v>
          </cell>
          <cell r="P2323">
            <v>127.84</v>
          </cell>
        </row>
        <row r="2324">
          <cell r="A2324" t="str">
            <v>Denmark - Local employees - L4</v>
          </cell>
          <cell r="B2324" t="str">
            <v>Current version</v>
          </cell>
          <cell r="C2324" t="str">
            <v>V2009R2</v>
          </cell>
          <cell r="D2324" t="str">
            <v>Labor Rate</v>
          </cell>
          <cell r="E2324" t="str">
            <v>EU</v>
          </cell>
          <cell r="F2324" t="str">
            <v>CEE&amp;Nordic European Sub-Regional Division</v>
          </cell>
          <cell r="G2324" t="str">
            <v>Sweden Rep.Office</v>
          </cell>
          <cell r="H2324" t="str">
            <v>3620</v>
          </cell>
          <cell r="I2324" t="str">
            <v>丹麦</v>
          </cell>
          <cell r="J2324" t="str">
            <v>Denmark</v>
          </cell>
          <cell r="K2324" t="str">
            <v>Local employees</v>
          </cell>
          <cell r="L2324" t="str">
            <v>L4</v>
          </cell>
          <cell r="M2324" t="str">
            <v>ALL</v>
          </cell>
          <cell r="N2324" t="str">
            <v>FLPC(含奖金)</v>
          </cell>
          <cell r="O2324" t="str">
            <v>USD/小时</v>
          </cell>
          <cell r="P2324">
            <v>186.76</v>
          </cell>
        </row>
        <row r="2325">
          <cell r="A2325" t="str">
            <v>Serbia and Montenegro - Local employees - L0</v>
          </cell>
          <cell r="B2325" t="str">
            <v>Current version</v>
          </cell>
          <cell r="C2325" t="str">
            <v>V2009R2</v>
          </cell>
          <cell r="D2325" t="str">
            <v>Labor Rate</v>
          </cell>
          <cell r="E2325" t="str">
            <v>EU</v>
          </cell>
          <cell r="F2325" t="str">
            <v>CEE&amp;Nordic European Sub-Regional Division</v>
          </cell>
          <cell r="G2325" t="str">
            <v>Serbia Rep.Office</v>
          </cell>
          <cell r="H2325" t="str">
            <v>3310</v>
          </cell>
          <cell r="I2325" t="str">
            <v>塞黑</v>
          </cell>
          <cell r="J2325" t="str">
            <v>Serbia and Montenegro</v>
          </cell>
          <cell r="K2325" t="str">
            <v>Local employees</v>
          </cell>
          <cell r="L2325" t="str">
            <v>L0</v>
          </cell>
          <cell r="M2325" t="str">
            <v>ALL</v>
          </cell>
          <cell r="N2325" t="str">
            <v>FLPC(含奖金)</v>
          </cell>
          <cell r="O2325" t="str">
            <v>USD/小时</v>
          </cell>
          <cell r="P2325">
            <v>34.909999999999997</v>
          </cell>
        </row>
        <row r="2326">
          <cell r="A2326" t="str">
            <v>Serbia and Montenegro - Local employees - L1</v>
          </cell>
          <cell r="B2326" t="str">
            <v>Current version</v>
          </cell>
          <cell r="C2326" t="str">
            <v>V2009R2</v>
          </cell>
          <cell r="D2326" t="str">
            <v>Labor Rate</v>
          </cell>
          <cell r="E2326" t="str">
            <v>EU</v>
          </cell>
          <cell r="F2326" t="str">
            <v>CEE&amp;Nordic European Sub-Regional Division</v>
          </cell>
          <cell r="G2326" t="str">
            <v>Serbia Rep.Office</v>
          </cell>
          <cell r="H2326" t="str">
            <v>3310</v>
          </cell>
          <cell r="I2326" t="str">
            <v>塞黑</v>
          </cell>
          <cell r="J2326" t="str">
            <v>Serbia and Montenegro</v>
          </cell>
          <cell r="K2326" t="str">
            <v>Local employees</v>
          </cell>
          <cell r="L2326" t="str">
            <v>L1</v>
          </cell>
          <cell r="M2326" t="str">
            <v>ALL</v>
          </cell>
          <cell r="N2326" t="str">
            <v>FLPC(含奖金)</v>
          </cell>
          <cell r="O2326" t="str">
            <v>USD/小时</v>
          </cell>
          <cell r="P2326">
            <v>44.35</v>
          </cell>
        </row>
        <row r="2327">
          <cell r="A2327" t="str">
            <v>Serbia and Montenegro - Local employees - L2</v>
          </cell>
          <cell r="B2327" t="str">
            <v>Current version</v>
          </cell>
          <cell r="C2327" t="str">
            <v>V2009R2</v>
          </cell>
          <cell r="D2327" t="str">
            <v>Labor Rate</v>
          </cell>
          <cell r="E2327" t="str">
            <v>EU</v>
          </cell>
          <cell r="F2327" t="str">
            <v>CEE&amp;Nordic European Sub-Regional Division</v>
          </cell>
          <cell r="G2327" t="str">
            <v>Serbia Rep.Office</v>
          </cell>
          <cell r="H2327" t="str">
            <v>3310</v>
          </cell>
          <cell r="I2327" t="str">
            <v>塞黑</v>
          </cell>
          <cell r="J2327" t="str">
            <v>Serbia and Montenegro</v>
          </cell>
          <cell r="K2327" t="str">
            <v>Local employees</v>
          </cell>
          <cell r="L2327" t="str">
            <v>L2</v>
          </cell>
          <cell r="M2327" t="str">
            <v>ALL</v>
          </cell>
          <cell r="N2327" t="str">
            <v>FLPC(含奖金)</v>
          </cell>
          <cell r="O2327" t="str">
            <v>USD/小时</v>
          </cell>
          <cell r="P2327">
            <v>51.5</v>
          </cell>
        </row>
        <row r="2328">
          <cell r="A2328" t="str">
            <v>Serbia and Montenegro - Local employees - L3</v>
          </cell>
          <cell r="B2328" t="str">
            <v>Current version</v>
          </cell>
          <cell r="C2328" t="str">
            <v>V2009R2</v>
          </cell>
          <cell r="D2328" t="str">
            <v>Labor Rate</v>
          </cell>
          <cell r="E2328" t="str">
            <v>EU</v>
          </cell>
          <cell r="F2328" t="str">
            <v>CEE&amp;Nordic European Sub-Regional Division</v>
          </cell>
          <cell r="G2328" t="str">
            <v>Serbia Rep.Office</v>
          </cell>
          <cell r="H2328" t="str">
            <v>3310</v>
          </cell>
          <cell r="I2328" t="str">
            <v>塞黑</v>
          </cell>
          <cell r="J2328" t="str">
            <v>Serbia and Montenegro</v>
          </cell>
          <cell r="K2328" t="str">
            <v>Local employees</v>
          </cell>
          <cell r="L2328" t="str">
            <v>L3</v>
          </cell>
          <cell r="M2328" t="str">
            <v>ALL</v>
          </cell>
          <cell r="N2328" t="str">
            <v>FLPC(含奖金)</v>
          </cell>
          <cell r="O2328" t="str">
            <v>USD/小时</v>
          </cell>
          <cell r="P2328">
            <v>74.599999999999994</v>
          </cell>
        </row>
        <row r="2329">
          <cell r="A2329" t="str">
            <v>Bosnia-And-Herzegirina - Local employees - L0</v>
          </cell>
          <cell r="B2329" t="str">
            <v>Current version</v>
          </cell>
          <cell r="C2329" t="str">
            <v>V2009R2</v>
          </cell>
          <cell r="D2329" t="str">
            <v>Labor Rate</v>
          </cell>
          <cell r="E2329" t="str">
            <v>EU</v>
          </cell>
          <cell r="F2329" t="str">
            <v>CEE&amp;Nordic European Sub-Regional Division</v>
          </cell>
          <cell r="G2329" t="str">
            <v>Serbia Rep.Office</v>
          </cell>
          <cell r="H2329" t="str">
            <v>3316</v>
          </cell>
          <cell r="I2329" t="str">
            <v>波黑</v>
          </cell>
          <cell r="J2329" t="str">
            <v>Bosnia-And-Herzegirina</v>
          </cell>
          <cell r="K2329" t="str">
            <v>Local employees</v>
          </cell>
          <cell r="L2329" t="str">
            <v>L0</v>
          </cell>
          <cell r="M2329" t="str">
            <v>ALL</v>
          </cell>
          <cell r="N2329" t="str">
            <v>FLPC(含奖金)</v>
          </cell>
          <cell r="O2329" t="str">
            <v>USD/小时</v>
          </cell>
          <cell r="P2329">
            <v>34.5</v>
          </cell>
        </row>
        <row r="2330">
          <cell r="A2330" t="str">
            <v>Bosnia-And-Herzegirina - Local employees - L1</v>
          </cell>
          <cell r="B2330" t="str">
            <v>Current version</v>
          </cell>
          <cell r="C2330" t="str">
            <v>V2009R2</v>
          </cell>
          <cell r="D2330" t="str">
            <v>Labor Rate</v>
          </cell>
          <cell r="E2330" t="str">
            <v>EU</v>
          </cell>
          <cell r="F2330" t="str">
            <v>CEE&amp;Nordic European Sub-Regional Division</v>
          </cell>
          <cell r="G2330" t="str">
            <v>Serbia Rep.Office</v>
          </cell>
          <cell r="H2330" t="str">
            <v>3316</v>
          </cell>
          <cell r="I2330" t="str">
            <v>波黑</v>
          </cell>
          <cell r="J2330" t="str">
            <v>Bosnia-And-Herzegirina</v>
          </cell>
          <cell r="K2330" t="str">
            <v>Local employees</v>
          </cell>
          <cell r="L2330" t="str">
            <v>L1</v>
          </cell>
          <cell r="M2330" t="str">
            <v>ALL</v>
          </cell>
          <cell r="N2330" t="str">
            <v>FLPC(含奖金)</v>
          </cell>
          <cell r="O2330" t="str">
            <v>USD/小时</v>
          </cell>
          <cell r="P2330">
            <v>44.01</v>
          </cell>
        </row>
        <row r="2331">
          <cell r="A2331" t="str">
            <v>Bosnia-And-Herzegirina - Local employees - L2</v>
          </cell>
          <cell r="B2331" t="str">
            <v>Current version</v>
          </cell>
          <cell r="C2331" t="str">
            <v>V2009R2</v>
          </cell>
          <cell r="D2331" t="str">
            <v>Labor Rate</v>
          </cell>
          <cell r="E2331" t="str">
            <v>EU</v>
          </cell>
          <cell r="F2331" t="str">
            <v>CEE&amp;Nordic European Sub-Regional Division</v>
          </cell>
          <cell r="G2331" t="str">
            <v>Serbia Rep.Office</v>
          </cell>
          <cell r="H2331" t="str">
            <v>3316</v>
          </cell>
          <cell r="I2331" t="str">
            <v>波黑</v>
          </cell>
          <cell r="J2331" t="str">
            <v>Bosnia-And-Herzegirina</v>
          </cell>
          <cell r="K2331" t="str">
            <v>Local employees</v>
          </cell>
          <cell r="L2331" t="str">
            <v>L2</v>
          </cell>
          <cell r="M2331" t="str">
            <v>ALL</v>
          </cell>
          <cell r="N2331" t="str">
            <v>FLPC(含奖金)</v>
          </cell>
          <cell r="O2331" t="str">
            <v>USD/小时</v>
          </cell>
          <cell r="P2331">
            <v>56.28</v>
          </cell>
        </row>
        <row r="2332">
          <cell r="A2332" t="str">
            <v>Bosnia-And-Herzegirina - Local employees - L3</v>
          </cell>
          <cell r="B2332" t="str">
            <v>Current version</v>
          </cell>
          <cell r="C2332" t="str">
            <v>V2009R2</v>
          </cell>
          <cell r="D2332" t="str">
            <v>Labor Rate</v>
          </cell>
          <cell r="E2332" t="str">
            <v>EU</v>
          </cell>
          <cell r="F2332" t="str">
            <v>CEE&amp;Nordic European Sub-Regional Division</v>
          </cell>
          <cell r="G2332" t="str">
            <v>Serbia Rep.Office</v>
          </cell>
          <cell r="H2332" t="str">
            <v>3316</v>
          </cell>
          <cell r="I2332" t="str">
            <v>波黑</v>
          </cell>
          <cell r="J2332" t="str">
            <v>Bosnia-And-Herzegirina</v>
          </cell>
          <cell r="K2332" t="str">
            <v>Local employees</v>
          </cell>
          <cell r="L2332" t="str">
            <v>L3</v>
          </cell>
          <cell r="M2332" t="str">
            <v>ALL</v>
          </cell>
          <cell r="N2332" t="str">
            <v>FLPC(含奖金)</v>
          </cell>
          <cell r="O2332" t="str">
            <v>USD/小时</v>
          </cell>
          <cell r="P2332">
            <v>76.319999999999993</v>
          </cell>
        </row>
        <row r="2333">
          <cell r="A2333" t="str">
            <v>Romania - Local employees - L0</v>
          </cell>
          <cell r="B2333" t="str">
            <v>Current version</v>
          </cell>
          <cell r="C2333" t="str">
            <v>V2009R2</v>
          </cell>
          <cell r="D2333" t="str">
            <v>Labor Rate</v>
          </cell>
          <cell r="E2333" t="str">
            <v>EU</v>
          </cell>
          <cell r="F2333" t="str">
            <v>CEE&amp;Nordic European Sub-Regional Division</v>
          </cell>
          <cell r="G2333" t="str">
            <v>Romania Rep.Office</v>
          </cell>
          <cell r="H2333" t="str">
            <v>3301</v>
          </cell>
          <cell r="I2333" t="str">
            <v>罗马尼亚</v>
          </cell>
          <cell r="J2333" t="str">
            <v>Romania</v>
          </cell>
          <cell r="K2333" t="str">
            <v>Local employees</v>
          </cell>
          <cell r="L2333" t="str">
            <v>L0</v>
          </cell>
          <cell r="M2333" t="str">
            <v>ALL</v>
          </cell>
          <cell r="N2333" t="str">
            <v>FLPC(含奖金)</v>
          </cell>
          <cell r="O2333" t="str">
            <v>USD/小时</v>
          </cell>
          <cell r="P2333">
            <v>27.98</v>
          </cell>
        </row>
        <row r="2334">
          <cell r="A2334" t="str">
            <v>Romania - Local employees - L1</v>
          </cell>
          <cell r="B2334" t="str">
            <v>Current version</v>
          </cell>
          <cell r="C2334" t="str">
            <v>V2009R2</v>
          </cell>
          <cell r="D2334" t="str">
            <v>Labor Rate</v>
          </cell>
          <cell r="E2334" t="str">
            <v>EU</v>
          </cell>
          <cell r="F2334" t="str">
            <v>CEE&amp;Nordic European Sub-Regional Division</v>
          </cell>
          <cell r="G2334" t="str">
            <v>Romania Rep.Office</v>
          </cell>
          <cell r="H2334" t="str">
            <v>3301</v>
          </cell>
          <cell r="I2334" t="str">
            <v>罗马尼亚</v>
          </cell>
          <cell r="J2334" t="str">
            <v>Romania</v>
          </cell>
          <cell r="K2334" t="str">
            <v>Local employees</v>
          </cell>
          <cell r="L2334" t="str">
            <v>L1</v>
          </cell>
          <cell r="M2334" t="str">
            <v>ALL</v>
          </cell>
          <cell r="N2334" t="str">
            <v>FLPC(含奖金)</v>
          </cell>
          <cell r="O2334" t="str">
            <v>USD/小时</v>
          </cell>
          <cell r="P2334">
            <v>35.450000000000003</v>
          </cell>
        </row>
        <row r="2335">
          <cell r="A2335" t="str">
            <v>Romania - Local employees - L2</v>
          </cell>
          <cell r="B2335" t="str">
            <v>Current version</v>
          </cell>
          <cell r="C2335" t="str">
            <v>V2009R2</v>
          </cell>
          <cell r="D2335" t="str">
            <v>Labor Rate</v>
          </cell>
          <cell r="E2335" t="str">
            <v>EU</v>
          </cell>
          <cell r="F2335" t="str">
            <v>CEE&amp;Nordic European Sub-Regional Division</v>
          </cell>
          <cell r="G2335" t="str">
            <v>Romania Rep.Office</v>
          </cell>
          <cell r="H2335" t="str">
            <v>3301</v>
          </cell>
          <cell r="I2335" t="str">
            <v>罗马尼亚</v>
          </cell>
          <cell r="J2335" t="str">
            <v>Romania</v>
          </cell>
          <cell r="K2335" t="str">
            <v>Local employees</v>
          </cell>
          <cell r="L2335" t="str">
            <v>L2</v>
          </cell>
          <cell r="M2335" t="str">
            <v>ALL</v>
          </cell>
          <cell r="N2335" t="str">
            <v>FLPC(含奖金)</v>
          </cell>
          <cell r="O2335" t="str">
            <v>USD/小时</v>
          </cell>
          <cell r="P2335">
            <v>50.89</v>
          </cell>
        </row>
        <row r="2336">
          <cell r="A2336" t="str">
            <v>Romania - Local employees - L3</v>
          </cell>
          <cell r="B2336" t="str">
            <v>Current version</v>
          </cell>
          <cell r="C2336" t="str">
            <v>V2009R2</v>
          </cell>
          <cell r="D2336" t="str">
            <v>Labor Rate</v>
          </cell>
          <cell r="E2336" t="str">
            <v>EU</v>
          </cell>
          <cell r="F2336" t="str">
            <v>CEE&amp;Nordic European Sub-Regional Division</v>
          </cell>
          <cell r="G2336" t="str">
            <v>Romania Rep.Office</v>
          </cell>
          <cell r="H2336" t="str">
            <v>3301</v>
          </cell>
          <cell r="I2336" t="str">
            <v>罗马尼亚</v>
          </cell>
          <cell r="J2336" t="str">
            <v>Romania</v>
          </cell>
          <cell r="K2336" t="str">
            <v>Local employees</v>
          </cell>
          <cell r="L2336" t="str">
            <v>L3</v>
          </cell>
          <cell r="M2336" t="str">
            <v>ALL</v>
          </cell>
          <cell r="N2336" t="str">
            <v>FLPC(含奖金)</v>
          </cell>
          <cell r="O2336" t="str">
            <v>USD/小时</v>
          </cell>
          <cell r="P2336">
            <v>73.540000000000006</v>
          </cell>
        </row>
        <row r="2337">
          <cell r="A2337" t="str">
            <v>Moldova - Local employees - L0</v>
          </cell>
          <cell r="B2337" t="str">
            <v>Current version</v>
          </cell>
          <cell r="C2337" t="str">
            <v>V2009R2</v>
          </cell>
          <cell r="D2337" t="str">
            <v>Labor Rate</v>
          </cell>
          <cell r="E2337" t="str">
            <v>EU</v>
          </cell>
          <cell r="F2337" t="str">
            <v>CEE&amp;Nordic European Sub-Regional Division</v>
          </cell>
          <cell r="G2337" t="str">
            <v>Romania Rep.Office</v>
          </cell>
          <cell r="H2337" t="str">
            <v>3308</v>
          </cell>
          <cell r="I2337" t="str">
            <v>摩尔多瓦</v>
          </cell>
          <cell r="J2337" t="str">
            <v>Moldova</v>
          </cell>
          <cell r="K2337" t="str">
            <v>Local employees</v>
          </cell>
          <cell r="L2337" t="str">
            <v>L0</v>
          </cell>
          <cell r="M2337" t="str">
            <v>ALL</v>
          </cell>
          <cell r="N2337" t="str">
            <v>FLPC(含奖金)</v>
          </cell>
          <cell r="O2337" t="str">
            <v>USD/小时</v>
          </cell>
          <cell r="P2337">
            <v>29.15</v>
          </cell>
        </row>
        <row r="2338">
          <cell r="A2338" t="str">
            <v>Moldova - Local employees - L1</v>
          </cell>
          <cell r="B2338" t="str">
            <v>Current version</v>
          </cell>
          <cell r="C2338" t="str">
            <v>V2009R2</v>
          </cell>
          <cell r="D2338" t="str">
            <v>Labor Rate</v>
          </cell>
          <cell r="E2338" t="str">
            <v>EU</v>
          </cell>
          <cell r="F2338" t="str">
            <v>CEE&amp;Nordic European Sub-Regional Division</v>
          </cell>
          <cell r="G2338" t="str">
            <v>Romania Rep.Office</v>
          </cell>
          <cell r="H2338" t="str">
            <v>3308</v>
          </cell>
          <cell r="I2338" t="str">
            <v>摩尔多瓦</v>
          </cell>
          <cell r="J2338" t="str">
            <v>Moldova</v>
          </cell>
          <cell r="K2338" t="str">
            <v>Local employees</v>
          </cell>
          <cell r="L2338" t="str">
            <v>L1</v>
          </cell>
          <cell r="M2338" t="str">
            <v>ALL</v>
          </cell>
          <cell r="N2338" t="str">
            <v>FLPC(含奖金)</v>
          </cell>
          <cell r="O2338" t="str">
            <v>USD/小时</v>
          </cell>
          <cell r="P2338">
            <v>31.14</v>
          </cell>
        </row>
        <row r="2339">
          <cell r="A2339" t="str">
            <v>Moldova - Local employees - L2</v>
          </cell>
          <cell r="B2339" t="str">
            <v>Current version</v>
          </cell>
          <cell r="C2339" t="str">
            <v>V2009R2</v>
          </cell>
          <cell r="D2339" t="str">
            <v>Labor Rate</v>
          </cell>
          <cell r="E2339" t="str">
            <v>EU</v>
          </cell>
          <cell r="F2339" t="str">
            <v>CEE&amp;Nordic European Sub-Regional Division</v>
          </cell>
          <cell r="G2339" t="str">
            <v>Romania Rep.Office</v>
          </cell>
          <cell r="H2339" t="str">
            <v>3308</v>
          </cell>
          <cell r="I2339" t="str">
            <v>摩尔多瓦</v>
          </cell>
          <cell r="J2339" t="str">
            <v>Moldova</v>
          </cell>
          <cell r="K2339" t="str">
            <v>Local employees</v>
          </cell>
          <cell r="L2339" t="str">
            <v>L2</v>
          </cell>
          <cell r="M2339" t="str">
            <v>ALL</v>
          </cell>
          <cell r="N2339" t="str">
            <v>FLPC(含奖金)</v>
          </cell>
          <cell r="O2339" t="str">
            <v>USD/小时</v>
          </cell>
          <cell r="P2339">
            <v>35.090000000000003</v>
          </cell>
        </row>
        <row r="2340">
          <cell r="A2340" t="str">
            <v>Moldova - Local employees - L3</v>
          </cell>
          <cell r="B2340" t="str">
            <v>Current version</v>
          </cell>
          <cell r="C2340" t="str">
            <v>V2009R2</v>
          </cell>
          <cell r="D2340" t="str">
            <v>Labor Rate</v>
          </cell>
          <cell r="E2340" t="str">
            <v>EU</v>
          </cell>
          <cell r="F2340" t="str">
            <v>CEE&amp;Nordic European Sub-Regional Division</v>
          </cell>
          <cell r="G2340" t="str">
            <v>Romania Rep.Office</v>
          </cell>
          <cell r="H2340" t="str">
            <v>3308</v>
          </cell>
          <cell r="I2340" t="str">
            <v>摩尔多瓦</v>
          </cell>
          <cell r="J2340" t="str">
            <v>Moldova</v>
          </cell>
          <cell r="K2340" t="str">
            <v>Local employees</v>
          </cell>
          <cell r="L2340" t="str">
            <v>L3</v>
          </cell>
          <cell r="M2340" t="str">
            <v>ALL</v>
          </cell>
          <cell r="N2340" t="str">
            <v>FLPC(含奖金)</v>
          </cell>
          <cell r="O2340" t="str">
            <v>USD/小时</v>
          </cell>
          <cell r="P2340">
            <v>43.46</v>
          </cell>
        </row>
        <row r="2341">
          <cell r="A2341" t="str">
            <v>Poland - Local employees - L0</v>
          </cell>
          <cell r="B2341" t="str">
            <v>Current version</v>
          </cell>
          <cell r="C2341" t="str">
            <v>V2009R2</v>
          </cell>
          <cell r="D2341" t="str">
            <v>Labor Rate</v>
          </cell>
          <cell r="E2341" t="str">
            <v>EU</v>
          </cell>
          <cell r="F2341" t="str">
            <v>CEE&amp;Nordic European Sub-Regional Division</v>
          </cell>
          <cell r="G2341" t="str">
            <v>Poland Rep.Office</v>
          </cell>
          <cell r="H2341" t="str">
            <v>3302</v>
          </cell>
          <cell r="I2341" t="str">
            <v>波兰</v>
          </cell>
          <cell r="J2341" t="str">
            <v>Poland</v>
          </cell>
          <cell r="K2341" t="str">
            <v>Local employees</v>
          </cell>
          <cell r="L2341" t="str">
            <v>L0</v>
          </cell>
          <cell r="M2341" t="str">
            <v>ALL</v>
          </cell>
          <cell r="N2341" t="str">
            <v>FLPC(含奖金)</v>
          </cell>
          <cell r="O2341" t="str">
            <v>USD/小时</v>
          </cell>
          <cell r="P2341">
            <v>38.18</v>
          </cell>
        </row>
        <row r="2342">
          <cell r="A2342" t="str">
            <v>Poland - Local employees - L1</v>
          </cell>
          <cell r="B2342" t="str">
            <v>Current version</v>
          </cell>
          <cell r="C2342" t="str">
            <v>V2009R2</v>
          </cell>
          <cell r="D2342" t="str">
            <v>Labor Rate</v>
          </cell>
          <cell r="E2342" t="str">
            <v>EU</v>
          </cell>
          <cell r="F2342" t="str">
            <v>CEE&amp;Nordic European Sub-Regional Division</v>
          </cell>
          <cell r="G2342" t="str">
            <v>Poland Rep.Office</v>
          </cell>
          <cell r="H2342" t="str">
            <v>3302</v>
          </cell>
          <cell r="I2342" t="str">
            <v>波兰</v>
          </cell>
          <cell r="J2342" t="str">
            <v>Poland</v>
          </cell>
          <cell r="K2342" t="str">
            <v>Local employees</v>
          </cell>
          <cell r="L2342" t="str">
            <v>L1</v>
          </cell>
          <cell r="M2342" t="str">
            <v>ALL</v>
          </cell>
          <cell r="N2342" t="str">
            <v>FLPC(含奖金)</v>
          </cell>
          <cell r="O2342" t="str">
            <v>USD/小时</v>
          </cell>
          <cell r="P2342">
            <v>52.4</v>
          </cell>
        </row>
        <row r="2343">
          <cell r="A2343" t="str">
            <v>Poland - Local employees - L2</v>
          </cell>
          <cell r="B2343" t="str">
            <v>Current version</v>
          </cell>
          <cell r="C2343" t="str">
            <v>V2009R2</v>
          </cell>
          <cell r="D2343" t="str">
            <v>Labor Rate</v>
          </cell>
          <cell r="E2343" t="str">
            <v>EU</v>
          </cell>
          <cell r="F2343" t="str">
            <v>CEE&amp;Nordic European Sub-Regional Division</v>
          </cell>
          <cell r="G2343" t="str">
            <v>Poland Rep.Office</v>
          </cell>
          <cell r="H2343" t="str">
            <v>3302</v>
          </cell>
          <cell r="I2343" t="str">
            <v>波兰</v>
          </cell>
          <cell r="J2343" t="str">
            <v>Poland</v>
          </cell>
          <cell r="K2343" t="str">
            <v>Local employees</v>
          </cell>
          <cell r="L2343" t="str">
            <v>L2</v>
          </cell>
          <cell r="M2343" t="str">
            <v>ALL</v>
          </cell>
          <cell r="N2343" t="str">
            <v>FLPC(含奖金)</v>
          </cell>
          <cell r="O2343" t="str">
            <v>USD/小时</v>
          </cell>
          <cell r="P2343">
            <v>72.260000000000005</v>
          </cell>
        </row>
        <row r="2344">
          <cell r="A2344" t="str">
            <v>Poland - Local employees - L3</v>
          </cell>
          <cell r="B2344" t="str">
            <v>Current version</v>
          </cell>
          <cell r="C2344" t="str">
            <v>V2009R2</v>
          </cell>
          <cell r="D2344" t="str">
            <v>Labor Rate</v>
          </cell>
          <cell r="E2344" t="str">
            <v>EU</v>
          </cell>
          <cell r="F2344" t="str">
            <v>CEE&amp;Nordic European Sub-Regional Division</v>
          </cell>
          <cell r="G2344" t="str">
            <v>Poland Rep.Office</v>
          </cell>
          <cell r="H2344" t="str">
            <v>3302</v>
          </cell>
          <cell r="I2344" t="str">
            <v>波兰</v>
          </cell>
          <cell r="J2344" t="str">
            <v>Poland</v>
          </cell>
          <cell r="K2344" t="str">
            <v>Local employees</v>
          </cell>
          <cell r="L2344" t="str">
            <v>L3</v>
          </cell>
          <cell r="M2344" t="str">
            <v>ALL</v>
          </cell>
          <cell r="N2344" t="str">
            <v>FLPC(含奖金)</v>
          </cell>
          <cell r="O2344" t="str">
            <v>USD/小时</v>
          </cell>
          <cell r="P2344">
            <v>94.07</v>
          </cell>
        </row>
        <row r="2345">
          <cell r="A2345" t="str">
            <v>Hungary - Local employees - L0</v>
          </cell>
          <cell r="B2345" t="str">
            <v>Current version</v>
          </cell>
          <cell r="C2345" t="str">
            <v>V2009R2</v>
          </cell>
          <cell r="D2345" t="str">
            <v>Labor Rate</v>
          </cell>
          <cell r="E2345" t="str">
            <v>EU</v>
          </cell>
          <cell r="F2345" t="str">
            <v>CEE&amp;Nordic European Sub-Regional Division</v>
          </cell>
          <cell r="G2345" t="str">
            <v>Hungary Rep.Office</v>
          </cell>
          <cell r="H2345" t="str">
            <v>3311</v>
          </cell>
          <cell r="I2345" t="str">
            <v>匈牙利</v>
          </cell>
          <cell r="J2345" t="str">
            <v>Hungary</v>
          </cell>
          <cell r="K2345" t="str">
            <v>Local employees</v>
          </cell>
          <cell r="L2345" t="str">
            <v>L0</v>
          </cell>
          <cell r="M2345" t="str">
            <v>ALL</v>
          </cell>
          <cell r="N2345" t="str">
            <v>FLPC(含奖金)</v>
          </cell>
          <cell r="O2345" t="str">
            <v>USD/小时</v>
          </cell>
          <cell r="P2345">
            <v>42.5</v>
          </cell>
        </row>
        <row r="2346">
          <cell r="A2346" t="str">
            <v>Hungary - Local employees - L1</v>
          </cell>
          <cell r="B2346" t="str">
            <v>Current version</v>
          </cell>
          <cell r="C2346" t="str">
            <v>V2009R2</v>
          </cell>
          <cell r="D2346" t="str">
            <v>Labor Rate</v>
          </cell>
          <cell r="E2346" t="str">
            <v>EU</v>
          </cell>
          <cell r="F2346" t="str">
            <v>CEE&amp;Nordic European Sub-Regional Division</v>
          </cell>
          <cell r="G2346" t="str">
            <v>Hungary Rep.Office</v>
          </cell>
          <cell r="H2346" t="str">
            <v>3311</v>
          </cell>
          <cell r="I2346" t="str">
            <v>匈牙利</v>
          </cell>
          <cell r="J2346" t="str">
            <v>Hungary</v>
          </cell>
          <cell r="K2346" t="str">
            <v>Local employees</v>
          </cell>
          <cell r="L2346" t="str">
            <v>L1</v>
          </cell>
          <cell r="M2346" t="str">
            <v>ALL</v>
          </cell>
          <cell r="N2346" t="str">
            <v>FLPC(含奖金)</v>
          </cell>
          <cell r="O2346" t="str">
            <v>USD/小时</v>
          </cell>
          <cell r="P2346">
            <v>57.2</v>
          </cell>
        </row>
        <row r="2347">
          <cell r="A2347" t="str">
            <v>Hungary - Local employees - L2</v>
          </cell>
          <cell r="B2347" t="str">
            <v>Current version</v>
          </cell>
          <cell r="C2347" t="str">
            <v>V2009R2</v>
          </cell>
          <cell r="D2347" t="str">
            <v>Labor Rate</v>
          </cell>
          <cell r="E2347" t="str">
            <v>EU</v>
          </cell>
          <cell r="F2347" t="str">
            <v>CEE&amp;Nordic European Sub-Regional Division</v>
          </cell>
          <cell r="G2347" t="str">
            <v>Hungary Rep.Office</v>
          </cell>
          <cell r="H2347" t="str">
            <v>3311</v>
          </cell>
          <cell r="I2347" t="str">
            <v>匈牙利</v>
          </cell>
          <cell r="J2347" t="str">
            <v>Hungary</v>
          </cell>
          <cell r="K2347" t="str">
            <v>Local employees</v>
          </cell>
          <cell r="L2347" t="str">
            <v>L2</v>
          </cell>
          <cell r="M2347" t="str">
            <v>ALL</v>
          </cell>
          <cell r="N2347" t="str">
            <v>FLPC(含奖金)</v>
          </cell>
          <cell r="O2347" t="str">
            <v>USD/小时</v>
          </cell>
          <cell r="P2347">
            <v>70.099999999999994</v>
          </cell>
        </row>
        <row r="2348">
          <cell r="A2348" t="str">
            <v>Hungary - Local employees - L3</v>
          </cell>
          <cell r="B2348" t="str">
            <v>Current version</v>
          </cell>
          <cell r="C2348" t="str">
            <v>V2009R2</v>
          </cell>
          <cell r="D2348" t="str">
            <v>Labor Rate</v>
          </cell>
          <cell r="E2348" t="str">
            <v>EU</v>
          </cell>
          <cell r="F2348" t="str">
            <v>CEE&amp;Nordic European Sub-Regional Division</v>
          </cell>
          <cell r="G2348" t="str">
            <v>Hungary Rep.Office</v>
          </cell>
          <cell r="H2348" t="str">
            <v>3311</v>
          </cell>
          <cell r="I2348" t="str">
            <v>匈牙利</v>
          </cell>
          <cell r="J2348" t="str">
            <v>Hungary</v>
          </cell>
          <cell r="K2348" t="str">
            <v>Local employees</v>
          </cell>
          <cell r="L2348" t="str">
            <v>L3</v>
          </cell>
          <cell r="M2348" t="str">
            <v>ALL</v>
          </cell>
          <cell r="N2348" t="str">
            <v>FLPC(含奖金)</v>
          </cell>
          <cell r="O2348" t="str">
            <v>USD/小时</v>
          </cell>
          <cell r="P2348">
            <v>102.7</v>
          </cell>
        </row>
        <row r="2349">
          <cell r="A2349" t="str">
            <v>Croatia - Local employees - L0</v>
          </cell>
          <cell r="B2349" t="str">
            <v>Current version</v>
          </cell>
          <cell r="C2349" t="str">
            <v>V2009R2</v>
          </cell>
          <cell r="D2349" t="str">
            <v>Labor Rate</v>
          </cell>
          <cell r="E2349" t="str">
            <v>EU</v>
          </cell>
          <cell r="F2349" t="str">
            <v>CEE&amp;Nordic European Sub-Regional Division</v>
          </cell>
          <cell r="G2349" t="str">
            <v>Hungary Rep.Office</v>
          </cell>
          <cell r="H2349" t="str">
            <v>3315</v>
          </cell>
          <cell r="I2349" t="str">
            <v>克罗地亚</v>
          </cell>
          <cell r="J2349" t="str">
            <v>Croatia</v>
          </cell>
          <cell r="K2349" t="str">
            <v>Local employees</v>
          </cell>
          <cell r="L2349" t="str">
            <v>L0</v>
          </cell>
          <cell r="M2349" t="str">
            <v>ALL</v>
          </cell>
          <cell r="N2349" t="str">
            <v>FLPC(含奖金)</v>
          </cell>
          <cell r="O2349" t="str">
            <v>USD/小时</v>
          </cell>
          <cell r="P2349">
            <v>40.869999999999997</v>
          </cell>
        </row>
        <row r="2350">
          <cell r="A2350" t="str">
            <v>Croatia - Local employees - L1</v>
          </cell>
          <cell r="B2350" t="str">
            <v>Current version</v>
          </cell>
          <cell r="C2350" t="str">
            <v>V2009R2</v>
          </cell>
          <cell r="D2350" t="str">
            <v>Labor Rate</v>
          </cell>
          <cell r="E2350" t="str">
            <v>EU</v>
          </cell>
          <cell r="F2350" t="str">
            <v>CEE&amp;Nordic European Sub-Regional Division</v>
          </cell>
          <cell r="G2350" t="str">
            <v>Hungary Rep.Office</v>
          </cell>
          <cell r="H2350" t="str">
            <v>3315</v>
          </cell>
          <cell r="I2350" t="str">
            <v>克罗地亚</v>
          </cell>
          <cell r="J2350" t="str">
            <v>Croatia</v>
          </cell>
          <cell r="K2350" t="str">
            <v>Local employees</v>
          </cell>
          <cell r="L2350" t="str">
            <v>L1</v>
          </cell>
          <cell r="M2350" t="str">
            <v>ALL</v>
          </cell>
          <cell r="N2350" t="str">
            <v>FLPC(含奖金)</v>
          </cell>
          <cell r="O2350" t="str">
            <v>USD/小时</v>
          </cell>
          <cell r="P2350">
            <v>54.75</v>
          </cell>
        </row>
        <row r="2351">
          <cell r="A2351" t="str">
            <v>Croatia - Local employees - L2</v>
          </cell>
          <cell r="B2351" t="str">
            <v>Current version</v>
          </cell>
          <cell r="C2351" t="str">
            <v>V2009R2</v>
          </cell>
          <cell r="D2351" t="str">
            <v>Labor Rate</v>
          </cell>
          <cell r="E2351" t="str">
            <v>EU</v>
          </cell>
          <cell r="F2351" t="str">
            <v>CEE&amp;Nordic European Sub-Regional Division</v>
          </cell>
          <cell r="G2351" t="str">
            <v>Hungary Rep.Office</v>
          </cell>
          <cell r="H2351" t="str">
            <v>3315</v>
          </cell>
          <cell r="I2351" t="str">
            <v>克罗地亚</v>
          </cell>
          <cell r="J2351" t="str">
            <v>Croatia</v>
          </cell>
          <cell r="K2351" t="str">
            <v>Local employees</v>
          </cell>
          <cell r="L2351" t="str">
            <v>L2</v>
          </cell>
          <cell r="M2351" t="str">
            <v>ALL</v>
          </cell>
          <cell r="N2351" t="str">
            <v>FLPC(含奖金)</v>
          </cell>
          <cell r="O2351" t="str">
            <v>USD/小时</v>
          </cell>
          <cell r="P2351">
            <v>73.510000000000005</v>
          </cell>
        </row>
        <row r="2352">
          <cell r="A2352" t="str">
            <v>Croatia - Local employees - L3</v>
          </cell>
          <cell r="B2352" t="str">
            <v>Current version</v>
          </cell>
          <cell r="C2352" t="str">
            <v>V2009R2</v>
          </cell>
          <cell r="D2352" t="str">
            <v>Labor Rate</v>
          </cell>
          <cell r="E2352" t="str">
            <v>EU</v>
          </cell>
          <cell r="F2352" t="str">
            <v>CEE&amp;Nordic European Sub-Regional Division</v>
          </cell>
          <cell r="G2352" t="str">
            <v>Hungary Rep.Office</v>
          </cell>
          <cell r="H2352" t="str">
            <v>3315</v>
          </cell>
          <cell r="I2352" t="str">
            <v>克罗地亚</v>
          </cell>
          <cell r="J2352" t="str">
            <v>Croatia</v>
          </cell>
          <cell r="K2352" t="str">
            <v>Local employees</v>
          </cell>
          <cell r="L2352" t="str">
            <v>L3</v>
          </cell>
          <cell r="M2352" t="str">
            <v>ALL</v>
          </cell>
          <cell r="N2352" t="str">
            <v>FLPC(含奖金)</v>
          </cell>
          <cell r="O2352" t="str">
            <v>USD/小时</v>
          </cell>
          <cell r="P2352">
            <v>94.8</v>
          </cell>
        </row>
        <row r="2353">
          <cell r="A2353" t="str">
            <v>Slovenia - Local employees - L0</v>
          </cell>
          <cell r="B2353" t="str">
            <v>Current version</v>
          </cell>
          <cell r="C2353" t="str">
            <v>V2009R2</v>
          </cell>
          <cell r="D2353" t="str">
            <v>Labor Rate</v>
          </cell>
          <cell r="E2353" t="str">
            <v>EU</v>
          </cell>
          <cell r="F2353" t="str">
            <v>CEE&amp;Nordic European Sub-Regional Division</v>
          </cell>
          <cell r="G2353" t="str">
            <v>Hungary Rep.Office</v>
          </cell>
          <cell r="H2353" t="str">
            <v>3319</v>
          </cell>
          <cell r="I2353" t="str">
            <v>斯洛文尼亚</v>
          </cell>
          <cell r="J2353" t="str">
            <v>Slovenia</v>
          </cell>
          <cell r="K2353" t="str">
            <v>Local employees</v>
          </cell>
          <cell r="L2353" t="str">
            <v>L0</v>
          </cell>
          <cell r="M2353" t="str">
            <v>ALL</v>
          </cell>
          <cell r="N2353" t="str">
            <v>FLPC(含奖金)</v>
          </cell>
          <cell r="O2353" t="str">
            <v>USD/小时</v>
          </cell>
          <cell r="P2353">
            <v>40.549999999999997</v>
          </cell>
        </row>
        <row r="2354">
          <cell r="A2354" t="str">
            <v>Slovenia - Local employees - L1</v>
          </cell>
          <cell r="B2354" t="str">
            <v>Current version</v>
          </cell>
          <cell r="C2354" t="str">
            <v>V2009R2</v>
          </cell>
          <cell r="D2354" t="str">
            <v>Labor Rate</v>
          </cell>
          <cell r="E2354" t="str">
            <v>EU</v>
          </cell>
          <cell r="F2354" t="str">
            <v>CEE&amp;Nordic European Sub-Regional Division</v>
          </cell>
          <cell r="G2354" t="str">
            <v>Hungary Rep.Office</v>
          </cell>
          <cell r="H2354" t="str">
            <v>3319</v>
          </cell>
          <cell r="I2354" t="str">
            <v>斯洛文尼亚</v>
          </cell>
          <cell r="J2354" t="str">
            <v>Slovenia</v>
          </cell>
          <cell r="K2354" t="str">
            <v>Local employees</v>
          </cell>
          <cell r="L2354" t="str">
            <v>L1</v>
          </cell>
          <cell r="M2354" t="str">
            <v>ALL</v>
          </cell>
          <cell r="N2354" t="str">
            <v>FLPC(含奖金)</v>
          </cell>
          <cell r="O2354" t="str">
            <v>USD/小时</v>
          </cell>
          <cell r="P2354">
            <v>52.78</v>
          </cell>
        </row>
        <row r="2355">
          <cell r="A2355" t="str">
            <v>Slovenia - Local employees - L2</v>
          </cell>
          <cell r="B2355" t="str">
            <v>Current version</v>
          </cell>
          <cell r="C2355" t="str">
            <v>V2009R2</v>
          </cell>
          <cell r="D2355" t="str">
            <v>Labor Rate</v>
          </cell>
          <cell r="E2355" t="str">
            <v>EU</v>
          </cell>
          <cell r="F2355" t="str">
            <v>CEE&amp;Nordic European Sub-Regional Division</v>
          </cell>
          <cell r="G2355" t="str">
            <v>Hungary Rep.Office</v>
          </cell>
          <cell r="H2355" t="str">
            <v>3319</v>
          </cell>
          <cell r="I2355" t="str">
            <v>斯洛文尼亚</v>
          </cell>
          <cell r="J2355" t="str">
            <v>Slovenia</v>
          </cell>
          <cell r="K2355" t="str">
            <v>Local employees</v>
          </cell>
          <cell r="L2355" t="str">
            <v>L2</v>
          </cell>
          <cell r="M2355" t="str">
            <v>ALL</v>
          </cell>
          <cell r="N2355" t="str">
            <v>FLPC(含奖金)</v>
          </cell>
          <cell r="O2355" t="str">
            <v>USD/小时</v>
          </cell>
          <cell r="P2355">
            <v>70.78</v>
          </cell>
        </row>
        <row r="2356">
          <cell r="A2356" t="str">
            <v>Slovenia - Local employees - L3</v>
          </cell>
          <cell r="B2356" t="str">
            <v>Current version</v>
          </cell>
          <cell r="C2356" t="str">
            <v>V2009R2</v>
          </cell>
          <cell r="D2356" t="str">
            <v>Labor Rate</v>
          </cell>
          <cell r="E2356" t="str">
            <v>EU</v>
          </cell>
          <cell r="F2356" t="str">
            <v>CEE&amp;Nordic European Sub-Regional Division</v>
          </cell>
          <cell r="G2356" t="str">
            <v>Hungary Rep.Office</v>
          </cell>
          <cell r="H2356" t="str">
            <v>3319</v>
          </cell>
          <cell r="I2356" t="str">
            <v>斯洛文尼亚</v>
          </cell>
          <cell r="J2356" t="str">
            <v>Slovenia</v>
          </cell>
          <cell r="K2356" t="str">
            <v>Local employees</v>
          </cell>
          <cell r="L2356" t="str">
            <v>L3</v>
          </cell>
          <cell r="M2356" t="str">
            <v>ALL</v>
          </cell>
          <cell r="N2356" t="str">
            <v>FLPC(含奖金)</v>
          </cell>
          <cell r="O2356" t="str">
            <v>USD/小时</v>
          </cell>
          <cell r="P2356">
            <v>91.77</v>
          </cell>
        </row>
        <row r="2357">
          <cell r="A2357" t="str">
            <v>Greece - Local employees - L0</v>
          </cell>
          <cell r="B2357" t="str">
            <v>Current version</v>
          </cell>
          <cell r="C2357" t="str">
            <v>V2009R2</v>
          </cell>
          <cell r="D2357" t="str">
            <v>Labor Rate</v>
          </cell>
          <cell r="E2357" t="str">
            <v>EU</v>
          </cell>
          <cell r="F2357" t="str">
            <v>CEE&amp;Nordic European Sub-Regional Division</v>
          </cell>
          <cell r="G2357" t="str">
            <v>Greece Rep.Office</v>
          </cell>
          <cell r="H2357" t="str">
            <v>3309</v>
          </cell>
          <cell r="I2357" t="str">
            <v>希腊</v>
          </cell>
          <cell r="J2357" t="str">
            <v>Greece</v>
          </cell>
          <cell r="K2357" t="str">
            <v>Local employees</v>
          </cell>
          <cell r="L2357" t="str">
            <v>L0</v>
          </cell>
          <cell r="M2357" t="str">
            <v>ALL</v>
          </cell>
          <cell r="N2357" t="str">
            <v>FLPC(含奖金)</v>
          </cell>
          <cell r="O2357" t="str">
            <v>USD/小时</v>
          </cell>
          <cell r="P2357">
            <v>36.119999999999997</v>
          </cell>
        </row>
        <row r="2358">
          <cell r="A2358" t="str">
            <v>Greece - Local employees - L1</v>
          </cell>
          <cell r="B2358" t="str">
            <v>Current version</v>
          </cell>
          <cell r="C2358" t="str">
            <v>V2009R2</v>
          </cell>
          <cell r="D2358" t="str">
            <v>Labor Rate</v>
          </cell>
          <cell r="E2358" t="str">
            <v>EU</v>
          </cell>
          <cell r="F2358" t="str">
            <v>CEE&amp;Nordic European Sub-Regional Division</v>
          </cell>
          <cell r="G2358" t="str">
            <v>Greece Rep.Office</v>
          </cell>
          <cell r="H2358" t="str">
            <v>3309</v>
          </cell>
          <cell r="I2358" t="str">
            <v>希腊</v>
          </cell>
          <cell r="J2358" t="str">
            <v>Greece</v>
          </cell>
          <cell r="K2358" t="str">
            <v>Local employees</v>
          </cell>
          <cell r="L2358" t="str">
            <v>L1</v>
          </cell>
          <cell r="M2358" t="str">
            <v>ALL</v>
          </cell>
          <cell r="N2358" t="str">
            <v>FLPC(含奖金)</v>
          </cell>
          <cell r="O2358" t="str">
            <v>USD/小时</v>
          </cell>
          <cell r="P2358">
            <v>51</v>
          </cell>
        </row>
        <row r="2359">
          <cell r="A2359" t="str">
            <v>Greece - Local employees - L2</v>
          </cell>
          <cell r="B2359" t="str">
            <v>Current version</v>
          </cell>
          <cell r="C2359" t="str">
            <v>V2009R2</v>
          </cell>
          <cell r="D2359" t="str">
            <v>Labor Rate</v>
          </cell>
          <cell r="E2359" t="str">
            <v>EU</v>
          </cell>
          <cell r="F2359" t="str">
            <v>CEE&amp;Nordic European Sub-Regional Division</v>
          </cell>
          <cell r="G2359" t="str">
            <v>Greece Rep.Office</v>
          </cell>
          <cell r="H2359" t="str">
            <v>3309</v>
          </cell>
          <cell r="I2359" t="str">
            <v>希腊</v>
          </cell>
          <cell r="J2359" t="str">
            <v>Greece</v>
          </cell>
          <cell r="K2359" t="str">
            <v>Local employees</v>
          </cell>
          <cell r="L2359" t="str">
            <v>L2</v>
          </cell>
          <cell r="M2359" t="str">
            <v>ALL</v>
          </cell>
          <cell r="N2359" t="str">
            <v>FLPC(含奖金)</v>
          </cell>
          <cell r="O2359" t="str">
            <v>USD/小时</v>
          </cell>
          <cell r="P2359">
            <v>67.22</v>
          </cell>
        </row>
        <row r="2360">
          <cell r="A2360" t="str">
            <v>Greece - Local employees - L3</v>
          </cell>
          <cell r="B2360" t="str">
            <v>Current version</v>
          </cell>
          <cell r="C2360" t="str">
            <v>V2009R2</v>
          </cell>
          <cell r="D2360" t="str">
            <v>Labor Rate</v>
          </cell>
          <cell r="E2360" t="str">
            <v>EU</v>
          </cell>
          <cell r="F2360" t="str">
            <v>CEE&amp;Nordic European Sub-Regional Division</v>
          </cell>
          <cell r="G2360" t="str">
            <v>Greece Rep.Office</v>
          </cell>
          <cell r="H2360" t="str">
            <v>3309</v>
          </cell>
          <cell r="I2360" t="str">
            <v>希腊</v>
          </cell>
          <cell r="J2360" t="str">
            <v>Greece</v>
          </cell>
          <cell r="K2360" t="str">
            <v>Local employees</v>
          </cell>
          <cell r="L2360" t="str">
            <v>L3</v>
          </cell>
          <cell r="M2360" t="str">
            <v>ALL</v>
          </cell>
          <cell r="N2360" t="str">
            <v>FLPC(含奖金)</v>
          </cell>
          <cell r="O2360" t="str">
            <v>USD/小时</v>
          </cell>
          <cell r="P2360">
            <v>112.79</v>
          </cell>
        </row>
        <row r="2361">
          <cell r="A2361" t="str">
            <v>Kosovo - Local employees - L0</v>
          </cell>
          <cell r="B2361" t="str">
            <v>Current version</v>
          </cell>
          <cell r="C2361" t="str">
            <v>V2009R2</v>
          </cell>
          <cell r="D2361" t="str">
            <v>Labor Rate</v>
          </cell>
          <cell r="E2361" t="str">
            <v>EU</v>
          </cell>
          <cell r="F2361" t="str">
            <v>CEE&amp;Nordic European Sub-Regional Division</v>
          </cell>
          <cell r="G2361" t="str">
            <v>Greece Rep.Office</v>
          </cell>
          <cell r="H2361" t="str">
            <v>3321</v>
          </cell>
          <cell r="I2361" t="str">
            <v>科索沃</v>
          </cell>
          <cell r="J2361" t="str">
            <v>Kosovo</v>
          </cell>
          <cell r="K2361" t="str">
            <v>Local employees</v>
          </cell>
          <cell r="L2361" t="str">
            <v>L0</v>
          </cell>
          <cell r="M2361" t="str">
            <v>ALL</v>
          </cell>
          <cell r="N2361" t="str">
            <v>FLPC(含奖金)</v>
          </cell>
          <cell r="O2361" t="str">
            <v>USD/小时</v>
          </cell>
          <cell r="P2361">
            <v>34.5</v>
          </cell>
        </row>
        <row r="2362">
          <cell r="A2362" t="str">
            <v>Kosovo - Local employees - L1</v>
          </cell>
          <cell r="B2362" t="str">
            <v>Current version</v>
          </cell>
          <cell r="C2362" t="str">
            <v>V2009R2</v>
          </cell>
          <cell r="D2362" t="str">
            <v>Labor Rate</v>
          </cell>
          <cell r="E2362" t="str">
            <v>EU</v>
          </cell>
          <cell r="F2362" t="str">
            <v>CEE&amp;Nordic European Sub-Regional Division</v>
          </cell>
          <cell r="G2362" t="str">
            <v>Greece Rep.Office</v>
          </cell>
          <cell r="H2362" t="str">
            <v>3321</v>
          </cell>
          <cell r="I2362" t="str">
            <v>科索沃</v>
          </cell>
          <cell r="J2362" t="str">
            <v>Kosovo</v>
          </cell>
          <cell r="K2362" t="str">
            <v>Local employees</v>
          </cell>
          <cell r="L2362" t="str">
            <v>L1</v>
          </cell>
          <cell r="M2362" t="str">
            <v>ALL</v>
          </cell>
          <cell r="N2362" t="str">
            <v>FLPC(含奖金)</v>
          </cell>
          <cell r="O2362" t="str">
            <v>USD/小时</v>
          </cell>
          <cell r="P2362">
            <v>49.12</v>
          </cell>
        </row>
        <row r="2363">
          <cell r="A2363" t="str">
            <v>Kosovo - Local employees - L2</v>
          </cell>
          <cell r="B2363" t="str">
            <v>Current version</v>
          </cell>
          <cell r="C2363" t="str">
            <v>V2009R2</v>
          </cell>
          <cell r="D2363" t="str">
            <v>Labor Rate</v>
          </cell>
          <cell r="E2363" t="str">
            <v>EU</v>
          </cell>
          <cell r="F2363" t="str">
            <v>CEE&amp;Nordic European Sub-Regional Division</v>
          </cell>
          <cell r="G2363" t="str">
            <v>Greece Rep.Office</v>
          </cell>
          <cell r="H2363" t="str">
            <v>3321</v>
          </cell>
          <cell r="I2363" t="str">
            <v>科索沃</v>
          </cell>
          <cell r="J2363" t="str">
            <v>Kosovo</v>
          </cell>
          <cell r="K2363" t="str">
            <v>Local employees</v>
          </cell>
          <cell r="L2363" t="str">
            <v>L2</v>
          </cell>
          <cell r="M2363" t="str">
            <v>ALL</v>
          </cell>
          <cell r="N2363" t="str">
            <v>FLPC(含奖金)</v>
          </cell>
          <cell r="O2363" t="str">
            <v>USD/小时</v>
          </cell>
          <cell r="P2363">
            <v>65.040000000000006</v>
          </cell>
        </row>
        <row r="2364">
          <cell r="A2364" t="str">
            <v>Kosovo - Local employees - L3</v>
          </cell>
          <cell r="B2364" t="str">
            <v>Current version</v>
          </cell>
          <cell r="C2364" t="str">
            <v>V2009R2</v>
          </cell>
          <cell r="D2364" t="str">
            <v>Labor Rate</v>
          </cell>
          <cell r="E2364" t="str">
            <v>EU</v>
          </cell>
          <cell r="F2364" t="str">
            <v>CEE&amp;Nordic European Sub-Regional Division</v>
          </cell>
          <cell r="G2364" t="str">
            <v>Greece Rep.Office</v>
          </cell>
          <cell r="H2364" t="str">
            <v>3321</v>
          </cell>
          <cell r="I2364" t="str">
            <v>科索沃</v>
          </cell>
          <cell r="J2364" t="str">
            <v>Kosovo</v>
          </cell>
          <cell r="K2364" t="str">
            <v>Local employees</v>
          </cell>
          <cell r="L2364" t="str">
            <v>L3</v>
          </cell>
          <cell r="M2364" t="str">
            <v>ALL</v>
          </cell>
          <cell r="N2364" t="str">
            <v>FLPC(含奖金)</v>
          </cell>
          <cell r="O2364" t="str">
            <v>USD/小时</v>
          </cell>
          <cell r="P2364">
            <v>109.8</v>
          </cell>
        </row>
        <row r="2365">
          <cell r="A2365" t="str">
            <v>Czech - Local employees - L0</v>
          </cell>
          <cell r="B2365" t="str">
            <v>Current version</v>
          </cell>
          <cell r="C2365" t="str">
            <v>V2009R2</v>
          </cell>
          <cell r="D2365" t="str">
            <v>Labor Rate</v>
          </cell>
          <cell r="E2365" t="str">
            <v>EU</v>
          </cell>
          <cell r="F2365" t="str">
            <v>CEE&amp;Nordic European Sub-Regional Division</v>
          </cell>
          <cell r="G2365" t="str">
            <v>Czech Rep.Office</v>
          </cell>
          <cell r="H2365" t="str">
            <v>3312</v>
          </cell>
          <cell r="I2365" t="str">
            <v>捷克</v>
          </cell>
          <cell r="J2365" t="str">
            <v>Czech</v>
          </cell>
          <cell r="K2365" t="str">
            <v>Local employees</v>
          </cell>
          <cell r="L2365" t="str">
            <v>L0</v>
          </cell>
          <cell r="M2365" t="str">
            <v>ALL</v>
          </cell>
          <cell r="N2365" t="str">
            <v>FLPC(含奖金)</v>
          </cell>
          <cell r="O2365" t="str">
            <v>USD/小时</v>
          </cell>
          <cell r="P2365">
            <v>38.729999999999997</v>
          </cell>
        </row>
        <row r="2366">
          <cell r="A2366" t="str">
            <v>Czech - Local employees - L1</v>
          </cell>
          <cell r="B2366" t="str">
            <v>Current version</v>
          </cell>
          <cell r="C2366" t="str">
            <v>V2009R2</v>
          </cell>
          <cell r="D2366" t="str">
            <v>Labor Rate</v>
          </cell>
          <cell r="E2366" t="str">
            <v>EU</v>
          </cell>
          <cell r="F2366" t="str">
            <v>CEE&amp;Nordic European Sub-Regional Division</v>
          </cell>
          <cell r="G2366" t="str">
            <v>Czech Rep.Office</v>
          </cell>
          <cell r="H2366" t="str">
            <v>3312</v>
          </cell>
          <cell r="I2366" t="str">
            <v>捷克</v>
          </cell>
          <cell r="J2366" t="str">
            <v>Czech</v>
          </cell>
          <cell r="K2366" t="str">
            <v>Local employees</v>
          </cell>
          <cell r="L2366" t="str">
            <v>L1</v>
          </cell>
          <cell r="M2366" t="str">
            <v>ALL</v>
          </cell>
          <cell r="N2366" t="str">
            <v>FLPC(含奖金)</v>
          </cell>
          <cell r="O2366" t="str">
            <v>USD/小时</v>
          </cell>
          <cell r="P2366">
            <v>49.9</v>
          </cell>
        </row>
        <row r="2367">
          <cell r="A2367" t="str">
            <v>Czech - Local employees - L2</v>
          </cell>
          <cell r="B2367" t="str">
            <v>Current version</v>
          </cell>
          <cell r="C2367" t="str">
            <v>V2009R2</v>
          </cell>
          <cell r="D2367" t="str">
            <v>Labor Rate</v>
          </cell>
          <cell r="E2367" t="str">
            <v>EU</v>
          </cell>
          <cell r="F2367" t="str">
            <v>CEE&amp;Nordic European Sub-Regional Division</v>
          </cell>
          <cell r="G2367" t="str">
            <v>Czech Rep.Office</v>
          </cell>
          <cell r="H2367" t="str">
            <v>3312</v>
          </cell>
          <cell r="I2367" t="str">
            <v>捷克</v>
          </cell>
          <cell r="J2367" t="str">
            <v>Czech</v>
          </cell>
          <cell r="K2367" t="str">
            <v>Local employees</v>
          </cell>
          <cell r="L2367" t="str">
            <v>L2</v>
          </cell>
          <cell r="M2367" t="str">
            <v>ALL</v>
          </cell>
          <cell r="N2367" t="str">
            <v>FLPC(含奖金)</v>
          </cell>
          <cell r="O2367" t="str">
            <v>USD/小时</v>
          </cell>
          <cell r="P2367">
            <v>72.61</v>
          </cell>
        </row>
        <row r="2368">
          <cell r="A2368" t="str">
            <v>Czech - Local employees - L3</v>
          </cell>
          <cell r="B2368" t="str">
            <v>Current version</v>
          </cell>
          <cell r="C2368" t="str">
            <v>V2009R2</v>
          </cell>
          <cell r="D2368" t="str">
            <v>Labor Rate</v>
          </cell>
          <cell r="E2368" t="str">
            <v>EU</v>
          </cell>
          <cell r="F2368" t="str">
            <v>CEE&amp;Nordic European Sub-Regional Division</v>
          </cell>
          <cell r="G2368" t="str">
            <v>Czech Rep.Office</v>
          </cell>
          <cell r="H2368" t="str">
            <v>3312</v>
          </cell>
          <cell r="I2368" t="str">
            <v>捷克</v>
          </cell>
          <cell r="J2368" t="str">
            <v>Czech</v>
          </cell>
          <cell r="K2368" t="str">
            <v>Local employees</v>
          </cell>
          <cell r="L2368" t="str">
            <v>L3</v>
          </cell>
          <cell r="M2368" t="str">
            <v>ALL</v>
          </cell>
          <cell r="N2368" t="str">
            <v>FLPC(含奖金)</v>
          </cell>
          <cell r="O2368" t="str">
            <v>USD/小时</v>
          </cell>
          <cell r="P2368">
            <v>97.51</v>
          </cell>
        </row>
        <row r="2369">
          <cell r="A2369" t="str">
            <v>Slovak - Local employees - L0</v>
          </cell>
          <cell r="B2369" t="str">
            <v>Current version</v>
          </cell>
          <cell r="C2369" t="str">
            <v>V2009R2</v>
          </cell>
          <cell r="D2369" t="str">
            <v>Labor Rate</v>
          </cell>
          <cell r="E2369" t="str">
            <v>EU</v>
          </cell>
          <cell r="F2369" t="str">
            <v>CEE&amp;Nordic European Sub-Regional Division</v>
          </cell>
          <cell r="G2369" t="str">
            <v>Czech Rep.Office</v>
          </cell>
          <cell r="H2369" t="str">
            <v>3314</v>
          </cell>
          <cell r="I2369" t="str">
            <v>斯洛伐克</v>
          </cell>
          <cell r="J2369" t="str">
            <v>Slovak</v>
          </cell>
          <cell r="K2369" t="str">
            <v>Local employees</v>
          </cell>
          <cell r="L2369" t="str">
            <v>L0</v>
          </cell>
          <cell r="M2369" t="str">
            <v>ALL</v>
          </cell>
          <cell r="N2369" t="str">
            <v>FLPC(含奖金)</v>
          </cell>
          <cell r="O2369" t="str">
            <v>USD/小时</v>
          </cell>
          <cell r="P2369">
            <v>42.91</v>
          </cell>
        </row>
        <row r="2370">
          <cell r="A2370" t="str">
            <v>Slovak - Local employees - L1</v>
          </cell>
          <cell r="B2370" t="str">
            <v>Current version</v>
          </cell>
          <cell r="C2370" t="str">
            <v>V2009R2</v>
          </cell>
          <cell r="D2370" t="str">
            <v>Labor Rate</v>
          </cell>
          <cell r="E2370" t="str">
            <v>EU</v>
          </cell>
          <cell r="F2370" t="str">
            <v>CEE&amp;Nordic European Sub-Regional Division</v>
          </cell>
          <cell r="G2370" t="str">
            <v>Czech Rep.Office</v>
          </cell>
          <cell r="H2370" t="str">
            <v>3314</v>
          </cell>
          <cell r="I2370" t="str">
            <v>斯洛伐克</v>
          </cell>
          <cell r="J2370" t="str">
            <v>Slovak</v>
          </cell>
          <cell r="K2370" t="str">
            <v>Local employees</v>
          </cell>
          <cell r="L2370" t="str">
            <v>L1</v>
          </cell>
          <cell r="M2370" t="str">
            <v>ALL</v>
          </cell>
          <cell r="N2370" t="str">
            <v>FLPC(含奖金)</v>
          </cell>
          <cell r="O2370" t="str">
            <v>USD/小时</v>
          </cell>
          <cell r="P2370">
            <v>54.89</v>
          </cell>
        </row>
        <row r="2371">
          <cell r="A2371" t="str">
            <v>Slovak - Local employees - L2</v>
          </cell>
          <cell r="B2371" t="str">
            <v>Current version</v>
          </cell>
          <cell r="C2371" t="str">
            <v>V2009R2</v>
          </cell>
          <cell r="D2371" t="str">
            <v>Labor Rate</v>
          </cell>
          <cell r="E2371" t="str">
            <v>EU</v>
          </cell>
          <cell r="F2371" t="str">
            <v>CEE&amp;Nordic European Sub-Regional Division</v>
          </cell>
          <cell r="G2371" t="str">
            <v>Czech Rep.Office</v>
          </cell>
          <cell r="H2371" t="str">
            <v>3314</v>
          </cell>
          <cell r="I2371" t="str">
            <v>斯洛伐克</v>
          </cell>
          <cell r="J2371" t="str">
            <v>Slovak</v>
          </cell>
          <cell r="K2371" t="str">
            <v>Local employees</v>
          </cell>
          <cell r="L2371" t="str">
            <v>L2</v>
          </cell>
          <cell r="M2371" t="str">
            <v>ALL</v>
          </cell>
          <cell r="N2371" t="str">
            <v>FLPC(含奖金)</v>
          </cell>
          <cell r="O2371" t="str">
            <v>USD/小时</v>
          </cell>
          <cell r="P2371">
            <v>72.430000000000007</v>
          </cell>
        </row>
        <row r="2372">
          <cell r="A2372" t="str">
            <v>Slovak - Local employees - L3</v>
          </cell>
          <cell r="B2372" t="str">
            <v>Current version</v>
          </cell>
          <cell r="C2372" t="str">
            <v>V2009R2</v>
          </cell>
          <cell r="D2372" t="str">
            <v>Labor Rate</v>
          </cell>
          <cell r="E2372" t="str">
            <v>EU</v>
          </cell>
          <cell r="F2372" t="str">
            <v>CEE&amp;Nordic European Sub-Regional Division</v>
          </cell>
          <cell r="G2372" t="str">
            <v>Czech Rep.Office</v>
          </cell>
          <cell r="H2372" t="str">
            <v>3314</v>
          </cell>
          <cell r="I2372" t="str">
            <v>斯洛伐克</v>
          </cell>
          <cell r="J2372" t="str">
            <v>Slovak</v>
          </cell>
          <cell r="K2372" t="str">
            <v>Local employees</v>
          </cell>
          <cell r="L2372" t="str">
            <v>L3</v>
          </cell>
          <cell r="M2372" t="str">
            <v>ALL</v>
          </cell>
          <cell r="N2372" t="str">
            <v>FLPC(含奖金)</v>
          </cell>
          <cell r="O2372" t="str">
            <v>USD/小时</v>
          </cell>
          <cell r="P2372">
            <v>84.95</v>
          </cell>
        </row>
        <row r="2373">
          <cell r="A2373" t="str">
            <v>Austria - Local employees - L0</v>
          </cell>
          <cell r="B2373" t="str">
            <v>Current version</v>
          </cell>
          <cell r="C2373" t="str">
            <v>V2009R2</v>
          </cell>
          <cell r="D2373" t="str">
            <v>Labor Rate</v>
          </cell>
          <cell r="E2373" t="str">
            <v>EU</v>
          </cell>
          <cell r="F2373" t="str">
            <v>CEE&amp;Nordic European Sub-Regional Division</v>
          </cell>
          <cell r="G2373" t="str">
            <v>Czech Rep.Office</v>
          </cell>
          <cell r="H2373" t="str">
            <v>3608</v>
          </cell>
          <cell r="I2373" t="str">
            <v>奥地利</v>
          </cell>
          <cell r="J2373" t="str">
            <v>Austria</v>
          </cell>
          <cell r="K2373" t="str">
            <v>Local employees</v>
          </cell>
          <cell r="L2373" t="str">
            <v>L0</v>
          </cell>
          <cell r="M2373" t="str">
            <v>ALL</v>
          </cell>
          <cell r="N2373" t="str">
            <v>FLPC(含奖金)</v>
          </cell>
          <cell r="O2373" t="str">
            <v>USD/小时</v>
          </cell>
          <cell r="P2373">
            <v>58.44</v>
          </cell>
        </row>
        <row r="2374">
          <cell r="A2374" t="str">
            <v>Austria - Local employees - L1</v>
          </cell>
          <cell r="B2374" t="str">
            <v>Current version</v>
          </cell>
          <cell r="C2374" t="str">
            <v>V2009R2</v>
          </cell>
          <cell r="D2374" t="str">
            <v>Labor Rate</v>
          </cell>
          <cell r="E2374" t="str">
            <v>EU</v>
          </cell>
          <cell r="F2374" t="str">
            <v>CEE&amp;Nordic European Sub-Regional Division</v>
          </cell>
          <cell r="G2374" t="str">
            <v>Czech Rep.Office</v>
          </cell>
          <cell r="H2374" t="str">
            <v>3608</v>
          </cell>
          <cell r="I2374" t="str">
            <v>奥地利</v>
          </cell>
          <cell r="J2374" t="str">
            <v>Austria</v>
          </cell>
          <cell r="K2374" t="str">
            <v>Local employees</v>
          </cell>
          <cell r="L2374" t="str">
            <v>L1</v>
          </cell>
          <cell r="M2374" t="str">
            <v>ALL</v>
          </cell>
          <cell r="N2374" t="str">
            <v>FLPC(含奖金)</v>
          </cell>
          <cell r="O2374" t="str">
            <v>USD/小时</v>
          </cell>
          <cell r="P2374">
            <v>80.39</v>
          </cell>
        </row>
        <row r="2375">
          <cell r="A2375" t="str">
            <v>Austria - Local employees - L2</v>
          </cell>
          <cell r="B2375" t="str">
            <v>Current version</v>
          </cell>
          <cell r="C2375" t="str">
            <v>V2009R2</v>
          </cell>
          <cell r="D2375" t="str">
            <v>Labor Rate</v>
          </cell>
          <cell r="E2375" t="str">
            <v>EU</v>
          </cell>
          <cell r="F2375" t="str">
            <v>CEE&amp;Nordic European Sub-Regional Division</v>
          </cell>
          <cell r="G2375" t="str">
            <v>Czech Rep.Office</v>
          </cell>
          <cell r="H2375" t="str">
            <v>3608</v>
          </cell>
          <cell r="I2375" t="str">
            <v>奥地利</v>
          </cell>
          <cell r="J2375" t="str">
            <v>Austria</v>
          </cell>
          <cell r="K2375" t="str">
            <v>Local employees</v>
          </cell>
          <cell r="L2375" t="str">
            <v>L2</v>
          </cell>
          <cell r="M2375" t="str">
            <v>ALL</v>
          </cell>
          <cell r="N2375" t="str">
            <v>FLPC(含奖金)</v>
          </cell>
          <cell r="O2375" t="str">
            <v>USD/小时</v>
          </cell>
          <cell r="P2375">
            <v>110</v>
          </cell>
        </row>
        <row r="2376">
          <cell r="A2376" t="str">
            <v>Austria - Local employees - L3</v>
          </cell>
          <cell r="B2376" t="str">
            <v>Current version</v>
          </cell>
          <cell r="C2376" t="str">
            <v>V2009R2</v>
          </cell>
          <cell r="D2376" t="str">
            <v>Labor Rate</v>
          </cell>
          <cell r="E2376" t="str">
            <v>EU</v>
          </cell>
          <cell r="F2376" t="str">
            <v>CEE&amp;Nordic European Sub-Regional Division</v>
          </cell>
          <cell r="G2376" t="str">
            <v>Czech Rep.Office</v>
          </cell>
          <cell r="H2376" t="str">
            <v>3608</v>
          </cell>
          <cell r="I2376" t="str">
            <v>奥地利</v>
          </cell>
          <cell r="J2376" t="str">
            <v>Austria</v>
          </cell>
          <cell r="K2376" t="str">
            <v>Local employees</v>
          </cell>
          <cell r="L2376" t="str">
            <v>L3</v>
          </cell>
          <cell r="M2376" t="str">
            <v>ALL</v>
          </cell>
          <cell r="N2376" t="str">
            <v>FLPC(含奖金)</v>
          </cell>
          <cell r="O2376" t="str">
            <v>USD/小时</v>
          </cell>
          <cell r="P2376">
            <v>142.16</v>
          </cell>
        </row>
        <row r="2377">
          <cell r="A2377" t="str">
            <v>Austria - Local employees - L4</v>
          </cell>
          <cell r="B2377" t="str">
            <v>Current version</v>
          </cell>
          <cell r="C2377" t="str">
            <v>V2009R2</v>
          </cell>
          <cell r="D2377" t="str">
            <v>Labor Rate</v>
          </cell>
          <cell r="E2377" t="str">
            <v>EU</v>
          </cell>
          <cell r="F2377" t="str">
            <v>CEE&amp;Nordic European Sub-Regional Division</v>
          </cell>
          <cell r="G2377" t="str">
            <v>Czech Rep.Office</v>
          </cell>
          <cell r="H2377" t="str">
            <v>3608</v>
          </cell>
          <cell r="I2377" t="str">
            <v>奥地利</v>
          </cell>
          <cell r="J2377" t="str">
            <v>Austria</v>
          </cell>
          <cell r="K2377" t="str">
            <v>Local employees</v>
          </cell>
          <cell r="L2377" t="str">
            <v>L4</v>
          </cell>
          <cell r="M2377" t="str">
            <v>ALL</v>
          </cell>
          <cell r="N2377" t="str">
            <v>FLPC(含奖金)</v>
          </cell>
          <cell r="O2377" t="str">
            <v>USD/小时</v>
          </cell>
          <cell r="P2377">
            <v>177.92</v>
          </cell>
        </row>
        <row r="2378">
          <cell r="A2378" t="str">
            <v>Macedon - Local employees - L0</v>
          </cell>
          <cell r="B2378" t="str">
            <v>Current version</v>
          </cell>
          <cell r="C2378" t="str">
            <v>V2009R2</v>
          </cell>
          <cell r="D2378" t="str">
            <v>Labor Rate</v>
          </cell>
          <cell r="E2378" t="str">
            <v>EU</v>
          </cell>
          <cell r="F2378" t="str">
            <v>CEE&amp;Nordic European Sub-Regional Division</v>
          </cell>
          <cell r="G2378" t="str">
            <v>Bulgaria Rep.Office</v>
          </cell>
          <cell r="H2378" t="str">
            <v>3318</v>
          </cell>
          <cell r="I2378" t="str">
            <v>马其顿</v>
          </cell>
          <cell r="J2378" t="str">
            <v>Macedon</v>
          </cell>
          <cell r="K2378" t="str">
            <v>Local employees</v>
          </cell>
          <cell r="L2378" t="str">
            <v>L0</v>
          </cell>
          <cell r="M2378" t="str">
            <v>ALL</v>
          </cell>
          <cell r="N2378" t="str">
            <v>FLPC(含奖金)</v>
          </cell>
          <cell r="O2378" t="str">
            <v>USD/小时</v>
          </cell>
          <cell r="P2378">
            <v>23.84</v>
          </cell>
        </row>
        <row r="2379">
          <cell r="A2379" t="str">
            <v>Macedon - Local employees - L1</v>
          </cell>
          <cell r="B2379" t="str">
            <v>Current version</v>
          </cell>
          <cell r="C2379" t="str">
            <v>V2009R2</v>
          </cell>
          <cell r="D2379" t="str">
            <v>Labor Rate</v>
          </cell>
          <cell r="E2379" t="str">
            <v>EU</v>
          </cell>
          <cell r="F2379" t="str">
            <v>CEE&amp;Nordic European Sub-Regional Division</v>
          </cell>
          <cell r="G2379" t="str">
            <v>Bulgaria Rep.Office</v>
          </cell>
          <cell r="H2379" t="str">
            <v>3318</v>
          </cell>
          <cell r="I2379" t="str">
            <v>马其顿</v>
          </cell>
          <cell r="J2379" t="str">
            <v>Macedon</v>
          </cell>
          <cell r="K2379" t="str">
            <v>Local employees</v>
          </cell>
          <cell r="L2379" t="str">
            <v>L1</v>
          </cell>
          <cell r="M2379" t="str">
            <v>ALL</v>
          </cell>
          <cell r="N2379" t="str">
            <v>FLPC(含奖金)</v>
          </cell>
          <cell r="O2379" t="str">
            <v>USD/小时</v>
          </cell>
          <cell r="P2379">
            <v>38</v>
          </cell>
        </row>
        <row r="2380">
          <cell r="A2380" t="str">
            <v>Macedon - Local employees - L2</v>
          </cell>
          <cell r="B2380" t="str">
            <v>Current version</v>
          </cell>
          <cell r="C2380" t="str">
            <v>V2009R2</v>
          </cell>
          <cell r="D2380" t="str">
            <v>Labor Rate</v>
          </cell>
          <cell r="E2380" t="str">
            <v>EU</v>
          </cell>
          <cell r="F2380" t="str">
            <v>CEE&amp;Nordic European Sub-Regional Division</v>
          </cell>
          <cell r="G2380" t="str">
            <v>Bulgaria Rep.Office</v>
          </cell>
          <cell r="H2380" t="str">
            <v>3318</v>
          </cell>
          <cell r="I2380" t="str">
            <v>马其顿</v>
          </cell>
          <cell r="J2380" t="str">
            <v>Macedon</v>
          </cell>
          <cell r="K2380" t="str">
            <v>Local employees</v>
          </cell>
          <cell r="L2380" t="str">
            <v>L2</v>
          </cell>
          <cell r="M2380" t="str">
            <v>ALL</v>
          </cell>
          <cell r="N2380" t="str">
            <v>FLPC(含奖金)</v>
          </cell>
          <cell r="O2380" t="str">
            <v>USD/小时</v>
          </cell>
          <cell r="P2380">
            <v>45.4</v>
          </cell>
        </row>
        <row r="2381">
          <cell r="A2381" t="str">
            <v>Macedon - Local employees - L3</v>
          </cell>
          <cell r="B2381" t="str">
            <v>Current version</v>
          </cell>
          <cell r="C2381" t="str">
            <v>V2009R2</v>
          </cell>
          <cell r="D2381" t="str">
            <v>Labor Rate</v>
          </cell>
          <cell r="E2381" t="str">
            <v>EU</v>
          </cell>
          <cell r="F2381" t="str">
            <v>CEE&amp;Nordic European Sub-Regional Division</v>
          </cell>
          <cell r="G2381" t="str">
            <v>Bulgaria Rep.Office</v>
          </cell>
          <cell r="H2381" t="str">
            <v>3318</v>
          </cell>
          <cell r="I2381" t="str">
            <v>马其顿</v>
          </cell>
          <cell r="J2381" t="str">
            <v>Macedon</v>
          </cell>
          <cell r="K2381" t="str">
            <v>Local employees</v>
          </cell>
          <cell r="L2381" t="str">
            <v>L3</v>
          </cell>
          <cell r="M2381" t="str">
            <v>ALL</v>
          </cell>
          <cell r="N2381" t="str">
            <v>FLPC(含奖金)</v>
          </cell>
          <cell r="O2381" t="str">
            <v>USD/小时</v>
          </cell>
          <cell r="P2381">
            <v>60.7</v>
          </cell>
        </row>
        <row r="2382">
          <cell r="A2382" t="str">
            <v>Bulgaria - Local employees - L0</v>
          </cell>
          <cell r="B2382" t="str">
            <v>Current version</v>
          </cell>
          <cell r="C2382" t="str">
            <v>V2009R2</v>
          </cell>
          <cell r="D2382" t="str">
            <v>Labor Rate</v>
          </cell>
          <cell r="E2382" t="str">
            <v>EU</v>
          </cell>
          <cell r="F2382" t="str">
            <v>CEE&amp;Nordic European Sub-Regional Division</v>
          </cell>
          <cell r="G2382" t="str">
            <v>Bulgaria Rep.Office</v>
          </cell>
          <cell r="H2382" t="str">
            <v>3313</v>
          </cell>
          <cell r="I2382" t="str">
            <v>保加利亚</v>
          </cell>
          <cell r="J2382" t="str">
            <v>Bulgaria</v>
          </cell>
          <cell r="K2382" t="str">
            <v>Local employees</v>
          </cell>
          <cell r="L2382" t="str">
            <v>L0</v>
          </cell>
          <cell r="M2382" t="str">
            <v>ALL</v>
          </cell>
          <cell r="N2382" t="str">
            <v>FLPC(含奖金)</v>
          </cell>
          <cell r="O2382" t="str">
            <v>USD/小时</v>
          </cell>
          <cell r="P2382">
            <v>24.83</v>
          </cell>
        </row>
        <row r="2383">
          <cell r="A2383" t="str">
            <v>Bulgaria - Local employees - L1</v>
          </cell>
          <cell r="B2383" t="str">
            <v>Current version</v>
          </cell>
          <cell r="C2383" t="str">
            <v>V2009R2</v>
          </cell>
          <cell r="D2383" t="str">
            <v>Labor Rate</v>
          </cell>
          <cell r="E2383" t="str">
            <v>EU</v>
          </cell>
          <cell r="F2383" t="str">
            <v>CEE&amp;Nordic European Sub-Regional Division</v>
          </cell>
          <cell r="G2383" t="str">
            <v>Bulgaria Rep.Office</v>
          </cell>
          <cell r="H2383" t="str">
            <v>3313</v>
          </cell>
          <cell r="I2383" t="str">
            <v>保加利亚</v>
          </cell>
          <cell r="J2383" t="str">
            <v>Bulgaria</v>
          </cell>
          <cell r="K2383" t="str">
            <v>Local employees</v>
          </cell>
          <cell r="L2383" t="str">
            <v>L1</v>
          </cell>
          <cell r="M2383" t="str">
            <v>ALL</v>
          </cell>
          <cell r="N2383" t="str">
            <v>FLPC(含奖金)</v>
          </cell>
          <cell r="O2383" t="str">
            <v>USD/小时</v>
          </cell>
          <cell r="P2383">
            <v>30.5</v>
          </cell>
        </row>
        <row r="2384">
          <cell r="A2384" t="str">
            <v>Bulgaria - Local employees - L2</v>
          </cell>
          <cell r="B2384" t="str">
            <v>Current version</v>
          </cell>
          <cell r="C2384" t="str">
            <v>V2009R2</v>
          </cell>
          <cell r="D2384" t="str">
            <v>Labor Rate</v>
          </cell>
          <cell r="E2384" t="str">
            <v>EU</v>
          </cell>
          <cell r="F2384" t="str">
            <v>CEE&amp;Nordic European Sub-Regional Division</v>
          </cell>
          <cell r="G2384" t="str">
            <v>Bulgaria Rep.Office</v>
          </cell>
          <cell r="H2384" t="str">
            <v>3313</v>
          </cell>
          <cell r="I2384" t="str">
            <v>保加利亚</v>
          </cell>
          <cell r="J2384" t="str">
            <v>Bulgaria</v>
          </cell>
          <cell r="K2384" t="str">
            <v>Local employees</v>
          </cell>
          <cell r="L2384" t="str">
            <v>L2</v>
          </cell>
          <cell r="M2384" t="str">
            <v>ALL</v>
          </cell>
          <cell r="N2384" t="str">
            <v>FLPC(含奖金)</v>
          </cell>
          <cell r="O2384" t="str">
            <v>USD/小时</v>
          </cell>
          <cell r="P2384">
            <v>44.65</v>
          </cell>
        </row>
        <row r="2385">
          <cell r="A2385" t="str">
            <v>Bulgaria - Local employees - L3</v>
          </cell>
          <cell r="B2385" t="str">
            <v>Current version</v>
          </cell>
          <cell r="C2385" t="str">
            <v>V2009R2</v>
          </cell>
          <cell r="D2385" t="str">
            <v>Labor Rate</v>
          </cell>
          <cell r="E2385" t="str">
            <v>EU</v>
          </cell>
          <cell r="F2385" t="str">
            <v>CEE&amp;Nordic European Sub-Regional Division</v>
          </cell>
          <cell r="G2385" t="str">
            <v>Bulgaria Rep.Office</v>
          </cell>
          <cell r="H2385" t="str">
            <v>3313</v>
          </cell>
          <cell r="I2385" t="str">
            <v>保加利亚</v>
          </cell>
          <cell r="J2385" t="str">
            <v>Bulgaria</v>
          </cell>
          <cell r="K2385" t="str">
            <v>Local employees</v>
          </cell>
          <cell r="L2385" t="str">
            <v>L3</v>
          </cell>
          <cell r="M2385" t="str">
            <v>ALL</v>
          </cell>
          <cell r="N2385" t="str">
            <v>FLPC(含奖金)</v>
          </cell>
          <cell r="O2385" t="str">
            <v>USD/小时</v>
          </cell>
          <cell r="P2385">
            <v>67.53</v>
          </cell>
        </row>
        <row r="2386">
          <cell r="A2386" t="str">
            <v>Burkina - Local employees - L1</v>
          </cell>
          <cell r="B2386" t="str">
            <v>Current version</v>
          </cell>
          <cell r="C2386" t="str">
            <v>V2009R2</v>
          </cell>
          <cell r="D2386" t="str">
            <v>Labor Rate</v>
          </cell>
          <cell r="E2386" t="str">
            <v>SA</v>
          </cell>
          <cell r="F2386" t="str">
            <v>Western Africa Sub-Regional Division</v>
          </cell>
          <cell r="G2386" t="str">
            <v>Togo Rep.O.</v>
          </cell>
          <cell r="H2386" t="str">
            <v>4026</v>
          </cell>
          <cell r="I2386" t="str">
            <v>布基纳法索</v>
          </cell>
          <cell r="J2386" t="str">
            <v>Burkina</v>
          </cell>
          <cell r="K2386" t="str">
            <v>Local employees</v>
          </cell>
          <cell r="L2386" t="str">
            <v>L1</v>
          </cell>
          <cell r="M2386" t="str">
            <v>ALL</v>
          </cell>
          <cell r="N2386" t="str">
            <v>FLPC(含奖金)</v>
          </cell>
          <cell r="O2386" t="str">
            <v>USD/小时</v>
          </cell>
          <cell r="P2386">
            <v>14.24</v>
          </cell>
        </row>
        <row r="2387">
          <cell r="A2387" t="str">
            <v>Burkina - Local employees - L2</v>
          </cell>
          <cell r="B2387" t="str">
            <v>Current version</v>
          </cell>
          <cell r="C2387" t="str">
            <v>V2009R2</v>
          </cell>
          <cell r="D2387" t="str">
            <v>Labor Rate</v>
          </cell>
          <cell r="E2387" t="str">
            <v>SA</v>
          </cell>
          <cell r="F2387" t="str">
            <v>Western Africa Sub-Regional Division</v>
          </cell>
          <cell r="G2387" t="str">
            <v>Togo Rep.O.</v>
          </cell>
          <cell r="H2387" t="str">
            <v>4026</v>
          </cell>
          <cell r="I2387" t="str">
            <v>布基纳法索</v>
          </cell>
          <cell r="J2387" t="str">
            <v>Burkina</v>
          </cell>
          <cell r="K2387" t="str">
            <v>Local employees</v>
          </cell>
          <cell r="L2387" t="str">
            <v>L2</v>
          </cell>
          <cell r="M2387" t="str">
            <v>ALL</v>
          </cell>
          <cell r="N2387" t="str">
            <v>FLPC(含奖金)</v>
          </cell>
          <cell r="O2387" t="str">
            <v>USD/小时</v>
          </cell>
          <cell r="P2387">
            <v>17.82</v>
          </cell>
        </row>
        <row r="2388">
          <cell r="A2388" t="str">
            <v>Burkina - Local employees - L3</v>
          </cell>
          <cell r="B2388" t="str">
            <v>Current version</v>
          </cell>
          <cell r="C2388" t="str">
            <v>V2009R2</v>
          </cell>
          <cell r="D2388" t="str">
            <v>Labor Rate</v>
          </cell>
          <cell r="E2388" t="str">
            <v>SA</v>
          </cell>
          <cell r="F2388" t="str">
            <v>Western Africa Sub-Regional Division</v>
          </cell>
          <cell r="G2388" t="str">
            <v>Togo Rep.O.</v>
          </cell>
          <cell r="H2388" t="str">
            <v>4026</v>
          </cell>
          <cell r="I2388" t="str">
            <v>布基纳法索</v>
          </cell>
          <cell r="J2388" t="str">
            <v>Burkina</v>
          </cell>
          <cell r="K2388" t="str">
            <v>Local employees</v>
          </cell>
          <cell r="L2388" t="str">
            <v>L3</v>
          </cell>
          <cell r="M2388" t="str">
            <v>ALL</v>
          </cell>
          <cell r="N2388" t="str">
            <v>FLPC(含奖金)</v>
          </cell>
          <cell r="O2388" t="str">
            <v>USD/小时</v>
          </cell>
          <cell r="P2388">
            <v>24.07</v>
          </cell>
        </row>
        <row r="2389">
          <cell r="A2389" t="str">
            <v>Burkina - Local employees - L4</v>
          </cell>
          <cell r="B2389" t="str">
            <v>Current version</v>
          </cell>
          <cell r="C2389" t="str">
            <v>V2009R2</v>
          </cell>
          <cell r="D2389" t="str">
            <v>Labor Rate</v>
          </cell>
          <cell r="E2389" t="str">
            <v>SA</v>
          </cell>
          <cell r="F2389" t="str">
            <v>Western Africa Sub-Regional Division</v>
          </cell>
          <cell r="G2389" t="str">
            <v>Togo Rep.O.</v>
          </cell>
          <cell r="H2389" t="str">
            <v>4026</v>
          </cell>
          <cell r="I2389" t="str">
            <v>布基纳法索</v>
          </cell>
          <cell r="J2389" t="str">
            <v>Burkina</v>
          </cell>
          <cell r="K2389" t="str">
            <v>Local employees</v>
          </cell>
          <cell r="L2389" t="str">
            <v>L4</v>
          </cell>
          <cell r="M2389" t="str">
            <v>ALL</v>
          </cell>
          <cell r="N2389" t="str">
            <v>FLPC(含奖金)</v>
          </cell>
          <cell r="O2389" t="str">
            <v>USD/小时</v>
          </cell>
          <cell r="P2389">
            <v>34.58</v>
          </cell>
        </row>
        <row r="2390">
          <cell r="A2390" t="str">
            <v>Benin - Local employees - L1</v>
          </cell>
          <cell r="B2390" t="str">
            <v>Current version</v>
          </cell>
          <cell r="C2390" t="str">
            <v>V2009R2</v>
          </cell>
          <cell r="D2390" t="str">
            <v>Labor Rate</v>
          </cell>
          <cell r="E2390" t="str">
            <v>SA</v>
          </cell>
          <cell r="F2390" t="str">
            <v>Western Africa Sub-Regional Division</v>
          </cell>
          <cell r="G2390" t="str">
            <v>Togo Rep.O.</v>
          </cell>
          <cell r="H2390" t="str">
            <v>4028</v>
          </cell>
          <cell r="I2390" t="str">
            <v>贝宁</v>
          </cell>
          <cell r="J2390" t="str">
            <v>Benin</v>
          </cell>
          <cell r="K2390" t="str">
            <v>Local employees</v>
          </cell>
          <cell r="L2390" t="str">
            <v>L1</v>
          </cell>
          <cell r="M2390" t="str">
            <v>ALL</v>
          </cell>
          <cell r="N2390" t="str">
            <v>FLPC(含奖金)</v>
          </cell>
          <cell r="O2390" t="str">
            <v>USD/小时</v>
          </cell>
          <cell r="P2390">
            <v>15.2</v>
          </cell>
        </row>
        <row r="2391">
          <cell r="A2391" t="str">
            <v>Benin - Local employees - L2</v>
          </cell>
          <cell r="B2391" t="str">
            <v>Current version</v>
          </cell>
          <cell r="C2391" t="str">
            <v>V2009R2</v>
          </cell>
          <cell r="D2391" t="str">
            <v>Labor Rate</v>
          </cell>
          <cell r="E2391" t="str">
            <v>SA</v>
          </cell>
          <cell r="F2391" t="str">
            <v>Western Africa Sub-Regional Division</v>
          </cell>
          <cell r="G2391" t="str">
            <v>Togo Rep.O.</v>
          </cell>
          <cell r="H2391" t="str">
            <v>4028</v>
          </cell>
          <cell r="I2391" t="str">
            <v>贝宁</v>
          </cell>
          <cell r="J2391" t="str">
            <v>Benin</v>
          </cell>
          <cell r="K2391" t="str">
            <v>Local employees</v>
          </cell>
          <cell r="L2391" t="str">
            <v>L2</v>
          </cell>
          <cell r="M2391" t="str">
            <v>ALL</v>
          </cell>
          <cell r="N2391" t="str">
            <v>FLPC(含奖金)</v>
          </cell>
          <cell r="O2391" t="str">
            <v>USD/小时</v>
          </cell>
          <cell r="P2391">
            <v>17.760000000000002</v>
          </cell>
        </row>
        <row r="2392">
          <cell r="A2392" t="str">
            <v>Benin - Local employees - L3</v>
          </cell>
          <cell r="B2392" t="str">
            <v>Current version</v>
          </cell>
          <cell r="C2392" t="str">
            <v>V2009R2</v>
          </cell>
          <cell r="D2392" t="str">
            <v>Labor Rate</v>
          </cell>
          <cell r="E2392" t="str">
            <v>SA</v>
          </cell>
          <cell r="F2392" t="str">
            <v>Western Africa Sub-Regional Division</v>
          </cell>
          <cell r="G2392" t="str">
            <v>Togo Rep.O.</v>
          </cell>
          <cell r="H2392" t="str">
            <v>4028</v>
          </cell>
          <cell r="I2392" t="str">
            <v>贝宁</v>
          </cell>
          <cell r="J2392" t="str">
            <v>Benin</v>
          </cell>
          <cell r="K2392" t="str">
            <v>Local employees</v>
          </cell>
          <cell r="L2392" t="str">
            <v>L3</v>
          </cell>
          <cell r="M2392" t="str">
            <v>ALL</v>
          </cell>
          <cell r="N2392" t="str">
            <v>FLPC(含奖金)</v>
          </cell>
          <cell r="O2392" t="str">
            <v>USD/小时</v>
          </cell>
          <cell r="P2392">
            <v>24.12</v>
          </cell>
        </row>
        <row r="2393">
          <cell r="A2393" t="str">
            <v>Benin - Local employees - L4</v>
          </cell>
          <cell r="B2393" t="str">
            <v>Current version</v>
          </cell>
          <cell r="C2393" t="str">
            <v>V2009R2</v>
          </cell>
          <cell r="D2393" t="str">
            <v>Labor Rate</v>
          </cell>
          <cell r="E2393" t="str">
            <v>SA</v>
          </cell>
          <cell r="F2393" t="str">
            <v>Western Africa Sub-Regional Division</v>
          </cell>
          <cell r="G2393" t="str">
            <v>Togo Rep.O.</v>
          </cell>
          <cell r="H2393" t="str">
            <v>4028</v>
          </cell>
          <cell r="I2393" t="str">
            <v>贝宁</v>
          </cell>
          <cell r="J2393" t="str">
            <v>Benin</v>
          </cell>
          <cell r="K2393" t="str">
            <v>Local employees</v>
          </cell>
          <cell r="L2393" t="str">
            <v>L4</v>
          </cell>
          <cell r="M2393" t="str">
            <v>ALL</v>
          </cell>
          <cell r="N2393" t="str">
            <v>FLPC(含奖金)</v>
          </cell>
          <cell r="O2393" t="str">
            <v>USD/小时</v>
          </cell>
          <cell r="P2393">
            <v>34.770000000000003</v>
          </cell>
        </row>
        <row r="2394">
          <cell r="A2394" t="str">
            <v>Togo - Local employees - L1</v>
          </cell>
          <cell r="B2394" t="str">
            <v>Current version</v>
          </cell>
          <cell r="C2394" t="str">
            <v>V2009R2</v>
          </cell>
          <cell r="D2394" t="str">
            <v>Labor Rate</v>
          </cell>
          <cell r="E2394" t="str">
            <v>SA</v>
          </cell>
          <cell r="F2394" t="str">
            <v>Western Africa Sub-Regional Division</v>
          </cell>
          <cell r="G2394" t="str">
            <v>Togo Rep.O.</v>
          </cell>
          <cell r="H2394" t="str">
            <v>4031</v>
          </cell>
          <cell r="I2394" t="str">
            <v>多哥</v>
          </cell>
          <cell r="J2394" t="str">
            <v>Togo</v>
          </cell>
          <cell r="K2394" t="str">
            <v>Local employees</v>
          </cell>
          <cell r="L2394" t="str">
            <v>L1</v>
          </cell>
          <cell r="M2394" t="str">
            <v>ALL</v>
          </cell>
          <cell r="N2394" t="str">
            <v>FLPC(含奖金)</v>
          </cell>
          <cell r="O2394" t="str">
            <v>USD/小时</v>
          </cell>
          <cell r="P2394">
            <v>13.16</v>
          </cell>
        </row>
        <row r="2395">
          <cell r="A2395" t="str">
            <v>Togo - Local employees - L2</v>
          </cell>
          <cell r="B2395" t="str">
            <v>Current version</v>
          </cell>
          <cell r="C2395" t="str">
            <v>V2009R2</v>
          </cell>
          <cell r="D2395" t="str">
            <v>Labor Rate</v>
          </cell>
          <cell r="E2395" t="str">
            <v>SA</v>
          </cell>
          <cell r="F2395" t="str">
            <v>Western Africa Sub-Regional Division</v>
          </cell>
          <cell r="G2395" t="str">
            <v>Togo Rep.O.</v>
          </cell>
          <cell r="H2395" t="str">
            <v>4031</v>
          </cell>
          <cell r="I2395" t="str">
            <v>多哥</v>
          </cell>
          <cell r="J2395" t="str">
            <v>Togo</v>
          </cell>
          <cell r="K2395" t="str">
            <v>Local employees</v>
          </cell>
          <cell r="L2395" t="str">
            <v>L2</v>
          </cell>
          <cell r="M2395" t="str">
            <v>ALL</v>
          </cell>
          <cell r="N2395" t="str">
            <v>FLPC(含奖金)</v>
          </cell>
          <cell r="O2395" t="str">
            <v>USD/小时</v>
          </cell>
          <cell r="P2395">
            <v>17.690000000000001</v>
          </cell>
        </row>
        <row r="2396">
          <cell r="A2396" t="str">
            <v>Togo - Local employees - L3</v>
          </cell>
          <cell r="B2396" t="str">
            <v>Current version</v>
          </cell>
          <cell r="C2396" t="str">
            <v>V2009R2</v>
          </cell>
          <cell r="D2396" t="str">
            <v>Labor Rate</v>
          </cell>
          <cell r="E2396" t="str">
            <v>SA</v>
          </cell>
          <cell r="F2396" t="str">
            <v>Western Africa Sub-Regional Division</v>
          </cell>
          <cell r="G2396" t="str">
            <v>Togo Rep.O.</v>
          </cell>
          <cell r="H2396" t="str">
            <v>4031</v>
          </cell>
          <cell r="I2396" t="str">
            <v>多哥</v>
          </cell>
          <cell r="J2396" t="str">
            <v>Togo</v>
          </cell>
          <cell r="K2396" t="str">
            <v>Local employees</v>
          </cell>
          <cell r="L2396" t="str">
            <v>L3</v>
          </cell>
          <cell r="M2396" t="str">
            <v>ALL</v>
          </cell>
          <cell r="N2396" t="str">
            <v>FLPC(含奖金)</v>
          </cell>
          <cell r="O2396" t="str">
            <v>USD/小时</v>
          </cell>
          <cell r="P2396">
            <v>24.12</v>
          </cell>
        </row>
        <row r="2397">
          <cell r="A2397" t="str">
            <v>Togo - Local employees - L4</v>
          </cell>
          <cell r="B2397" t="str">
            <v>Current version</v>
          </cell>
          <cell r="C2397" t="str">
            <v>V2009R2</v>
          </cell>
          <cell r="D2397" t="str">
            <v>Labor Rate</v>
          </cell>
          <cell r="E2397" t="str">
            <v>SA</v>
          </cell>
          <cell r="F2397" t="str">
            <v>Western Africa Sub-Regional Division</v>
          </cell>
          <cell r="G2397" t="str">
            <v>Togo Rep.O.</v>
          </cell>
          <cell r="H2397" t="str">
            <v>4031</v>
          </cell>
          <cell r="I2397" t="str">
            <v>多哥</v>
          </cell>
          <cell r="J2397" t="str">
            <v>Togo</v>
          </cell>
          <cell r="K2397" t="str">
            <v>Local employees</v>
          </cell>
          <cell r="L2397" t="str">
            <v>L4</v>
          </cell>
          <cell r="M2397" t="str">
            <v>ALL</v>
          </cell>
          <cell r="N2397" t="str">
            <v>FLPC(含奖金)</v>
          </cell>
          <cell r="O2397" t="str">
            <v>USD/小时</v>
          </cell>
          <cell r="P2397">
            <v>34.770000000000003</v>
          </cell>
        </row>
        <row r="2398">
          <cell r="A2398" t="str">
            <v>Lagos,Nigeria - Local employees - L0</v>
          </cell>
          <cell r="B2398" t="str">
            <v>Current version</v>
          </cell>
          <cell r="C2398" t="str">
            <v>V2009R2</v>
          </cell>
          <cell r="D2398" t="str">
            <v>Labor Rate</v>
          </cell>
          <cell r="E2398" t="str">
            <v>SA</v>
          </cell>
          <cell r="F2398" t="str">
            <v>Western Africa Sub-Regional Division</v>
          </cell>
          <cell r="G2398" t="str">
            <v>Nigeria Rep.O.</v>
          </cell>
          <cell r="H2398" t="str">
            <v>4004</v>
          </cell>
          <cell r="I2398" t="str">
            <v>尼日利亚拉各斯</v>
          </cell>
          <cell r="J2398" t="str">
            <v>Lagos,Nigeria</v>
          </cell>
          <cell r="K2398" t="str">
            <v>Local employees</v>
          </cell>
          <cell r="L2398" t="str">
            <v>L0</v>
          </cell>
          <cell r="M2398" t="str">
            <v>ALL</v>
          </cell>
          <cell r="N2398" t="str">
            <v>FLPC(含奖金)</v>
          </cell>
          <cell r="O2398" t="str">
            <v>USD/小时</v>
          </cell>
          <cell r="P2398">
            <v>28.21</v>
          </cell>
        </row>
        <row r="2399">
          <cell r="A2399" t="str">
            <v>Lagos,Nigeria - Local employees - L1</v>
          </cell>
          <cell r="B2399" t="str">
            <v>Current version</v>
          </cell>
          <cell r="C2399" t="str">
            <v>V2009R2</v>
          </cell>
          <cell r="D2399" t="str">
            <v>Labor Rate</v>
          </cell>
          <cell r="E2399" t="str">
            <v>SA</v>
          </cell>
          <cell r="F2399" t="str">
            <v>Western Africa Sub-Regional Division</v>
          </cell>
          <cell r="G2399" t="str">
            <v>Nigeria Rep.O.</v>
          </cell>
          <cell r="H2399" t="str">
            <v>4004</v>
          </cell>
          <cell r="I2399" t="str">
            <v>尼日利亚拉各斯</v>
          </cell>
          <cell r="J2399" t="str">
            <v>Lagos,Nigeria</v>
          </cell>
          <cell r="K2399" t="str">
            <v>Local employees</v>
          </cell>
          <cell r="L2399" t="str">
            <v>L1</v>
          </cell>
          <cell r="M2399" t="str">
            <v>ALL</v>
          </cell>
          <cell r="N2399" t="str">
            <v>FLPC(含奖金)</v>
          </cell>
          <cell r="O2399" t="str">
            <v>USD/小时</v>
          </cell>
          <cell r="P2399">
            <v>32.049999999999997</v>
          </cell>
        </row>
        <row r="2400">
          <cell r="A2400" t="str">
            <v>Lagos,Nigeria - Local employees - L2</v>
          </cell>
          <cell r="B2400" t="str">
            <v>Current version</v>
          </cell>
          <cell r="C2400" t="str">
            <v>V2009R2</v>
          </cell>
          <cell r="D2400" t="str">
            <v>Labor Rate</v>
          </cell>
          <cell r="E2400" t="str">
            <v>SA</v>
          </cell>
          <cell r="F2400" t="str">
            <v>Western Africa Sub-Regional Division</v>
          </cell>
          <cell r="G2400" t="str">
            <v>Nigeria Rep.O.</v>
          </cell>
          <cell r="H2400" t="str">
            <v>4004</v>
          </cell>
          <cell r="I2400" t="str">
            <v>尼日利亚拉各斯</v>
          </cell>
          <cell r="J2400" t="str">
            <v>Lagos,Nigeria</v>
          </cell>
          <cell r="K2400" t="str">
            <v>Local employees</v>
          </cell>
          <cell r="L2400" t="str">
            <v>L2</v>
          </cell>
          <cell r="M2400" t="str">
            <v>ALL</v>
          </cell>
          <cell r="N2400" t="str">
            <v>FLPC(含奖金)</v>
          </cell>
          <cell r="O2400" t="str">
            <v>USD/小时</v>
          </cell>
          <cell r="P2400">
            <v>40.25</v>
          </cell>
        </row>
        <row r="2401">
          <cell r="A2401" t="str">
            <v>Lagos,Nigeria - Local employees - L3</v>
          </cell>
          <cell r="B2401" t="str">
            <v>Current version</v>
          </cell>
          <cell r="C2401" t="str">
            <v>V2009R2</v>
          </cell>
          <cell r="D2401" t="str">
            <v>Labor Rate</v>
          </cell>
          <cell r="E2401" t="str">
            <v>SA</v>
          </cell>
          <cell r="F2401" t="str">
            <v>Western Africa Sub-Regional Division</v>
          </cell>
          <cell r="G2401" t="str">
            <v>Nigeria Rep.O.</v>
          </cell>
          <cell r="H2401" t="str">
            <v>4004</v>
          </cell>
          <cell r="I2401" t="str">
            <v>尼日利亚拉各斯</v>
          </cell>
          <cell r="J2401" t="str">
            <v>Lagos,Nigeria</v>
          </cell>
          <cell r="K2401" t="str">
            <v>Local employees</v>
          </cell>
          <cell r="L2401" t="str">
            <v>L3</v>
          </cell>
          <cell r="M2401" t="str">
            <v>ALL</v>
          </cell>
          <cell r="N2401" t="str">
            <v>FLPC(含奖金)</v>
          </cell>
          <cell r="O2401" t="str">
            <v>USD/小时</v>
          </cell>
          <cell r="P2401">
            <v>89.68</v>
          </cell>
        </row>
        <row r="2402">
          <cell r="A2402" t="str">
            <v>Lagos,Nigeria - Local employees - L4</v>
          </cell>
          <cell r="B2402" t="str">
            <v>Current version</v>
          </cell>
          <cell r="C2402" t="str">
            <v>V2009R2</v>
          </cell>
          <cell r="D2402" t="str">
            <v>Labor Rate</v>
          </cell>
          <cell r="E2402" t="str">
            <v>SA</v>
          </cell>
          <cell r="F2402" t="str">
            <v>Western Africa Sub-Regional Division</v>
          </cell>
          <cell r="G2402" t="str">
            <v>Nigeria Rep.O.</v>
          </cell>
          <cell r="H2402" t="str">
            <v>4004</v>
          </cell>
          <cell r="I2402" t="str">
            <v>尼日利亚拉各斯</v>
          </cell>
          <cell r="J2402" t="str">
            <v>Lagos,Nigeria</v>
          </cell>
          <cell r="K2402" t="str">
            <v>Local employees</v>
          </cell>
          <cell r="L2402" t="str">
            <v>L4</v>
          </cell>
          <cell r="M2402" t="str">
            <v>ALL</v>
          </cell>
          <cell r="N2402" t="str">
            <v>FLPC(含奖金)</v>
          </cell>
          <cell r="O2402" t="str">
            <v>USD/小时</v>
          </cell>
          <cell r="P2402">
            <v>115.17</v>
          </cell>
        </row>
        <row r="2403">
          <cell r="A2403" t="str">
            <v>Abuja，Nigeria - Local employees - L0</v>
          </cell>
          <cell r="B2403" t="str">
            <v>Current version</v>
          </cell>
          <cell r="C2403" t="str">
            <v>V2009R2</v>
          </cell>
          <cell r="D2403" t="str">
            <v>Labor Rate</v>
          </cell>
          <cell r="E2403" t="str">
            <v>SA</v>
          </cell>
          <cell r="F2403" t="str">
            <v>Western Africa Sub-Regional Division</v>
          </cell>
          <cell r="G2403" t="str">
            <v>Nigeria Rep.O.</v>
          </cell>
          <cell r="H2403" t="str">
            <v>4032</v>
          </cell>
          <cell r="I2403" t="str">
            <v>尼日利亚阿布贾</v>
          </cell>
          <cell r="J2403" t="str">
            <v>Abuja，Nigeria</v>
          </cell>
          <cell r="K2403" t="str">
            <v>Local employees</v>
          </cell>
          <cell r="L2403" t="str">
            <v>L0</v>
          </cell>
          <cell r="M2403" t="str">
            <v>ALL</v>
          </cell>
          <cell r="N2403" t="str">
            <v>FLPC(含奖金)</v>
          </cell>
          <cell r="O2403" t="str">
            <v>USD/小时</v>
          </cell>
          <cell r="P2403">
            <v>28.21</v>
          </cell>
        </row>
        <row r="2404">
          <cell r="A2404" t="str">
            <v>Abuja，Nigeria - Local employees - L1</v>
          </cell>
          <cell r="B2404" t="str">
            <v>Current version</v>
          </cell>
          <cell r="C2404" t="str">
            <v>V2009R2</v>
          </cell>
          <cell r="D2404" t="str">
            <v>Labor Rate</v>
          </cell>
          <cell r="E2404" t="str">
            <v>SA</v>
          </cell>
          <cell r="F2404" t="str">
            <v>Western Africa Sub-Regional Division</v>
          </cell>
          <cell r="G2404" t="str">
            <v>Nigeria Rep.O.</v>
          </cell>
          <cell r="H2404" t="str">
            <v>4032</v>
          </cell>
          <cell r="I2404" t="str">
            <v>尼日利亚阿布贾</v>
          </cell>
          <cell r="J2404" t="str">
            <v>Abuja，Nigeria</v>
          </cell>
          <cell r="K2404" t="str">
            <v>Local employees</v>
          </cell>
          <cell r="L2404" t="str">
            <v>L1</v>
          </cell>
          <cell r="M2404" t="str">
            <v>ALL</v>
          </cell>
          <cell r="N2404" t="str">
            <v>FLPC(含奖金)</v>
          </cell>
          <cell r="O2404" t="str">
            <v>USD/小时</v>
          </cell>
          <cell r="P2404">
            <v>32.049999999999997</v>
          </cell>
        </row>
        <row r="2405">
          <cell r="A2405" t="str">
            <v>Abuja，Nigeria - Local employees - L2</v>
          </cell>
          <cell r="B2405" t="str">
            <v>Current version</v>
          </cell>
          <cell r="C2405" t="str">
            <v>V2009R2</v>
          </cell>
          <cell r="D2405" t="str">
            <v>Labor Rate</v>
          </cell>
          <cell r="E2405" t="str">
            <v>SA</v>
          </cell>
          <cell r="F2405" t="str">
            <v>Western Africa Sub-Regional Division</v>
          </cell>
          <cell r="G2405" t="str">
            <v>Nigeria Rep.O.</v>
          </cell>
          <cell r="H2405" t="str">
            <v>4032</v>
          </cell>
          <cell r="I2405" t="str">
            <v>尼日利亚阿布贾</v>
          </cell>
          <cell r="J2405" t="str">
            <v>Abuja，Nigeria</v>
          </cell>
          <cell r="K2405" t="str">
            <v>Local employees</v>
          </cell>
          <cell r="L2405" t="str">
            <v>L2</v>
          </cell>
          <cell r="M2405" t="str">
            <v>ALL</v>
          </cell>
          <cell r="N2405" t="str">
            <v>FLPC(含奖金)</v>
          </cell>
          <cell r="O2405" t="str">
            <v>USD/小时</v>
          </cell>
          <cell r="P2405">
            <v>40.25</v>
          </cell>
        </row>
        <row r="2406">
          <cell r="A2406" t="str">
            <v>Abuja，Nigeria - Local employees - L3</v>
          </cell>
          <cell r="B2406" t="str">
            <v>Current version</v>
          </cell>
          <cell r="C2406" t="str">
            <v>V2009R2</v>
          </cell>
          <cell r="D2406" t="str">
            <v>Labor Rate</v>
          </cell>
          <cell r="E2406" t="str">
            <v>SA</v>
          </cell>
          <cell r="F2406" t="str">
            <v>Western Africa Sub-Regional Division</v>
          </cell>
          <cell r="G2406" t="str">
            <v>Nigeria Rep.O.</v>
          </cell>
          <cell r="H2406" t="str">
            <v>4032</v>
          </cell>
          <cell r="I2406" t="str">
            <v>尼日利亚阿布贾</v>
          </cell>
          <cell r="J2406" t="str">
            <v>Abuja，Nigeria</v>
          </cell>
          <cell r="K2406" t="str">
            <v>Local employees</v>
          </cell>
          <cell r="L2406" t="str">
            <v>L3</v>
          </cell>
          <cell r="M2406" t="str">
            <v>ALL</v>
          </cell>
          <cell r="N2406" t="str">
            <v>FLPC(含奖金)</v>
          </cell>
          <cell r="O2406" t="str">
            <v>USD/小时</v>
          </cell>
          <cell r="P2406">
            <v>89.68</v>
          </cell>
        </row>
        <row r="2407">
          <cell r="A2407" t="str">
            <v>Abuja，Nigeria - Local employees - L4</v>
          </cell>
          <cell r="B2407" t="str">
            <v>Current version</v>
          </cell>
          <cell r="C2407" t="str">
            <v>V2009R2</v>
          </cell>
          <cell r="D2407" t="str">
            <v>Labor Rate</v>
          </cell>
          <cell r="E2407" t="str">
            <v>SA</v>
          </cell>
          <cell r="F2407" t="str">
            <v>Western Africa Sub-Regional Division</v>
          </cell>
          <cell r="G2407" t="str">
            <v>Nigeria Rep.O.</v>
          </cell>
          <cell r="H2407" t="str">
            <v>4032</v>
          </cell>
          <cell r="I2407" t="str">
            <v>尼日利亚阿布贾</v>
          </cell>
          <cell r="J2407" t="str">
            <v>Abuja，Nigeria</v>
          </cell>
          <cell r="K2407" t="str">
            <v>Local employees</v>
          </cell>
          <cell r="L2407" t="str">
            <v>L4</v>
          </cell>
          <cell r="M2407" t="str">
            <v>ALL</v>
          </cell>
          <cell r="N2407" t="str">
            <v>FLPC(含奖金)</v>
          </cell>
          <cell r="O2407" t="str">
            <v>USD/小时</v>
          </cell>
          <cell r="P2407">
            <v>115.17</v>
          </cell>
        </row>
        <row r="2408">
          <cell r="A2408" t="str">
            <v>Nigeria - Local employees - L0</v>
          </cell>
          <cell r="B2408" t="str">
            <v>Current version</v>
          </cell>
          <cell r="C2408" t="str">
            <v>V2009R2</v>
          </cell>
          <cell r="D2408" t="str">
            <v>Labor Rate</v>
          </cell>
          <cell r="E2408" t="str">
            <v>SA</v>
          </cell>
          <cell r="F2408" t="str">
            <v>Western Africa Sub-Regional Division</v>
          </cell>
          <cell r="G2408" t="str">
            <v>Nigeria Rep.O.</v>
          </cell>
          <cell r="H2408" t="str">
            <v>4049</v>
          </cell>
          <cell r="I2408" t="str">
            <v>尼日利亚</v>
          </cell>
          <cell r="J2408" t="str">
            <v>Nigeria</v>
          </cell>
          <cell r="K2408" t="str">
            <v>Local employees</v>
          </cell>
          <cell r="L2408" t="str">
            <v>L0</v>
          </cell>
          <cell r="M2408" t="str">
            <v>ALL</v>
          </cell>
          <cell r="N2408" t="str">
            <v>FLPC(含奖金)</v>
          </cell>
          <cell r="O2408" t="str">
            <v>USD/小时</v>
          </cell>
          <cell r="P2408">
            <v>28.21</v>
          </cell>
        </row>
        <row r="2409">
          <cell r="A2409" t="str">
            <v>Nigeria - Local employees - L1</v>
          </cell>
          <cell r="B2409" t="str">
            <v>Current version</v>
          </cell>
          <cell r="C2409" t="str">
            <v>V2009R2</v>
          </cell>
          <cell r="D2409" t="str">
            <v>Labor Rate</v>
          </cell>
          <cell r="E2409" t="str">
            <v>SA</v>
          </cell>
          <cell r="F2409" t="str">
            <v>Western Africa Sub-Regional Division</v>
          </cell>
          <cell r="G2409" t="str">
            <v>Nigeria Rep.O.</v>
          </cell>
          <cell r="H2409" t="str">
            <v>4049</v>
          </cell>
          <cell r="I2409" t="str">
            <v>尼日利亚</v>
          </cell>
          <cell r="J2409" t="str">
            <v>Nigeria</v>
          </cell>
          <cell r="K2409" t="str">
            <v>Local employees</v>
          </cell>
          <cell r="L2409" t="str">
            <v>L1</v>
          </cell>
          <cell r="M2409" t="str">
            <v>ALL</v>
          </cell>
          <cell r="N2409" t="str">
            <v>FLPC(含奖金)</v>
          </cell>
          <cell r="O2409" t="str">
            <v>USD/小时</v>
          </cell>
          <cell r="P2409">
            <v>32.049999999999997</v>
          </cell>
        </row>
        <row r="2410">
          <cell r="A2410" t="str">
            <v>Nigeria - Local employees - L2</v>
          </cell>
          <cell r="B2410" t="str">
            <v>Current version</v>
          </cell>
          <cell r="C2410" t="str">
            <v>V2009R2</v>
          </cell>
          <cell r="D2410" t="str">
            <v>Labor Rate</v>
          </cell>
          <cell r="E2410" t="str">
            <v>SA</v>
          </cell>
          <cell r="F2410" t="str">
            <v>Western Africa Sub-Regional Division</v>
          </cell>
          <cell r="G2410" t="str">
            <v>Nigeria Rep.O.</v>
          </cell>
          <cell r="H2410" t="str">
            <v>4049</v>
          </cell>
          <cell r="I2410" t="str">
            <v>尼日利亚</v>
          </cell>
          <cell r="J2410" t="str">
            <v>Nigeria</v>
          </cell>
          <cell r="K2410" t="str">
            <v>Local employees</v>
          </cell>
          <cell r="L2410" t="str">
            <v>L2</v>
          </cell>
          <cell r="M2410" t="str">
            <v>ALL</v>
          </cell>
          <cell r="N2410" t="str">
            <v>FLPC(含奖金)</v>
          </cell>
          <cell r="O2410" t="str">
            <v>USD/小时</v>
          </cell>
          <cell r="P2410">
            <v>40.25</v>
          </cell>
        </row>
        <row r="2411">
          <cell r="A2411" t="str">
            <v>Nigeria - Local employees - L3</v>
          </cell>
          <cell r="B2411" t="str">
            <v>Current version</v>
          </cell>
          <cell r="C2411" t="str">
            <v>V2009R2</v>
          </cell>
          <cell r="D2411" t="str">
            <v>Labor Rate</v>
          </cell>
          <cell r="E2411" t="str">
            <v>SA</v>
          </cell>
          <cell r="F2411" t="str">
            <v>Western Africa Sub-Regional Division</v>
          </cell>
          <cell r="G2411" t="str">
            <v>Nigeria Rep.O.</v>
          </cell>
          <cell r="H2411" t="str">
            <v>4049</v>
          </cell>
          <cell r="I2411" t="str">
            <v>尼日利亚</v>
          </cell>
          <cell r="J2411" t="str">
            <v>Nigeria</v>
          </cell>
          <cell r="K2411" t="str">
            <v>Local employees</v>
          </cell>
          <cell r="L2411" t="str">
            <v>L3</v>
          </cell>
          <cell r="M2411" t="str">
            <v>ALL</v>
          </cell>
          <cell r="N2411" t="str">
            <v>FLPC(含奖金)</v>
          </cell>
          <cell r="O2411" t="str">
            <v>USD/小时</v>
          </cell>
          <cell r="P2411">
            <v>89.68</v>
          </cell>
        </row>
        <row r="2412">
          <cell r="A2412" t="str">
            <v>Nigeria - Local employees - L4</v>
          </cell>
          <cell r="B2412" t="str">
            <v>Current version</v>
          </cell>
          <cell r="C2412" t="str">
            <v>V2009R2</v>
          </cell>
          <cell r="D2412" t="str">
            <v>Labor Rate</v>
          </cell>
          <cell r="E2412" t="str">
            <v>SA</v>
          </cell>
          <cell r="F2412" t="str">
            <v>Western Africa Sub-Regional Division</v>
          </cell>
          <cell r="G2412" t="str">
            <v>Nigeria Rep.O.</v>
          </cell>
          <cell r="H2412" t="str">
            <v>4049</v>
          </cell>
          <cell r="I2412" t="str">
            <v>尼日利亚</v>
          </cell>
          <cell r="J2412" t="str">
            <v>Nigeria</v>
          </cell>
          <cell r="K2412" t="str">
            <v>Local employees</v>
          </cell>
          <cell r="L2412" t="str">
            <v>L4</v>
          </cell>
          <cell r="M2412" t="str">
            <v>ALL</v>
          </cell>
          <cell r="N2412" t="str">
            <v>FLPC(含奖金)</v>
          </cell>
          <cell r="O2412" t="str">
            <v>USD/小时</v>
          </cell>
          <cell r="P2412">
            <v>115.17</v>
          </cell>
        </row>
        <row r="2413">
          <cell r="A2413" t="str">
            <v>Ghana - Local employees - L0</v>
          </cell>
          <cell r="B2413" t="str">
            <v>Current version</v>
          </cell>
          <cell r="C2413" t="str">
            <v>V2009R2</v>
          </cell>
          <cell r="D2413" t="str">
            <v>Labor Rate</v>
          </cell>
          <cell r="E2413" t="str">
            <v>SA</v>
          </cell>
          <cell r="F2413" t="str">
            <v>Western Africa Sub-Regional Division</v>
          </cell>
          <cell r="G2413" t="str">
            <v>Ghana Rep.O.</v>
          </cell>
          <cell r="H2413" t="str">
            <v>4005</v>
          </cell>
          <cell r="I2413" t="str">
            <v>加纳</v>
          </cell>
          <cell r="J2413" t="str">
            <v>Ghana</v>
          </cell>
          <cell r="K2413" t="str">
            <v>Local employees</v>
          </cell>
          <cell r="L2413" t="str">
            <v>L0</v>
          </cell>
          <cell r="M2413" t="str">
            <v>ALL</v>
          </cell>
          <cell r="N2413" t="str">
            <v>FLPC(含奖金)</v>
          </cell>
          <cell r="O2413" t="str">
            <v>USD/小时</v>
          </cell>
          <cell r="P2413">
            <v>20.49</v>
          </cell>
        </row>
        <row r="2414">
          <cell r="A2414" t="str">
            <v>Ghana - Local employees - L1</v>
          </cell>
          <cell r="B2414" t="str">
            <v>Current version</v>
          </cell>
          <cell r="C2414" t="str">
            <v>V2009R2</v>
          </cell>
          <cell r="D2414" t="str">
            <v>Labor Rate</v>
          </cell>
          <cell r="E2414" t="str">
            <v>SA</v>
          </cell>
          <cell r="F2414" t="str">
            <v>Western Africa Sub-Regional Division</v>
          </cell>
          <cell r="G2414" t="str">
            <v>Ghana Rep.O.</v>
          </cell>
          <cell r="H2414" t="str">
            <v>4005</v>
          </cell>
          <cell r="I2414" t="str">
            <v>加纳</v>
          </cell>
          <cell r="J2414" t="str">
            <v>Ghana</v>
          </cell>
          <cell r="K2414" t="str">
            <v>Local employees</v>
          </cell>
          <cell r="L2414" t="str">
            <v>L1</v>
          </cell>
          <cell r="M2414" t="str">
            <v>ALL</v>
          </cell>
          <cell r="N2414" t="str">
            <v>FLPC(含奖金)</v>
          </cell>
          <cell r="O2414" t="str">
            <v>USD/小时</v>
          </cell>
          <cell r="P2414">
            <v>22.89</v>
          </cell>
        </row>
        <row r="2415">
          <cell r="A2415" t="str">
            <v>Ghana - Local employees - L2</v>
          </cell>
          <cell r="B2415" t="str">
            <v>Current version</v>
          </cell>
          <cell r="C2415" t="str">
            <v>V2009R2</v>
          </cell>
          <cell r="D2415" t="str">
            <v>Labor Rate</v>
          </cell>
          <cell r="E2415" t="str">
            <v>SA</v>
          </cell>
          <cell r="F2415" t="str">
            <v>Western Africa Sub-Regional Division</v>
          </cell>
          <cell r="G2415" t="str">
            <v>Ghana Rep.O.</v>
          </cell>
          <cell r="H2415" t="str">
            <v>4005</v>
          </cell>
          <cell r="I2415" t="str">
            <v>加纳</v>
          </cell>
          <cell r="J2415" t="str">
            <v>Ghana</v>
          </cell>
          <cell r="K2415" t="str">
            <v>Local employees</v>
          </cell>
          <cell r="L2415" t="str">
            <v>L2</v>
          </cell>
          <cell r="M2415" t="str">
            <v>ALL</v>
          </cell>
          <cell r="N2415" t="str">
            <v>FLPC(含奖金)</v>
          </cell>
          <cell r="O2415" t="str">
            <v>USD/小时</v>
          </cell>
          <cell r="P2415">
            <v>30.05</v>
          </cell>
        </row>
        <row r="2416">
          <cell r="A2416" t="str">
            <v>Ghana - Local employees - L3</v>
          </cell>
          <cell r="B2416" t="str">
            <v>Current version</v>
          </cell>
          <cell r="C2416" t="str">
            <v>V2009R2</v>
          </cell>
          <cell r="D2416" t="str">
            <v>Labor Rate</v>
          </cell>
          <cell r="E2416" t="str">
            <v>SA</v>
          </cell>
          <cell r="F2416" t="str">
            <v>Western Africa Sub-Regional Division</v>
          </cell>
          <cell r="G2416" t="str">
            <v>Ghana Rep.O.</v>
          </cell>
          <cell r="H2416" t="str">
            <v>4005</v>
          </cell>
          <cell r="I2416" t="str">
            <v>加纳</v>
          </cell>
          <cell r="J2416" t="str">
            <v>Ghana</v>
          </cell>
          <cell r="K2416" t="str">
            <v>Local employees</v>
          </cell>
          <cell r="L2416" t="str">
            <v>L3</v>
          </cell>
          <cell r="M2416" t="str">
            <v>ALL</v>
          </cell>
          <cell r="N2416" t="str">
            <v>FLPC(含奖金)</v>
          </cell>
          <cell r="O2416" t="str">
            <v>USD/小时</v>
          </cell>
          <cell r="P2416">
            <v>81.45</v>
          </cell>
        </row>
        <row r="2417">
          <cell r="A2417" t="str">
            <v>Ghana - Local employees - L4</v>
          </cell>
          <cell r="B2417" t="str">
            <v>Current version</v>
          </cell>
          <cell r="C2417" t="str">
            <v>V2009R2</v>
          </cell>
          <cell r="D2417" t="str">
            <v>Labor Rate</v>
          </cell>
          <cell r="E2417" t="str">
            <v>SA</v>
          </cell>
          <cell r="F2417" t="str">
            <v>Western Africa Sub-Regional Division</v>
          </cell>
          <cell r="G2417" t="str">
            <v>Ghana Rep.O.</v>
          </cell>
          <cell r="H2417" t="str">
            <v>4005</v>
          </cell>
          <cell r="I2417" t="str">
            <v>加纳</v>
          </cell>
          <cell r="J2417" t="str">
            <v>Ghana</v>
          </cell>
          <cell r="K2417" t="str">
            <v>Local employees</v>
          </cell>
          <cell r="L2417" t="str">
            <v>L4</v>
          </cell>
          <cell r="M2417" t="str">
            <v>ALL</v>
          </cell>
          <cell r="N2417" t="str">
            <v>FLPC(含奖金)</v>
          </cell>
          <cell r="O2417" t="str">
            <v>USD/小时</v>
          </cell>
          <cell r="P2417">
            <v>111.05</v>
          </cell>
        </row>
        <row r="2418">
          <cell r="A2418" t="str">
            <v>Sierra Leone - Local employees - L0</v>
          </cell>
          <cell r="B2418" t="str">
            <v>Current version</v>
          </cell>
          <cell r="C2418" t="str">
            <v>V2009R2</v>
          </cell>
          <cell r="D2418" t="str">
            <v>Labor Rate</v>
          </cell>
          <cell r="E2418" t="str">
            <v>SA</v>
          </cell>
          <cell r="F2418" t="str">
            <v>Western Africa Sub-Regional Division</v>
          </cell>
          <cell r="G2418" t="str">
            <v>Ghana Rep.O.</v>
          </cell>
          <cell r="H2418" t="str">
            <v>4029</v>
          </cell>
          <cell r="I2418" t="str">
            <v>塞拉里昂</v>
          </cell>
          <cell r="J2418" t="str">
            <v>Sierra Leone</v>
          </cell>
          <cell r="K2418" t="str">
            <v>Local employees</v>
          </cell>
          <cell r="L2418" t="str">
            <v>L0</v>
          </cell>
          <cell r="M2418" t="str">
            <v>ALL</v>
          </cell>
          <cell r="N2418" t="str">
            <v>FLPC(含奖金)</v>
          </cell>
          <cell r="O2418" t="str">
            <v>USD/小时</v>
          </cell>
          <cell r="P2418">
            <v>20</v>
          </cell>
        </row>
        <row r="2419">
          <cell r="A2419" t="str">
            <v>Sierra Leone - Local employees - L1</v>
          </cell>
          <cell r="B2419" t="str">
            <v>Current version</v>
          </cell>
          <cell r="C2419" t="str">
            <v>V2009R2</v>
          </cell>
          <cell r="D2419" t="str">
            <v>Labor Rate</v>
          </cell>
          <cell r="E2419" t="str">
            <v>SA</v>
          </cell>
          <cell r="F2419" t="str">
            <v>Western Africa Sub-Regional Division</v>
          </cell>
          <cell r="G2419" t="str">
            <v>Ghana Rep.O.</v>
          </cell>
          <cell r="H2419" t="str">
            <v>4029</v>
          </cell>
          <cell r="I2419" t="str">
            <v>塞拉里昂</v>
          </cell>
          <cell r="J2419" t="str">
            <v>Sierra Leone</v>
          </cell>
          <cell r="K2419" t="str">
            <v>Local employees</v>
          </cell>
          <cell r="L2419" t="str">
            <v>L1</v>
          </cell>
          <cell r="M2419" t="str">
            <v>ALL</v>
          </cell>
          <cell r="N2419" t="str">
            <v>FLPC(含奖金)</v>
          </cell>
          <cell r="O2419" t="str">
            <v>USD/小时</v>
          </cell>
          <cell r="P2419">
            <v>22.19</v>
          </cell>
        </row>
        <row r="2420">
          <cell r="A2420" t="str">
            <v>Sierra Leone - Local employees - L2</v>
          </cell>
          <cell r="B2420" t="str">
            <v>Current version</v>
          </cell>
          <cell r="C2420" t="str">
            <v>V2009R2</v>
          </cell>
          <cell r="D2420" t="str">
            <v>Labor Rate</v>
          </cell>
          <cell r="E2420" t="str">
            <v>SA</v>
          </cell>
          <cell r="F2420" t="str">
            <v>Western Africa Sub-Regional Division</v>
          </cell>
          <cell r="G2420" t="str">
            <v>Ghana Rep.O.</v>
          </cell>
          <cell r="H2420" t="str">
            <v>4029</v>
          </cell>
          <cell r="I2420" t="str">
            <v>塞拉里昂</v>
          </cell>
          <cell r="J2420" t="str">
            <v>Sierra Leone</v>
          </cell>
          <cell r="K2420" t="str">
            <v>Local employees</v>
          </cell>
          <cell r="L2420" t="str">
            <v>L2</v>
          </cell>
          <cell r="M2420" t="str">
            <v>ALL</v>
          </cell>
          <cell r="N2420" t="str">
            <v>FLPC(含奖金)</v>
          </cell>
          <cell r="O2420" t="str">
            <v>USD/小时</v>
          </cell>
          <cell r="P2420">
            <v>28.95</v>
          </cell>
        </row>
        <row r="2421">
          <cell r="A2421" t="str">
            <v>Sierra Leone - Local employees - L3</v>
          </cell>
          <cell r="B2421" t="str">
            <v>Current version</v>
          </cell>
          <cell r="C2421" t="str">
            <v>V2009R2</v>
          </cell>
          <cell r="D2421" t="str">
            <v>Labor Rate</v>
          </cell>
          <cell r="E2421" t="str">
            <v>SA</v>
          </cell>
          <cell r="F2421" t="str">
            <v>Western Africa Sub-Regional Division</v>
          </cell>
          <cell r="G2421" t="str">
            <v>Ghana Rep.O.</v>
          </cell>
          <cell r="H2421" t="str">
            <v>4029</v>
          </cell>
          <cell r="I2421" t="str">
            <v>塞拉里昂</v>
          </cell>
          <cell r="J2421" t="str">
            <v>Sierra Leone</v>
          </cell>
          <cell r="K2421" t="str">
            <v>Local employees</v>
          </cell>
          <cell r="L2421" t="str">
            <v>L3</v>
          </cell>
          <cell r="M2421" t="str">
            <v>ALL</v>
          </cell>
          <cell r="N2421" t="str">
            <v>FLPC(含奖金)</v>
          </cell>
          <cell r="O2421" t="str">
            <v>USD/小时</v>
          </cell>
          <cell r="P2421">
            <v>37.520000000000003</v>
          </cell>
        </row>
        <row r="2422">
          <cell r="A2422" t="str">
            <v>Sierra Leone - Local employees - L4</v>
          </cell>
          <cell r="B2422" t="str">
            <v>Current version</v>
          </cell>
          <cell r="C2422" t="str">
            <v>V2009R2</v>
          </cell>
          <cell r="D2422" t="str">
            <v>Labor Rate</v>
          </cell>
          <cell r="E2422" t="str">
            <v>SA</v>
          </cell>
          <cell r="F2422" t="str">
            <v>Western Africa Sub-Regional Division</v>
          </cell>
          <cell r="G2422" t="str">
            <v>Ghana Rep.O.</v>
          </cell>
          <cell r="H2422" t="str">
            <v>4029</v>
          </cell>
          <cell r="I2422" t="str">
            <v>塞拉里昂</v>
          </cell>
          <cell r="J2422" t="str">
            <v>Sierra Leone</v>
          </cell>
          <cell r="K2422" t="str">
            <v>Local employees</v>
          </cell>
          <cell r="L2422" t="str">
            <v>L4</v>
          </cell>
          <cell r="M2422" t="str">
            <v>ALL</v>
          </cell>
          <cell r="N2422" t="str">
            <v>FLPC(含奖金)</v>
          </cell>
          <cell r="O2422" t="str">
            <v>USD/小时</v>
          </cell>
          <cell r="P2422">
            <v>51.42</v>
          </cell>
        </row>
        <row r="2423">
          <cell r="A2423" t="str">
            <v>Liberia - Local employees - L0</v>
          </cell>
          <cell r="B2423" t="str">
            <v>Current version</v>
          </cell>
          <cell r="C2423" t="str">
            <v>V2009R2</v>
          </cell>
          <cell r="D2423" t="str">
            <v>Labor Rate</v>
          </cell>
          <cell r="E2423" t="str">
            <v>SA</v>
          </cell>
          <cell r="F2423" t="str">
            <v>Western Africa Sub-Regional Division</v>
          </cell>
          <cell r="G2423" t="str">
            <v>Ghana Rep.O.</v>
          </cell>
          <cell r="H2423" t="str">
            <v>4991</v>
          </cell>
          <cell r="I2423" t="str">
            <v>利比里亚</v>
          </cell>
          <cell r="J2423" t="str">
            <v>Liberia</v>
          </cell>
          <cell r="K2423" t="str">
            <v>Local employees</v>
          </cell>
          <cell r="L2423" t="str">
            <v>L0</v>
          </cell>
          <cell r="M2423" t="str">
            <v>ALL</v>
          </cell>
          <cell r="N2423" t="str">
            <v>FLPC(含奖金)</v>
          </cell>
          <cell r="O2423" t="str">
            <v>USD/小时</v>
          </cell>
          <cell r="P2423">
            <v>20</v>
          </cell>
        </row>
        <row r="2424">
          <cell r="A2424" t="str">
            <v>Liberia - Local employees - L1</v>
          </cell>
          <cell r="B2424" t="str">
            <v>Current version</v>
          </cell>
          <cell r="C2424" t="str">
            <v>V2009R2</v>
          </cell>
          <cell r="D2424" t="str">
            <v>Labor Rate</v>
          </cell>
          <cell r="E2424" t="str">
            <v>SA</v>
          </cell>
          <cell r="F2424" t="str">
            <v>Western Africa Sub-Regional Division</v>
          </cell>
          <cell r="G2424" t="str">
            <v>Ghana Rep.O.</v>
          </cell>
          <cell r="H2424" t="str">
            <v>4991</v>
          </cell>
          <cell r="I2424" t="str">
            <v>利比里亚</v>
          </cell>
          <cell r="J2424" t="str">
            <v>Liberia</v>
          </cell>
          <cell r="K2424" t="str">
            <v>Local employees</v>
          </cell>
          <cell r="L2424" t="str">
            <v>L1</v>
          </cell>
          <cell r="M2424" t="str">
            <v>ALL</v>
          </cell>
          <cell r="N2424" t="str">
            <v>FLPC(含奖金)</v>
          </cell>
          <cell r="O2424" t="str">
            <v>USD/小时</v>
          </cell>
          <cell r="P2424">
            <v>22.19</v>
          </cell>
        </row>
        <row r="2425">
          <cell r="A2425" t="str">
            <v>Liberia - Local employees - L2</v>
          </cell>
          <cell r="B2425" t="str">
            <v>Current version</v>
          </cell>
          <cell r="C2425" t="str">
            <v>V2009R2</v>
          </cell>
          <cell r="D2425" t="str">
            <v>Labor Rate</v>
          </cell>
          <cell r="E2425" t="str">
            <v>SA</v>
          </cell>
          <cell r="F2425" t="str">
            <v>Western Africa Sub-Regional Division</v>
          </cell>
          <cell r="G2425" t="str">
            <v>Ghana Rep.O.</v>
          </cell>
          <cell r="H2425" t="str">
            <v>4991</v>
          </cell>
          <cell r="I2425" t="str">
            <v>利比里亚</v>
          </cell>
          <cell r="J2425" t="str">
            <v>Liberia</v>
          </cell>
          <cell r="K2425" t="str">
            <v>Local employees</v>
          </cell>
          <cell r="L2425" t="str">
            <v>L2</v>
          </cell>
          <cell r="M2425" t="str">
            <v>ALL</v>
          </cell>
          <cell r="N2425" t="str">
            <v>FLPC(含奖金)</v>
          </cell>
          <cell r="O2425" t="str">
            <v>USD/小时</v>
          </cell>
          <cell r="P2425">
            <v>28.95</v>
          </cell>
        </row>
        <row r="2426">
          <cell r="A2426" t="str">
            <v>Liberia - Local employees - L3</v>
          </cell>
          <cell r="B2426" t="str">
            <v>Current version</v>
          </cell>
          <cell r="C2426" t="str">
            <v>V2009R2</v>
          </cell>
          <cell r="D2426" t="str">
            <v>Labor Rate</v>
          </cell>
          <cell r="E2426" t="str">
            <v>SA</v>
          </cell>
          <cell r="F2426" t="str">
            <v>Western Africa Sub-Regional Division</v>
          </cell>
          <cell r="G2426" t="str">
            <v>Ghana Rep.O.</v>
          </cell>
          <cell r="H2426" t="str">
            <v>4991</v>
          </cell>
          <cell r="I2426" t="str">
            <v>利比里亚</v>
          </cell>
          <cell r="J2426" t="str">
            <v>Liberia</v>
          </cell>
          <cell r="K2426" t="str">
            <v>Local employees</v>
          </cell>
          <cell r="L2426" t="str">
            <v>L3</v>
          </cell>
          <cell r="M2426" t="str">
            <v>ALL</v>
          </cell>
          <cell r="N2426" t="str">
            <v>FLPC(含奖金)</v>
          </cell>
          <cell r="O2426" t="str">
            <v>USD/小时</v>
          </cell>
          <cell r="P2426">
            <v>37.520000000000003</v>
          </cell>
        </row>
        <row r="2427">
          <cell r="A2427" t="str">
            <v>Liberia - Local employees - L4</v>
          </cell>
          <cell r="B2427" t="str">
            <v>Current version</v>
          </cell>
          <cell r="C2427" t="str">
            <v>V2009R2</v>
          </cell>
          <cell r="D2427" t="str">
            <v>Labor Rate</v>
          </cell>
          <cell r="E2427" t="str">
            <v>SA</v>
          </cell>
          <cell r="F2427" t="str">
            <v>Western Africa Sub-Regional Division</v>
          </cell>
          <cell r="G2427" t="str">
            <v>Ghana Rep.O.</v>
          </cell>
          <cell r="H2427" t="str">
            <v>4991</v>
          </cell>
          <cell r="I2427" t="str">
            <v>利比里亚</v>
          </cell>
          <cell r="J2427" t="str">
            <v>Liberia</v>
          </cell>
          <cell r="K2427" t="str">
            <v>Local employees</v>
          </cell>
          <cell r="L2427" t="str">
            <v>L4</v>
          </cell>
          <cell r="M2427" t="str">
            <v>ALL</v>
          </cell>
          <cell r="N2427" t="str">
            <v>FLPC(含奖金)</v>
          </cell>
          <cell r="O2427" t="str">
            <v>USD/小时</v>
          </cell>
          <cell r="P2427">
            <v>51.42</v>
          </cell>
        </row>
        <row r="2428">
          <cell r="A2428" t="str">
            <v>Cote D’Ivoire - Local employees - L0</v>
          </cell>
          <cell r="B2428" t="str">
            <v>Current version</v>
          </cell>
          <cell r="C2428" t="str">
            <v>V2009R2</v>
          </cell>
          <cell r="D2428" t="str">
            <v>Labor Rate</v>
          </cell>
          <cell r="E2428" t="str">
            <v>SA</v>
          </cell>
          <cell r="F2428" t="str">
            <v>Western Africa Sub-Regional Division</v>
          </cell>
          <cell r="G2428" t="str">
            <v>Cote D’Ivoire Rep.O.</v>
          </cell>
          <cell r="H2428" t="str">
            <v>4006</v>
          </cell>
          <cell r="I2428" t="str">
            <v>科特迪瓦</v>
          </cell>
          <cell r="J2428" t="str">
            <v>Cote D’Ivoire</v>
          </cell>
          <cell r="K2428" t="str">
            <v>Local employees</v>
          </cell>
          <cell r="L2428" t="str">
            <v>L0</v>
          </cell>
          <cell r="M2428" t="str">
            <v>ALL</v>
          </cell>
          <cell r="N2428" t="str">
            <v>FLPC(含奖金)</v>
          </cell>
          <cell r="O2428" t="str">
            <v>USD/小时</v>
          </cell>
          <cell r="P2428">
            <v>18.989999999999998</v>
          </cell>
        </row>
        <row r="2429">
          <cell r="A2429" t="str">
            <v>Cote D’Ivoire - Local employees - L1</v>
          </cell>
          <cell r="B2429" t="str">
            <v>Current version</v>
          </cell>
          <cell r="C2429" t="str">
            <v>V2009R2</v>
          </cell>
          <cell r="D2429" t="str">
            <v>Labor Rate</v>
          </cell>
          <cell r="E2429" t="str">
            <v>SA</v>
          </cell>
          <cell r="F2429" t="str">
            <v>Western Africa Sub-Regional Division</v>
          </cell>
          <cell r="G2429" t="str">
            <v>Cote D’Ivoire Rep.O.</v>
          </cell>
          <cell r="H2429" t="str">
            <v>4006</v>
          </cell>
          <cell r="I2429" t="str">
            <v>科特迪瓦</v>
          </cell>
          <cell r="J2429" t="str">
            <v>Cote D’Ivoire</v>
          </cell>
          <cell r="K2429" t="str">
            <v>Local employees</v>
          </cell>
          <cell r="L2429" t="str">
            <v>L1</v>
          </cell>
          <cell r="M2429" t="str">
            <v>ALL</v>
          </cell>
          <cell r="N2429" t="str">
            <v>FLPC(含奖金)</v>
          </cell>
          <cell r="O2429" t="str">
            <v>USD/小时</v>
          </cell>
          <cell r="P2429">
            <v>18.93</v>
          </cell>
        </row>
        <row r="2430">
          <cell r="A2430" t="str">
            <v>Cote D’Ivoire - Local employees - L2</v>
          </cell>
          <cell r="B2430" t="str">
            <v>Current version</v>
          </cell>
          <cell r="C2430" t="str">
            <v>V2009R2</v>
          </cell>
          <cell r="D2430" t="str">
            <v>Labor Rate</v>
          </cell>
          <cell r="E2430" t="str">
            <v>SA</v>
          </cell>
          <cell r="F2430" t="str">
            <v>Western Africa Sub-Regional Division</v>
          </cell>
          <cell r="G2430" t="str">
            <v>Cote D’Ivoire Rep.O.</v>
          </cell>
          <cell r="H2430" t="str">
            <v>4006</v>
          </cell>
          <cell r="I2430" t="str">
            <v>科特迪瓦</v>
          </cell>
          <cell r="J2430" t="str">
            <v>Cote D’Ivoire</v>
          </cell>
          <cell r="K2430" t="str">
            <v>Local employees</v>
          </cell>
          <cell r="L2430" t="str">
            <v>L2</v>
          </cell>
          <cell r="M2430" t="str">
            <v>ALL</v>
          </cell>
          <cell r="N2430" t="str">
            <v>FLPC(含奖金)</v>
          </cell>
          <cell r="O2430" t="str">
            <v>USD/小时</v>
          </cell>
          <cell r="P2430">
            <v>24.31</v>
          </cell>
        </row>
        <row r="2431">
          <cell r="A2431" t="str">
            <v>Cote D’Ivoire - Local employees - L3</v>
          </cell>
          <cell r="B2431" t="str">
            <v>Current version</v>
          </cell>
          <cell r="C2431" t="str">
            <v>V2009R2</v>
          </cell>
          <cell r="D2431" t="str">
            <v>Labor Rate</v>
          </cell>
          <cell r="E2431" t="str">
            <v>SA</v>
          </cell>
          <cell r="F2431" t="str">
            <v>Western Africa Sub-Regional Division</v>
          </cell>
          <cell r="G2431" t="str">
            <v>Cote D’Ivoire Rep.O.</v>
          </cell>
          <cell r="H2431" t="str">
            <v>4006</v>
          </cell>
          <cell r="I2431" t="str">
            <v>科特迪瓦</v>
          </cell>
          <cell r="J2431" t="str">
            <v>Cote D’Ivoire</v>
          </cell>
          <cell r="K2431" t="str">
            <v>Local employees</v>
          </cell>
          <cell r="L2431" t="str">
            <v>L3</v>
          </cell>
          <cell r="M2431" t="str">
            <v>ALL</v>
          </cell>
          <cell r="N2431" t="str">
            <v>FLPC(含奖金)</v>
          </cell>
          <cell r="O2431" t="str">
            <v>USD/小时</v>
          </cell>
          <cell r="P2431">
            <v>76.91</v>
          </cell>
        </row>
        <row r="2432">
          <cell r="A2432" t="str">
            <v>Cote D’Ivoire - Local employees - L4</v>
          </cell>
          <cell r="B2432" t="str">
            <v>Current version</v>
          </cell>
          <cell r="C2432" t="str">
            <v>V2009R2</v>
          </cell>
          <cell r="D2432" t="str">
            <v>Labor Rate</v>
          </cell>
          <cell r="E2432" t="str">
            <v>SA</v>
          </cell>
          <cell r="F2432" t="str">
            <v>Western Africa Sub-Regional Division</v>
          </cell>
          <cell r="G2432" t="str">
            <v>Cote D’Ivoire Rep.O.</v>
          </cell>
          <cell r="H2432" t="str">
            <v>4006</v>
          </cell>
          <cell r="I2432" t="str">
            <v>科特迪瓦</v>
          </cell>
          <cell r="J2432" t="str">
            <v>Cote D’Ivoire</v>
          </cell>
          <cell r="K2432" t="str">
            <v>Local employees</v>
          </cell>
          <cell r="L2432" t="str">
            <v>L4</v>
          </cell>
          <cell r="M2432" t="str">
            <v>ALL</v>
          </cell>
          <cell r="N2432" t="str">
            <v>FLPC(含奖金)</v>
          </cell>
          <cell r="O2432" t="str">
            <v>USD/小时</v>
          </cell>
          <cell r="P2432">
            <v>106.62</v>
          </cell>
        </row>
        <row r="2433">
          <cell r="A2433" t="str">
            <v>Guinea - Local employees - L0</v>
          </cell>
          <cell r="B2433" t="str">
            <v>Current version</v>
          </cell>
          <cell r="C2433" t="str">
            <v>V2009R2</v>
          </cell>
          <cell r="D2433" t="str">
            <v>Labor Rate</v>
          </cell>
          <cell r="E2433" t="str">
            <v>SA</v>
          </cell>
          <cell r="F2433" t="str">
            <v>Western Africa Sub-Regional Division</v>
          </cell>
          <cell r="G2433" t="str">
            <v>Cote D’Ivoire Rep.O.</v>
          </cell>
          <cell r="H2433" t="str">
            <v>4027</v>
          </cell>
          <cell r="I2433" t="str">
            <v>几内亚</v>
          </cell>
          <cell r="J2433" t="str">
            <v>Guinea</v>
          </cell>
          <cell r="K2433" t="str">
            <v>Local employees</v>
          </cell>
          <cell r="L2433" t="str">
            <v>L0</v>
          </cell>
          <cell r="M2433" t="str">
            <v>ALL</v>
          </cell>
          <cell r="N2433" t="str">
            <v>FLPC(含奖金)</v>
          </cell>
          <cell r="O2433" t="str">
            <v>USD/小时</v>
          </cell>
          <cell r="P2433">
            <v>14.2</v>
          </cell>
        </row>
        <row r="2434">
          <cell r="A2434" t="str">
            <v>Guinea - Local employees - L1</v>
          </cell>
          <cell r="B2434" t="str">
            <v>Current version</v>
          </cell>
          <cell r="C2434" t="str">
            <v>V2009R2</v>
          </cell>
          <cell r="D2434" t="str">
            <v>Labor Rate</v>
          </cell>
          <cell r="E2434" t="str">
            <v>SA</v>
          </cell>
          <cell r="F2434" t="str">
            <v>Western Africa Sub-Regional Division</v>
          </cell>
          <cell r="G2434" t="str">
            <v>Cote D’Ivoire Rep.O.</v>
          </cell>
          <cell r="H2434" t="str">
            <v>4027</v>
          </cell>
          <cell r="I2434" t="str">
            <v>几内亚</v>
          </cell>
          <cell r="J2434" t="str">
            <v>Guinea</v>
          </cell>
          <cell r="K2434" t="str">
            <v>Local employees</v>
          </cell>
          <cell r="L2434" t="str">
            <v>L1</v>
          </cell>
          <cell r="M2434" t="str">
            <v>ALL</v>
          </cell>
          <cell r="N2434" t="str">
            <v>FLPC(含奖金)</v>
          </cell>
          <cell r="O2434" t="str">
            <v>USD/小时</v>
          </cell>
          <cell r="P2434">
            <v>16.079999999999998</v>
          </cell>
        </row>
        <row r="2435">
          <cell r="A2435" t="str">
            <v>Guinea - Local employees - L2</v>
          </cell>
          <cell r="B2435" t="str">
            <v>Current version</v>
          </cell>
          <cell r="C2435" t="str">
            <v>V2009R2</v>
          </cell>
          <cell r="D2435" t="str">
            <v>Labor Rate</v>
          </cell>
          <cell r="E2435" t="str">
            <v>SA</v>
          </cell>
          <cell r="F2435" t="str">
            <v>Western Africa Sub-Regional Division</v>
          </cell>
          <cell r="G2435" t="str">
            <v>Cote D’Ivoire Rep.O.</v>
          </cell>
          <cell r="H2435" t="str">
            <v>4027</v>
          </cell>
          <cell r="I2435" t="str">
            <v>几内亚</v>
          </cell>
          <cell r="J2435" t="str">
            <v>Guinea</v>
          </cell>
          <cell r="K2435" t="str">
            <v>Local employees</v>
          </cell>
          <cell r="L2435" t="str">
            <v>L2</v>
          </cell>
          <cell r="M2435" t="str">
            <v>ALL</v>
          </cell>
          <cell r="N2435" t="str">
            <v>FLPC(含奖金)</v>
          </cell>
          <cell r="O2435" t="str">
            <v>USD/小时</v>
          </cell>
          <cell r="P2435">
            <v>19.07</v>
          </cell>
        </row>
        <row r="2436">
          <cell r="A2436" t="str">
            <v>Nepal - Local employees - L1</v>
          </cell>
          <cell r="B2436" t="str">
            <v>Current version</v>
          </cell>
          <cell r="C2436" t="str">
            <v>V2009R2</v>
          </cell>
          <cell r="D2436" t="str">
            <v>Labor Rate</v>
          </cell>
          <cell r="E2436" t="str">
            <v>AP</v>
          </cell>
          <cell r="F2436" t="str">
            <v>India Rep.O.</v>
          </cell>
          <cell r="G2436" t="str">
            <v>Nepal</v>
          </cell>
          <cell r="H2436" t="str">
            <v>1214</v>
          </cell>
          <cell r="I2436" t="str">
            <v>尼泊尔</v>
          </cell>
          <cell r="J2436" t="str">
            <v>Nepal</v>
          </cell>
          <cell r="K2436" t="str">
            <v>Local employees</v>
          </cell>
          <cell r="L2436" t="str">
            <v>L1</v>
          </cell>
          <cell r="M2436" t="str">
            <v>ALL</v>
          </cell>
          <cell r="N2436" t="str">
            <v>FLPC(含奖金)</v>
          </cell>
          <cell r="O2436" t="str">
            <v>USD/小时</v>
          </cell>
          <cell r="P2436">
            <v>16.36</v>
          </cell>
        </row>
        <row r="2437">
          <cell r="A2437" t="str">
            <v>Nepal - Local employees - L0</v>
          </cell>
          <cell r="B2437" t="str">
            <v>Current version</v>
          </cell>
          <cell r="C2437" t="str">
            <v>V2009R2</v>
          </cell>
          <cell r="D2437" t="str">
            <v>Labor Rate</v>
          </cell>
          <cell r="E2437" t="str">
            <v>AP</v>
          </cell>
          <cell r="F2437" t="str">
            <v>India Rep.O.</v>
          </cell>
          <cell r="G2437" t="str">
            <v>Nepal</v>
          </cell>
          <cell r="H2437" t="str">
            <v>1214</v>
          </cell>
          <cell r="I2437" t="str">
            <v>尼泊尔</v>
          </cell>
          <cell r="J2437" t="str">
            <v>Nepal</v>
          </cell>
          <cell r="K2437" t="str">
            <v>Local employees</v>
          </cell>
          <cell r="L2437" t="str">
            <v>L0</v>
          </cell>
          <cell r="M2437" t="str">
            <v>ALL</v>
          </cell>
          <cell r="N2437" t="str">
            <v>FLPC(含奖金)</v>
          </cell>
          <cell r="O2437" t="str">
            <v>USD/小时</v>
          </cell>
          <cell r="P2437">
            <v>15.25</v>
          </cell>
        </row>
        <row r="2438">
          <cell r="A2438" t="str">
            <v>China - Local employees - L0</v>
          </cell>
          <cell r="B2438" t="str">
            <v>Current version</v>
          </cell>
          <cell r="C2438" t="str">
            <v>V2009R2</v>
          </cell>
          <cell r="D2438" t="str">
            <v>Labor Rate</v>
          </cell>
          <cell r="E2438" t="str">
            <v>China</v>
          </cell>
          <cell r="F2438" t="str">
            <v>China</v>
          </cell>
          <cell r="G2438" t="str">
            <v>中国</v>
          </cell>
          <cell r="H2438" t="str">
            <v>China</v>
          </cell>
          <cell r="I2438" t="str">
            <v>中国</v>
          </cell>
          <cell r="J2438" t="str">
            <v>China</v>
          </cell>
          <cell r="K2438" t="str">
            <v>Local employees</v>
          </cell>
          <cell r="L2438" t="str">
            <v>L0</v>
          </cell>
          <cell r="M2438" t="str">
            <v>ALL</v>
          </cell>
          <cell r="N2438" t="str">
            <v>FLPC(含奖金)</v>
          </cell>
          <cell r="O2438" t="str">
            <v>USD/小时</v>
          </cell>
          <cell r="P2438">
            <v>11.56</v>
          </cell>
        </row>
        <row r="2439">
          <cell r="A2439" t="str">
            <v>China - Local employees - L1</v>
          </cell>
          <cell r="B2439" t="str">
            <v>Current version</v>
          </cell>
          <cell r="C2439" t="str">
            <v>V2009R2</v>
          </cell>
          <cell r="D2439" t="str">
            <v>Labor Rate</v>
          </cell>
          <cell r="E2439" t="str">
            <v>China</v>
          </cell>
          <cell r="F2439" t="str">
            <v>China</v>
          </cell>
          <cell r="G2439" t="str">
            <v>中国</v>
          </cell>
          <cell r="H2439" t="str">
            <v>China</v>
          </cell>
          <cell r="I2439" t="str">
            <v>中国</v>
          </cell>
          <cell r="J2439" t="str">
            <v>China</v>
          </cell>
          <cell r="K2439" t="str">
            <v>Local employees</v>
          </cell>
          <cell r="L2439" t="str">
            <v>L1</v>
          </cell>
          <cell r="M2439" t="str">
            <v>ALL</v>
          </cell>
          <cell r="N2439" t="str">
            <v>FLPC(含奖金)</v>
          </cell>
          <cell r="O2439" t="str">
            <v>USD/小时</v>
          </cell>
          <cell r="P2439">
            <v>16.82</v>
          </cell>
        </row>
        <row r="2440">
          <cell r="A2440" t="str">
            <v>China - Local employees - L2</v>
          </cell>
          <cell r="B2440" t="str">
            <v>Current version</v>
          </cell>
          <cell r="C2440" t="str">
            <v>V2009R2</v>
          </cell>
          <cell r="D2440" t="str">
            <v>Labor Rate</v>
          </cell>
          <cell r="E2440" t="str">
            <v>China</v>
          </cell>
          <cell r="F2440" t="str">
            <v>China</v>
          </cell>
          <cell r="G2440" t="str">
            <v>中国</v>
          </cell>
          <cell r="H2440" t="str">
            <v>China</v>
          </cell>
          <cell r="I2440" t="str">
            <v>中国</v>
          </cell>
          <cell r="J2440" t="str">
            <v>China</v>
          </cell>
          <cell r="K2440" t="str">
            <v>Local employees</v>
          </cell>
          <cell r="L2440" t="str">
            <v>L2</v>
          </cell>
          <cell r="M2440" t="str">
            <v>ALL</v>
          </cell>
          <cell r="N2440" t="str">
            <v>FLPC(含奖金)</v>
          </cell>
          <cell r="O2440" t="str">
            <v>USD/小时</v>
          </cell>
          <cell r="P2440">
            <v>23.63</v>
          </cell>
        </row>
        <row r="2441">
          <cell r="A2441" t="str">
            <v>China - Local employees - L3</v>
          </cell>
          <cell r="B2441" t="str">
            <v>Current version</v>
          </cell>
          <cell r="C2441" t="str">
            <v>V2009R2</v>
          </cell>
          <cell r="D2441" t="str">
            <v>Labor Rate</v>
          </cell>
          <cell r="E2441" t="str">
            <v>China</v>
          </cell>
          <cell r="F2441" t="str">
            <v>China</v>
          </cell>
          <cell r="G2441" t="str">
            <v>中国</v>
          </cell>
          <cell r="H2441" t="str">
            <v>China</v>
          </cell>
          <cell r="I2441" t="str">
            <v>中国</v>
          </cell>
          <cell r="J2441" t="str">
            <v>China</v>
          </cell>
          <cell r="K2441" t="str">
            <v>Local employees</v>
          </cell>
          <cell r="L2441" t="str">
            <v>L3</v>
          </cell>
          <cell r="M2441" t="str">
            <v>ALL</v>
          </cell>
          <cell r="N2441" t="str">
            <v>FLPC(含奖金)</v>
          </cell>
          <cell r="O2441" t="str">
            <v>USD/小时</v>
          </cell>
          <cell r="P2441">
            <v>32.57</v>
          </cell>
        </row>
        <row r="2442">
          <cell r="A2442" t="str">
            <v>China - Local employees - L4</v>
          </cell>
          <cell r="B2442" t="str">
            <v>Current version</v>
          </cell>
          <cell r="C2442" t="str">
            <v>V2009R2</v>
          </cell>
          <cell r="D2442" t="str">
            <v>Labor Rate</v>
          </cell>
          <cell r="E2442" t="str">
            <v>China</v>
          </cell>
          <cell r="F2442" t="str">
            <v>China</v>
          </cell>
          <cell r="G2442" t="str">
            <v>中国</v>
          </cell>
          <cell r="H2442" t="str">
            <v>China</v>
          </cell>
          <cell r="I2442" t="str">
            <v>中国</v>
          </cell>
          <cell r="J2442" t="str">
            <v>China</v>
          </cell>
          <cell r="K2442" t="str">
            <v>Local employees</v>
          </cell>
          <cell r="L2442" t="str">
            <v>L4</v>
          </cell>
          <cell r="M2442" t="str">
            <v>ALL</v>
          </cell>
          <cell r="N2442" t="str">
            <v>FLPC(含奖金)</v>
          </cell>
          <cell r="O2442" t="str">
            <v>USD/小时</v>
          </cell>
          <cell r="P2442">
            <v>56.75</v>
          </cell>
        </row>
        <row r="2443">
          <cell r="A2443" t="str">
            <v xml:space="preserve"> - </v>
          </cell>
        </row>
        <row r="2444">
          <cell r="A2444" t="str">
            <v xml:space="preserve"> - </v>
          </cell>
        </row>
        <row r="2445">
          <cell r="A2445" t="str">
            <v xml:space="preserve"> - </v>
          </cell>
        </row>
        <row r="2446">
          <cell r="A2446" t="str">
            <v xml:space="preserve"> - </v>
          </cell>
        </row>
        <row r="2447">
          <cell r="A2447" t="str">
            <v xml:space="preserve"> - </v>
          </cell>
        </row>
        <row r="2448">
          <cell r="A2448" t="str">
            <v xml:space="preserve"> - </v>
          </cell>
        </row>
        <row r="2449">
          <cell r="A2449" t="str">
            <v xml:space="preserve"> - </v>
          </cell>
        </row>
        <row r="2450">
          <cell r="A2450" t="str">
            <v xml:space="preserve"> - </v>
          </cell>
        </row>
        <row r="2451">
          <cell r="A2451" t="str">
            <v xml:space="preserve"> - </v>
          </cell>
        </row>
        <row r="2452">
          <cell r="A2452" t="str">
            <v xml:space="preserve"> - </v>
          </cell>
        </row>
        <row r="2453">
          <cell r="A2453" t="str">
            <v xml:space="preserve"> - </v>
          </cell>
        </row>
        <row r="2454">
          <cell r="A2454" t="str">
            <v xml:space="preserve"> - </v>
          </cell>
        </row>
        <row r="2455">
          <cell r="A2455" t="str">
            <v xml:space="preserve"> - </v>
          </cell>
        </row>
        <row r="2456">
          <cell r="A2456" t="str">
            <v xml:space="preserve"> - </v>
          </cell>
        </row>
        <row r="2457">
          <cell r="A2457" t="str">
            <v xml:space="preserve"> - </v>
          </cell>
        </row>
        <row r="2458">
          <cell r="A2458" t="str">
            <v xml:space="preserve"> - </v>
          </cell>
        </row>
        <row r="2459">
          <cell r="A2459" t="str">
            <v xml:space="preserve"> - </v>
          </cell>
        </row>
        <row r="2460">
          <cell r="A2460" t="str">
            <v xml:space="preserve"> - </v>
          </cell>
        </row>
        <row r="2461">
          <cell r="A2461" t="str">
            <v xml:space="preserve"> - </v>
          </cell>
        </row>
        <row r="2462">
          <cell r="A2462" t="str">
            <v xml:space="preserve"> - </v>
          </cell>
        </row>
        <row r="2463">
          <cell r="A2463" t="str">
            <v xml:space="preserve"> - </v>
          </cell>
        </row>
        <row r="2464">
          <cell r="A2464" t="str">
            <v xml:space="preserve"> - </v>
          </cell>
        </row>
        <row r="2465">
          <cell r="A2465" t="str">
            <v xml:space="preserve"> - </v>
          </cell>
        </row>
        <row r="2466">
          <cell r="A2466" t="str">
            <v xml:space="preserve"> - </v>
          </cell>
        </row>
        <row r="2467">
          <cell r="A2467" t="str">
            <v xml:space="preserve"> - </v>
          </cell>
        </row>
        <row r="2468">
          <cell r="A2468" t="str">
            <v xml:space="preserve"> - </v>
          </cell>
        </row>
        <row r="2469">
          <cell r="A2469" t="str">
            <v xml:space="preserve"> - </v>
          </cell>
        </row>
        <row r="2470">
          <cell r="A2470" t="str">
            <v xml:space="preserve"> - </v>
          </cell>
        </row>
        <row r="2471">
          <cell r="A2471" t="str">
            <v xml:space="preserve"> - </v>
          </cell>
        </row>
        <row r="2472">
          <cell r="A2472" t="str">
            <v xml:space="preserve"> - </v>
          </cell>
        </row>
        <row r="2473">
          <cell r="A2473" t="str">
            <v xml:space="preserve"> - </v>
          </cell>
        </row>
        <row r="2474">
          <cell r="A2474" t="str">
            <v xml:space="preserve"> - </v>
          </cell>
        </row>
        <row r="2475">
          <cell r="A2475" t="str">
            <v xml:space="preserve"> - </v>
          </cell>
        </row>
        <row r="2476">
          <cell r="A2476" t="str">
            <v xml:space="preserve"> - </v>
          </cell>
        </row>
        <row r="2477">
          <cell r="A2477" t="str">
            <v xml:space="preserve"> - </v>
          </cell>
        </row>
        <row r="2478">
          <cell r="A2478" t="str">
            <v xml:space="preserve"> - </v>
          </cell>
        </row>
        <row r="2479">
          <cell r="A2479" t="str">
            <v xml:space="preserve"> - </v>
          </cell>
        </row>
        <row r="2480">
          <cell r="A2480" t="str">
            <v xml:space="preserve"> - </v>
          </cell>
        </row>
        <row r="2481">
          <cell r="A2481" t="str">
            <v xml:space="preserve"> - </v>
          </cell>
        </row>
        <row r="2482">
          <cell r="A2482" t="str">
            <v xml:space="preserve"> - </v>
          </cell>
        </row>
        <row r="2483">
          <cell r="A2483" t="str">
            <v xml:space="preserve"> - </v>
          </cell>
        </row>
        <row r="2484">
          <cell r="A2484" t="str">
            <v xml:space="preserve"> - </v>
          </cell>
        </row>
        <row r="2485">
          <cell r="A2485" t="str">
            <v xml:space="preserve"> - </v>
          </cell>
        </row>
        <row r="2486">
          <cell r="A2486" t="str">
            <v xml:space="preserve"> - </v>
          </cell>
        </row>
        <row r="2487">
          <cell r="A2487" t="str">
            <v xml:space="preserve"> - </v>
          </cell>
        </row>
        <row r="2488">
          <cell r="A2488" t="str">
            <v xml:space="preserve"> - </v>
          </cell>
        </row>
        <row r="2489">
          <cell r="A2489" t="str">
            <v xml:space="preserve"> - </v>
          </cell>
        </row>
        <row r="2490">
          <cell r="A2490" t="str">
            <v xml:space="preserve"> - </v>
          </cell>
        </row>
        <row r="2491">
          <cell r="A2491" t="str">
            <v xml:space="preserve"> - </v>
          </cell>
        </row>
        <row r="2492">
          <cell r="A2492" t="str">
            <v xml:space="preserve"> - </v>
          </cell>
        </row>
        <row r="2493">
          <cell r="A2493" t="str">
            <v xml:space="preserve"> - </v>
          </cell>
        </row>
        <row r="2494">
          <cell r="A2494" t="str">
            <v xml:space="preserve"> - </v>
          </cell>
        </row>
        <row r="2495">
          <cell r="A2495" t="str">
            <v xml:space="preserve"> - </v>
          </cell>
        </row>
        <row r="2496">
          <cell r="A2496" t="str">
            <v xml:space="preserve"> - </v>
          </cell>
        </row>
        <row r="2497">
          <cell r="A2497" t="str">
            <v xml:space="preserve"> - </v>
          </cell>
        </row>
        <row r="2498">
          <cell r="A2498" t="str">
            <v xml:space="preserve"> - </v>
          </cell>
        </row>
        <row r="2499">
          <cell r="A2499" t="str">
            <v xml:space="preserve"> - </v>
          </cell>
        </row>
        <row r="2500">
          <cell r="A2500" t="str">
            <v xml:space="preserve"> - </v>
          </cell>
        </row>
        <row r="2501">
          <cell r="A2501" t="str">
            <v xml:space="preserve"> - </v>
          </cell>
        </row>
        <row r="2502">
          <cell r="A2502" t="str">
            <v xml:space="preserve"> - </v>
          </cell>
        </row>
        <row r="2503">
          <cell r="A2503" t="str">
            <v xml:space="preserve"> - </v>
          </cell>
        </row>
        <row r="2504">
          <cell r="A2504" t="str">
            <v xml:space="preserve"> - </v>
          </cell>
        </row>
        <row r="2505">
          <cell r="A2505" t="str">
            <v xml:space="preserve"> - </v>
          </cell>
        </row>
        <row r="2506">
          <cell r="A2506" t="str">
            <v xml:space="preserve"> - </v>
          </cell>
        </row>
        <row r="2507">
          <cell r="A2507" t="str">
            <v xml:space="preserve"> - </v>
          </cell>
        </row>
        <row r="2508">
          <cell r="A2508" t="str">
            <v xml:space="preserve"> - </v>
          </cell>
        </row>
        <row r="2509">
          <cell r="A2509" t="str">
            <v xml:space="preserve"> - </v>
          </cell>
        </row>
        <row r="2510">
          <cell r="A2510" t="str">
            <v xml:space="preserve"> - </v>
          </cell>
        </row>
        <row r="2511">
          <cell r="A2511" t="str">
            <v xml:space="preserve"> - </v>
          </cell>
        </row>
        <row r="2512">
          <cell r="A2512" t="str">
            <v xml:space="preserve"> - </v>
          </cell>
        </row>
        <row r="2513">
          <cell r="A2513" t="str">
            <v xml:space="preserve"> - </v>
          </cell>
        </row>
        <row r="2514">
          <cell r="A2514" t="str">
            <v xml:space="preserve"> - </v>
          </cell>
        </row>
        <row r="2515">
          <cell r="A2515" t="str">
            <v xml:space="preserve"> - </v>
          </cell>
        </row>
        <row r="2516">
          <cell r="A2516" t="str">
            <v xml:space="preserve"> - </v>
          </cell>
        </row>
        <row r="2517">
          <cell r="A2517" t="str">
            <v xml:space="preserve"> - </v>
          </cell>
        </row>
        <row r="2518">
          <cell r="A2518" t="str">
            <v xml:space="preserve"> - </v>
          </cell>
        </row>
        <row r="2519">
          <cell r="A2519" t="str">
            <v xml:space="preserve"> - </v>
          </cell>
        </row>
        <row r="2520">
          <cell r="A2520" t="str">
            <v xml:space="preserve"> - </v>
          </cell>
        </row>
        <row r="2521">
          <cell r="A2521" t="str">
            <v xml:space="preserve"> - </v>
          </cell>
        </row>
        <row r="2522">
          <cell r="A2522" t="str">
            <v xml:space="preserve"> - </v>
          </cell>
        </row>
        <row r="2523">
          <cell r="A2523" t="str">
            <v xml:space="preserve"> - </v>
          </cell>
        </row>
        <row r="2524">
          <cell r="A2524" t="str">
            <v xml:space="preserve"> - </v>
          </cell>
        </row>
        <row r="2525">
          <cell r="A2525" t="str">
            <v xml:space="preserve"> - </v>
          </cell>
        </row>
        <row r="2526">
          <cell r="A2526" t="str">
            <v xml:space="preserve"> - </v>
          </cell>
        </row>
        <row r="2527">
          <cell r="A2527" t="str">
            <v xml:space="preserve"> - </v>
          </cell>
        </row>
        <row r="2528">
          <cell r="A2528" t="str">
            <v xml:space="preserve"> - </v>
          </cell>
        </row>
        <row r="2529">
          <cell r="A2529" t="str">
            <v xml:space="preserve"> - </v>
          </cell>
        </row>
        <row r="2530">
          <cell r="A2530" t="str">
            <v xml:space="preserve"> - </v>
          </cell>
        </row>
        <row r="2531">
          <cell r="A2531" t="str">
            <v xml:space="preserve"> - </v>
          </cell>
        </row>
        <row r="2532">
          <cell r="A2532" t="str">
            <v xml:space="preserve"> - </v>
          </cell>
        </row>
        <row r="2533">
          <cell r="A2533" t="str">
            <v xml:space="preserve"> - </v>
          </cell>
        </row>
        <row r="2534">
          <cell r="A2534" t="str">
            <v xml:space="preserve"> - </v>
          </cell>
        </row>
        <row r="2535">
          <cell r="A2535" t="str">
            <v xml:space="preserve"> - </v>
          </cell>
        </row>
        <row r="2536">
          <cell r="A2536" t="str">
            <v xml:space="preserve"> - </v>
          </cell>
        </row>
        <row r="2537">
          <cell r="A2537" t="str">
            <v xml:space="preserve"> - </v>
          </cell>
        </row>
        <row r="2538">
          <cell r="A2538" t="str">
            <v xml:space="preserve"> - </v>
          </cell>
        </row>
        <row r="2539">
          <cell r="A2539" t="str">
            <v xml:space="preserve"> - </v>
          </cell>
        </row>
        <row r="2540">
          <cell r="A2540" t="str">
            <v xml:space="preserve"> - </v>
          </cell>
        </row>
        <row r="2541">
          <cell r="A2541" t="str">
            <v xml:space="preserve"> - </v>
          </cell>
        </row>
        <row r="2542">
          <cell r="A2542" t="str">
            <v xml:space="preserve"> - </v>
          </cell>
        </row>
        <row r="2543">
          <cell r="A2543" t="str">
            <v xml:space="preserve"> - </v>
          </cell>
        </row>
        <row r="2544">
          <cell r="A2544" t="str">
            <v xml:space="preserve"> - </v>
          </cell>
        </row>
        <row r="2545">
          <cell r="A2545" t="str">
            <v xml:space="preserve"> - </v>
          </cell>
        </row>
        <row r="2546">
          <cell r="A2546" t="str">
            <v xml:space="preserve"> - </v>
          </cell>
        </row>
        <row r="2547">
          <cell r="A2547" t="str">
            <v xml:space="preserve"> - </v>
          </cell>
        </row>
        <row r="2548">
          <cell r="A2548" t="str">
            <v xml:space="preserve"> - </v>
          </cell>
        </row>
        <row r="2549">
          <cell r="A2549" t="str">
            <v xml:space="preserve"> - </v>
          </cell>
        </row>
        <row r="2550">
          <cell r="A2550" t="str">
            <v xml:space="preserve"> - </v>
          </cell>
        </row>
        <row r="2551">
          <cell r="A2551" t="str">
            <v xml:space="preserve"> - </v>
          </cell>
        </row>
        <row r="2552">
          <cell r="A2552" t="str">
            <v xml:space="preserve"> - </v>
          </cell>
        </row>
        <row r="2553">
          <cell r="A2553" t="str">
            <v xml:space="preserve"> - </v>
          </cell>
        </row>
        <row r="2554">
          <cell r="A2554" t="str">
            <v xml:space="preserve"> - </v>
          </cell>
        </row>
        <row r="2555">
          <cell r="A2555" t="str">
            <v xml:space="preserve"> - </v>
          </cell>
        </row>
        <row r="2556">
          <cell r="A2556" t="str">
            <v xml:space="preserve"> - </v>
          </cell>
        </row>
        <row r="2557">
          <cell r="A2557" t="str">
            <v xml:space="preserve"> - </v>
          </cell>
        </row>
        <row r="2558">
          <cell r="A2558" t="str">
            <v xml:space="preserve"> - </v>
          </cell>
        </row>
        <row r="2559">
          <cell r="A2559" t="str">
            <v xml:space="preserve"> - </v>
          </cell>
        </row>
        <row r="2560">
          <cell r="A2560" t="str">
            <v xml:space="preserve"> - </v>
          </cell>
        </row>
        <row r="2561">
          <cell r="A2561" t="str">
            <v xml:space="preserve"> - </v>
          </cell>
        </row>
        <row r="2562">
          <cell r="A2562" t="str">
            <v xml:space="preserve"> - </v>
          </cell>
        </row>
        <row r="2563">
          <cell r="A2563" t="str">
            <v xml:space="preserve"> - </v>
          </cell>
        </row>
        <row r="2564">
          <cell r="A2564" t="str">
            <v xml:space="preserve"> - </v>
          </cell>
        </row>
        <row r="2565">
          <cell r="A2565" t="str">
            <v xml:space="preserve"> - </v>
          </cell>
        </row>
        <row r="2566">
          <cell r="A2566" t="str">
            <v xml:space="preserve"> - </v>
          </cell>
        </row>
        <row r="2567">
          <cell r="A2567" t="str">
            <v xml:space="preserve"> - </v>
          </cell>
        </row>
        <row r="2568">
          <cell r="A2568" t="str">
            <v xml:space="preserve"> - </v>
          </cell>
        </row>
        <row r="2569">
          <cell r="A2569" t="str">
            <v xml:space="preserve"> - </v>
          </cell>
        </row>
        <row r="2570">
          <cell r="A2570" t="str">
            <v xml:space="preserve"> - </v>
          </cell>
        </row>
        <row r="2571">
          <cell r="A2571" t="str">
            <v xml:space="preserve"> - </v>
          </cell>
        </row>
        <row r="2572">
          <cell r="A2572" t="str">
            <v xml:space="preserve"> - </v>
          </cell>
        </row>
        <row r="2573">
          <cell r="A2573" t="str">
            <v xml:space="preserve"> - </v>
          </cell>
        </row>
        <row r="2574">
          <cell r="A2574" t="str">
            <v xml:space="preserve"> - </v>
          </cell>
        </row>
        <row r="2575">
          <cell r="A2575" t="str">
            <v xml:space="preserve"> - </v>
          </cell>
        </row>
        <row r="2576">
          <cell r="A2576" t="str">
            <v xml:space="preserve"> - </v>
          </cell>
        </row>
        <row r="2577">
          <cell r="A2577" t="str">
            <v xml:space="preserve"> - </v>
          </cell>
        </row>
        <row r="2578">
          <cell r="A2578" t="str">
            <v xml:space="preserve"> - </v>
          </cell>
        </row>
        <row r="2579">
          <cell r="A2579" t="str">
            <v xml:space="preserve"> - </v>
          </cell>
        </row>
        <row r="2580">
          <cell r="A2580" t="str">
            <v xml:space="preserve"> - </v>
          </cell>
        </row>
        <row r="2581">
          <cell r="A2581" t="str">
            <v xml:space="preserve"> - </v>
          </cell>
        </row>
        <row r="2582">
          <cell r="A2582" t="str">
            <v xml:space="preserve"> - </v>
          </cell>
        </row>
        <row r="2583">
          <cell r="A2583" t="str">
            <v xml:space="preserve"> - </v>
          </cell>
        </row>
        <row r="2584">
          <cell r="A2584" t="str">
            <v xml:space="preserve"> - </v>
          </cell>
        </row>
        <row r="2585">
          <cell r="A2585" t="str">
            <v xml:space="preserve"> - </v>
          </cell>
        </row>
        <row r="2586">
          <cell r="A2586" t="str">
            <v xml:space="preserve"> - </v>
          </cell>
        </row>
        <row r="2587">
          <cell r="A2587" t="str">
            <v xml:space="preserve"> - </v>
          </cell>
        </row>
        <row r="2588">
          <cell r="A2588" t="str">
            <v xml:space="preserve"> - </v>
          </cell>
        </row>
        <row r="2589">
          <cell r="A2589" t="str">
            <v xml:space="preserve"> - </v>
          </cell>
        </row>
        <row r="2590">
          <cell r="A2590" t="str">
            <v xml:space="preserve"> - </v>
          </cell>
        </row>
        <row r="2591">
          <cell r="A2591" t="str">
            <v xml:space="preserve"> - </v>
          </cell>
        </row>
        <row r="2592">
          <cell r="A2592" t="str">
            <v xml:space="preserve"> - </v>
          </cell>
        </row>
        <row r="2593">
          <cell r="A2593" t="str">
            <v xml:space="preserve"> - </v>
          </cell>
        </row>
        <row r="2594">
          <cell r="A2594" t="str">
            <v xml:space="preserve"> - </v>
          </cell>
        </row>
        <row r="2595">
          <cell r="A2595" t="str">
            <v xml:space="preserve"> - </v>
          </cell>
        </row>
        <row r="2596">
          <cell r="A2596" t="str">
            <v xml:space="preserve"> - </v>
          </cell>
        </row>
        <row r="2597">
          <cell r="A2597" t="str">
            <v xml:space="preserve"> - </v>
          </cell>
        </row>
        <row r="2598">
          <cell r="A2598" t="str">
            <v xml:space="preserve"> - </v>
          </cell>
        </row>
        <row r="2599">
          <cell r="A2599" t="str">
            <v xml:space="preserve"> - </v>
          </cell>
        </row>
        <row r="2600">
          <cell r="A2600" t="str">
            <v xml:space="preserve"> - </v>
          </cell>
        </row>
        <row r="2601">
          <cell r="A2601" t="str">
            <v xml:space="preserve"> - </v>
          </cell>
        </row>
        <row r="2602">
          <cell r="A2602" t="str">
            <v xml:space="preserve"> - </v>
          </cell>
        </row>
        <row r="2603">
          <cell r="A2603" t="str">
            <v xml:space="preserve"> - </v>
          </cell>
        </row>
        <row r="2604">
          <cell r="A2604" t="str">
            <v xml:space="preserve"> - </v>
          </cell>
        </row>
        <row r="2605">
          <cell r="A2605" t="str">
            <v xml:space="preserve"> - </v>
          </cell>
        </row>
        <row r="2606">
          <cell r="A2606" t="str">
            <v xml:space="preserve"> - </v>
          </cell>
        </row>
        <row r="2607">
          <cell r="A2607" t="str">
            <v xml:space="preserve"> - </v>
          </cell>
        </row>
        <row r="2608">
          <cell r="A2608" t="str">
            <v xml:space="preserve"> - </v>
          </cell>
        </row>
        <row r="2609">
          <cell r="A2609" t="str">
            <v xml:space="preserve"> - </v>
          </cell>
        </row>
        <row r="2610">
          <cell r="A2610" t="str">
            <v xml:space="preserve"> - </v>
          </cell>
        </row>
        <row r="2611">
          <cell r="A2611" t="str">
            <v xml:space="preserve"> - </v>
          </cell>
        </row>
        <row r="2612">
          <cell r="A2612" t="str">
            <v xml:space="preserve"> - </v>
          </cell>
        </row>
        <row r="2613">
          <cell r="A2613" t="str">
            <v xml:space="preserve"> - </v>
          </cell>
        </row>
        <row r="2614">
          <cell r="A2614" t="str">
            <v xml:space="preserve"> - </v>
          </cell>
        </row>
        <row r="2615">
          <cell r="A2615" t="str">
            <v xml:space="preserve"> - </v>
          </cell>
        </row>
        <row r="2616">
          <cell r="A2616" t="str">
            <v xml:space="preserve"> - </v>
          </cell>
        </row>
        <row r="2617">
          <cell r="A2617" t="str">
            <v xml:space="preserve"> - </v>
          </cell>
        </row>
        <row r="2618">
          <cell r="A2618" t="str">
            <v xml:space="preserve"> - </v>
          </cell>
        </row>
        <row r="2619">
          <cell r="A2619" t="str">
            <v xml:space="preserve"> - </v>
          </cell>
        </row>
        <row r="2620">
          <cell r="A2620" t="str">
            <v xml:space="preserve"> - </v>
          </cell>
        </row>
        <row r="2621">
          <cell r="A2621" t="str">
            <v xml:space="preserve"> - </v>
          </cell>
        </row>
        <row r="2622">
          <cell r="A2622" t="str">
            <v xml:space="preserve"> - </v>
          </cell>
        </row>
        <row r="2623">
          <cell r="A2623" t="str">
            <v xml:space="preserve"> - </v>
          </cell>
        </row>
        <row r="2624">
          <cell r="A2624" t="str">
            <v xml:space="preserve"> - </v>
          </cell>
        </row>
        <row r="2625">
          <cell r="A2625" t="str">
            <v xml:space="preserve"> - </v>
          </cell>
        </row>
        <row r="2626">
          <cell r="A2626" t="str">
            <v xml:space="preserve"> - </v>
          </cell>
        </row>
        <row r="2627">
          <cell r="A2627" t="str">
            <v xml:space="preserve"> - </v>
          </cell>
        </row>
        <row r="2628">
          <cell r="A2628" t="str">
            <v xml:space="preserve"> - </v>
          </cell>
        </row>
        <row r="2629">
          <cell r="A2629" t="str">
            <v xml:space="preserve"> - </v>
          </cell>
        </row>
        <row r="2630">
          <cell r="A2630" t="str">
            <v xml:space="preserve"> - </v>
          </cell>
        </row>
        <row r="2631">
          <cell r="A2631" t="str">
            <v xml:space="preserve"> - </v>
          </cell>
        </row>
        <row r="2632">
          <cell r="A2632" t="str">
            <v xml:space="preserve"> - </v>
          </cell>
        </row>
        <row r="2633">
          <cell r="A2633" t="str">
            <v xml:space="preserve"> - </v>
          </cell>
        </row>
        <row r="2634">
          <cell r="A2634" t="str">
            <v xml:space="preserve"> - </v>
          </cell>
        </row>
        <row r="2635">
          <cell r="A2635" t="str">
            <v xml:space="preserve"> - </v>
          </cell>
        </row>
        <row r="2636">
          <cell r="A2636" t="str">
            <v xml:space="preserve"> - </v>
          </cell>
        </row>
        <row r="2637">
          <cell r="A2637" t="str">
            <v xml:space="preserve"> - </v>
          </cell>
        </row>
        <row r="2638">
          <cell r="A2638" t="str">
            <v xml:space="preserve"> - </v>
          </cell>
        </row>
        <row r="2639">
          <cell r="A2639" t="str">
            <v xml:space="preserve"> - </v>
          </cell>
        </row>
        <row r="2640">
          <cell r="A2640" t="str">
            <v xml:space="preserve"> - </v>
          </cell>
        </row>
        <row r="2641">
          <cell r="A2641" t="str">
            <v xml:space="preserve"> - </v>
          </cell>
        </row>
        <row r="2642">
          <cell r="A2642" t="str">
            <v xml:space="preserve"> - </v>
          </cell>
        </row>
        <row r="2643">
          <cell r="A2643" t="str">
            <v xml:space="preserve"> - </v>
          </cell>
        </row>
        <row r="2644">
          <cell r="A2644" t="str">
            <v xml:space="preserve"> - </v>
          </cell>
        </row>
        <row r="2645">
          <cell r="A2645" t="str">
            <v xml:space="preserve"> - </v>
          </cell>
        </row>
        <row r="2646">
          <cell r="A2646" t="str">
            <v xml:space="preserve"> - </v>
          </cell>
        </row>
        <row r="2647">
          <cell r="A2647" t="str">
            <v xml:space="preserve"> - </v>
          </cell>
        </row>
        <row r="2648">
          <cell r="A2648" t="str">
            <v xml:space="preserve"> - </v>
          </cell>
        </row>
        <row r="2649">
          <cell r="A2649" t="str">
            <v xml:space="preserve"> - </v>
          </cell>
        </row>
        <row r="2650">
          <cell r="A2650" t="str">
            <v xml:space="preserve"> - </v>
          </cell>
        </row>
        <row r="2651">
          <cell r="A2651" t="str">
            <v xml:space="preserve"> - </v>
          </cell>
        </row>
        <row r="2652">
          <cell r="A2652" t="str">
            <v xml:space="preserve"> - </v>
          </cell>
        </row>
        <row r="2653">
          <cell r="A2653" t="str">
            <v xml:space="preserve"> - </v>
          </cell>
        </row>
        <row r="2654">
          <cell r="A2654" t="str">
            <v xml:space="preserve"> - </v>
          </cell>
        </row>
        <row r="2655">
          <cell r="A2655" t="str">
            <v xml:space="preserve"> - </v>
          </cell>
        </row>
        <row r="2656">
          <cell r="A2656" t="str">
            <v xml:space="preserve"> - </v>
          </cell>
        </row>
        <row r="2657">
          <cell r="A2657" t="str">
            <v xml:space="preserve"> - </v>
          </cell>
        </row>
        <row r="2658">
          <cell r="A2658" t="str">
            <v xml:space="preserve"> - </v>
          </cell>
        </row>
        <row r="2659">
          <cell r="A2659" t="str">
            <v xml:space="preserve"> - </v>
          </cell>
        </row>
        <row r="2660">
          <cell r="A2660" t="str">
            <v xml:space="preserve"> - </v>
          </cell>
        </row>
        <row r="2661">
          <cell r="A2661" t="str">
            <v xml:space="preserve"> - </v>
          </cell>
        </row>
        <row r="2662">
          <cell r="A2662" t="str">
            <v xml:space="preserve"> - </v>
          </cell>
        </row>
        <row r="2663">
          <cell r="A2663" t="str">
            <v xml:space="preserve"> - </v>
          </cell>
        </row>
        <row r="2664">
          <cell r="A2664" t="str">
            <v xml:space="preserve"> - </v>
          </cell>
        </row>
        <row r="2665">
          <cell r="A2665" t="str">
            <v xml:space="preserve"> - </v>
          </cell>
        </row>
        <row r="2666">
          <cell r="A2666" t="str">
            <v xml:space="preserve"> - </v>
          </cell>
        </row>
        <row r="2667">
          <cell r="A2667" t="str">
            <v xml:space="preserve"> - </v>
          </cell>
        </row>
        <row r="2668">
          <cell r="A2668" t="str">
            <v xml:space="preserve"> - </v>
          </cell>
        </row>
        <row r="2669">
          <cell r="A2669" t="str">
            <v xml:space="preserve"> - </v>
          </cell>
        </row>
        <row r="2670">
          <cell r="A2670" t="str">
            <v xml:space="preserve"> - </v>
          </cell>
        </row>
        <row r="2671">
          <cell r="A2671" t="str">
            <v xml:space="preserve"> - </v>
          </cell>
        </row>
        <row r="2672">
          <cell r="A2672" t="str">
            <v xml:space="preserve"> - </v>
          </cell>
        </row>
        <row r="2673">
          <cell r="A2673" t="str">
            <v xml:space="preserve"> - </v>
          </cell>
        </row>
        <row r="2674">
          <cell r="A2674" t="str">
            <v xml:space="preserve"> - </v>
          </cell>
        </row>
        <row r="2675">
          <cell r="A2675" t="str">
            <v xml:space="preserve"> - </v>
          </cell>
        </row>
        <row r="2676">
          <cell r="A2676" t="str">
            <v xml:space="preserve"> - </v>
          </cell>
        </row>
        <row r="2677">
          <cell r="A2677" t="str">
            <v xml:space="preserve"> - </v>
          </cell>
        </row>
        <row r="2678">
          <cell r="A2678" t="str">
            <v xml:space="preserve"> - </v>
          </cell>
        </row>
        <row r="2679">
          <cell r="A2679" t="str">
            <v xml:space="preserve"> - </v>
          </cell>
        </row>
        <row r="2680">
          <cell r="A2680" t="str">
            <v xml:space="preserve"> - </v>
          </cell>
        </row>
        <row r="2681">
          <cell r="A2681" t="str">
            <v xml:space="preserve"> - </v>
          </cell>
        </row>
        <row r="2682">
          <cell r="A2682" t="str">
            <v xml:space="preserve"> - </v>
          </cell>
        </row>
        <row r="2683">
          <cell r="A2683" t="str">
            <v xml:space="preserve"> - </v>
          </cell>
        </row>
        <row r="2684">
          <cell r="A2684" t="str">
            <v xml:space="preserve"> - </v>
          </cell>
        </row>
        <row r="2685">
          <cell r="A2685" t="str">
            <v xml:space="preserve"> - </v>
          </cell>
        </row>
        <row r="2686">
          <cell r="A2686" t="str">
            <v xml:space="preserve"> - </v>
          </cell>
        </row>
        <row r="2687">
          <cell r="A2687" t="str">
            <v xml:space="preserve"> - </v>
          </cell>
        </row>
        <row r="2688">
          <cell r="A2688" t="str">
            <v xml:space="preserve"> - </v>
          </cell>
        </row>
        <row r="2689">
          <cell r="A2689" t="str">
            <v xml:space="preserve"> - </v>
          </cell>
        </row>
        <row r="2690">
          <cell r="A2690" t="str">
            <v xml:space="preserve"> - </v>
          </cell>
        </row>
        <row r="2691">
          <cell r="A2691" t="str">
            <v xml:space="preserve"> - </v>
          </cell>
        </row>
        <row r="2692">
          <cell r="A2692" t="str">
            <v xml:space="preserve"> - </v>
          </cell>
        </row>
        <row r="2693">
          <cell r="A2693" t="str">
            <v xml:space="preserve"> - </v>
          </cell>
        </row>
        <row r="2694">
          <cell r="A2694" t="str">
            <v xml:space="preserve"> - </v>
          </cell>
        </row>
        <row r="2695">
          <cell r="A2695" t="str">
            <v xml:space="preserve"> - </v>
          </cell>
        </row>
        <row r="2696">
          <cell r="A2696" t="str">
            <v xml:space="preserve"> - </v>
          </cell>
        </row>
        <row r="2697">
          <cell r="A2697" t="str">
            <v xml:space="preserve"> - </v>
          </cell>
        </row>
        <row r="2698">
          <cell r="A2698" t="str">
            <v xml:space="preserve"> - </v>
          </cell>
        </row>
        <row r="2699">
          <cell r="A2699" t="str">
            <v xml:space="preserve"> - </v>
          </cell>
        </row>
        <row r="2700">
          <cell r="A2700" t="str">
            <v xml:space="preserve"> - </v>
          </cell>
        </row>
        <row r="2701">
          <cell r="A2701" t="str">
            <v xml:space="preserve"> - </v>
          </cell>
        </row>
        <row r="2702">
          <cell r="A2702" t="str">
            <v xml:space="preserve"> - </v>
          </cell>
        </row>
        <row r="2703">
          <cell r="A2703" t="str">
            <v xml:space="preserve"> - </v>
          </cell>
        </row>
        <row r="2704">
          <cell r="A2704" t="str">
            <v xml:space="preserve"> - </v>
          </cell>
        </row>
        <row r="2705">
          <cell r="A2705" t="str">
            <v xml:space="preserve"> - </v>
          </cell>
        </row>
        <row r="2706">
          <cell r="A2706" t="str">
            <v xml:space="preserve"> - </v>
          </cell>
        </row>
        <row r="2707">
          <cell r="A2707" t="str">
            <v xml:space="preserve"> - </v>
          </cell>
        </row>
        <row r="2708">
          <cell r="A2708" t="str">
            <v xml:space="preserve"> - </v>
          </cell>
        </row>
        <row r="2709">
          <cell r="A2709" t="str">
            <v xml:space="preserve"> - </v>
          </cell>
        </row>
        <row r="2710">
          <cell r="A2710" t="str">
            <v xml:space="preserve"> - </v>
          </cell>
        </row>
        <row r="2711">
          <cell r="A2711" t="str">
            <v xml:space="preserve"> - </v>
          </cell>
        </row>
        <row r="2712">
          <cell r="A2712" t="str">
            <v xml:space="preserve"> - </v>
          </cell>
        </row>
        <row r="2713">
          <cell r="A2713" t="str">
            <v xml:space="preserve"> - </v>
          </cell>
        </row>
        <row r="2714">
          <cell r="A2714" t="str">
            <v xml:space="preserve"> - </v>
          </cell>
        </row>
        <row r="2715">
          <cell r="A2715" t="str">
            <v xml:space="preserve"> - </v>
          </cell>
        </row>
        <row r="2716">
          <cell r="A2716" t="str">
            <v xml:space="preserve"> - </v>
          </cell>
        </row>
        <row r="2717">
          <cell r="A2717" t="str">
            <v xml:space="preserve"> - </v>
          </cell>
        </row>
        <row r="2718">
          <cell r="A2718" t="str">
            <v xml:space="preserve"> - </v>
          </cell>
        </row>
        <row r="2719">
          <cell r="A2719" t="str">
            <v xml:space="preserve"> - </v>
          </cell>
        </row>
        <row r="2720">
          <cell r="A2720" t="str">
            <v xml:space="preserve"> - </v>
          </cell>
        </row>
        <row r="2721">
          <cell r="A2721" t="str">
            <v xml:space="preserve"> - </v>
          </cell>
        </row>
        <row r="2722">
          <cell r="A2722" t="str">
            <v xml:space="preserve"> - </v>
          </cell>
        </row>
        <row r="2723">
          <cell r="A2723" t="str">
            <v xml:space="preserve"> - </v>
          </cell>
        </row>
        <row r="2724">
          <cell r="A2724" t="str">
            <v xml:space="preserve"> - </v>
          </cell>
        </row>
        <row r="2725">
          <cell r="A2725" t="str">
            <v xml:space="preserve"> - </v>
          </cell>
        </row>
        <row r="2726">
          <cell r="A2726" t="str">
            <v xml:space="preserve"> - </v>
          </cell>
        </row>
        <row r="2727">
          <cell r="A2727" t="str">
            <v xml:space="preserve"> - </v>
          </cell>
        </row>
        <row r="2728">
          <cell r="A2728" t="str">
            <v xml:space="preserve"> - </v>
          </cell>
        </row>
        <row r="2729">
          <cell r="A2729" t="str">
            <v xml:space="preserve"> - </v>
          </cell>
        </row>
        <row r="2730">
          <cell r="A2730" t="str">
            <v xml:space="preserve"> - </v>
          </cell>
        </row>
        <row r="2731">
          <cell r="A2731" t="str">
            <v xml:space="preserve"> - </v>
          </cell>
        </row>
        <row r="2732">
          <cell r="A2732" t="str">
            <v xml:space="preserve"> - </v>
          </cell>
        </row>
        <row r="2733">
          <cell r="A2733" t="str">
            <v xml:space="preserve"> - </v>
          </cell>
        </row>
        <row r="2734">
          <cell r="A2734" t="str">
            <v xml:space="preserve"> - </v>
          </cell>
        </row>
        <row r="2735">
          <cell r="A2735" t="str">
            <v xml:space="preserve"> - </v>
          </cell>
        </row>
        <row r="2736">
          <cell r="A2736" t="str">
            <v xml:space="preserve"> - </v>
          </cell>
        </row>
        <row r="2737">
          <cell r="A2737" t="str">
            <v xml:space="preserve"> - </v>
          </cell>
        </row>
        <row r="2738">
          <cell r="A2738" t="str">
            <v xml:space="preserve"> - </v>
          </cell>
        </row>
        <row r="2739">
          <cell r="A2739" t="str">
            <v xml:space="preserve"> - </v>
          </cell>
        </row>
        <row r="2740">
          <cell r="A2740" t="str">
            <v xml:space="preserve"> - </v>
          </cell>
        </row>
        <row r="2741">
          <cell r="A2741" t="str">
            <v xml:space="preserve"> - </v>
          </cell>
        </row>
        <row r="2742">
          <cell r="A2742" t="str">
            <v xml:space="preserve"> - </v>
          </cell>
        </row>
        <row r="2743">
          <cell r="A2743" t="str">
            <v xml:space="preserve"> - </v>
          </cell>
        </row>
        <row r="2744">
          <cell r="A2744" t="str">
            <v xml:space="preserve"> - </v>
          </cell>
        </row>
        <row r="2745">
          <cell r="A2745" t="str">
            <v xml:space="preserve"> - </v>
          </cell>
        </row>
        <row r="2746">
          <cell r="A2746" t="str">
            <v xml:space="preserve"> - </v>
          </cell>
        </row>
        <row r="2747">
          <cell r="A2747" t="str">
            <v xml:space="preserve"> - </v>
          </cell>
        </row>
        <row r="2748">
          <cell r="A2748" t="str">
            <v xml:space="preserve"> - </v>
          </cell>
        </row>
        <row r="2749">
          <cell r="A2749" t="str">
            <v xml:space="preserve"> - </v>
          </cell>
        </row>
        <row r="2750">
          <cell r="A2750" t="str">
            <v xml:space="preserve"> - </v>
          </cell>
        </row>
        <row r="2751">
          <cell r="A2751" t="str">
            <v xml:space="preserve"> - </v>
          </cell>
        </row>
        <row r="2752">
          <cell r="A2752" t="str">
            <v xml:space="preserve"> - </v>
          </cell>
        </row>
        <row r="2753">
          <cell r="A2753" t="str">
            <v xml:space="preserve"> - </v>
          </cell>
        </row>
        <row r="2754">
          <cell r="A2754" t="str">
            <v xml:space="preserve"> - </v>
          </cell>
        </row>
        <row r="2755">
          <cell r="A2755" t="str">
            <v xml:space="preserve"> - </v>
          </cell>
        </row>
        <row r="2756">
          <cell r="A2756" t="str">
            <v xml:space="preserve"> - </v>
          </cell>
        </row>
        <row r="2757">
          <cell r="A2757" t="str">
            <v xml:space="preserve"> - </v>
          </cell>
        </row>
        <row r="2758">
          <cell r="A2758" t="str">
            <v xml:space="preserve"> - </v>
          </cell>
        </row>
        <row r="2759">
          <cell r="A2759" t="str">
            <v xml:space="preserve"> - </v>
          </cell>
        </row>
        <row r="2760">
          <cell r="A2760" t="str">
            <v xml:space="preserve"> - </v>
          </cell>
        </row>
        <row r="2761">
          <cell r="A2761" t="str">
            <v xml:space="preserve"> - </v>
          </cell>
        </row>
        <row r="2762">
          <cell r="A2762" t="str">
            <v xml:space="preserve"> - </v>
          </cell>
        </row>
        <row r="2763">
          <cell r="A2763" t="str">
            <v xml:space="preserve"> - </v>
          </cell>
        </row>
        <row r="2764">
          <cell r="A2764" t="str">
            <v xml:space="preserve"> - </v>
          </cell>
        </row>
        <row r="2765">
          <cell r="A2765" t="str">
            <v xml:space="preserve"> - </v>
          </cell>
        </row>
        <row r="2766">
          <cell r="A2766" t="str">
            <v xml:space="preserve"> - </v>
          </cell>
        </row>
        <row r="2767">
          <cell r="A2767" t="str">
            <v xml:space="preserve"> - </v>
          </cell>
        </row>
        <row r="2768">
          <cell r="A2768" t="str">
            <v xml:space="preserve"> - </v>
          </cell>
        </row>
        <row r="2769">
          <cell r="A2769" t="str">
            <v xml:space="preserve"> - </v>
          </cell>
        </row>
        <row r="2770">
          <cell r="A2770" t="str">
            <v xml:space="preserve"> - </v>
          </cell>
        </row>
        <row r="2771">
          <cell r="A2771" t="str">
            <v xml:space="preserve"> - </v>
          </cell>
        </row>
        <row r="2772">
          <cell r="A2772" t="str">
            <v xml:space="preserve"> - </v>
          </cell>
        </row>
        <row r="2773">
          <cell r="A2773" t="str">
            <v xml:space="preserve"> - </v>
          </cell>
        </row>
        <row r="2774">
          <cell r="A2774" t="str">
            <v xml:space="preserve"> - </v>
          </cell>
        </row>
        <row r="2775">
          <cell r="A2775" t="str">
            <v xml:space="preserve"> - </v>
          </cell>
        </row>
        <row r="2776">
          <cell r="A2776" t="str">
            <v xml:space="preserve"> - </v>
          </cell>
        </row>
        <row r="2777">
          <cell r="A2777" t="str">
            <v xml:space="preserve"> - </v>
          </cell>
        </row>
        <row r="2778">
          <cell r="A2778" t="str">
            <v xml:space="preserve"> - </v>
          </cell>
        </row>
        <row r="2779">
          <cell r="A2779" t="str">
            <v xml:space="preserve"> - </v>
          </cell>
        </row>
        <row r="2780">
          <cell r="A2780" t="str">
            <v xml:space="preserve"> - </v>
          </cell>
        </row>
        <row r="2781">
          <cell r="A2781" t="str">
            <v xml:space="preserve"> - </v>
          </cell>
        </row>
        <row r="2782">
          <cell r="A2782" t="str">
            <v xml:space="preserve"> - </v>
          </cell>
        </row>
        <row r="2783">
          <cell r="A2783" t="str">
            <v xml:space="preserve"> - </v>
          </cell>
        </row>
        <row r="2784">
          <cell r="A2784" t="str">
            <v xml:space="preserve"> - </v>
          </cell>
        </row>
        <row r="2785">
          <cell r="A2785" t="str">
            <v xml:space="preserve"> - </v>
          </cell>
        </row>
        <row r="2786">
          <cell r="A2786" t="str">
            <v xml:space="preserve"> - </v>
          </cell>
        </row>
        <row r="2787">
          <cell r="A2787" t="str">
            <v xml:space="preserve"> - </v>
          </cell>
        </row>
        <row r="2788">
          <cell r="A2788" t="str">
            <v xml:space="preserve"> - </v>
          </cell>
        </row>
        <row r="2789">
          <cell r="A2789" t="str">
            <v xml:space="preserve"> - </v>
          </cell>
        </row>
        <row r="2790">
          <cell r="A2790" t="str">
            <v xml:space="preserve"> - </v>
          </cell>
        </row>
        <row r="2791">
          <cell r="A2791" t="str">
            <v xml:space="preserve"> - </v>
          </cell>
        </row>
        <row r="2792">
          <cell r="A2792" t="str">
            <v xml:space="preserve"> - </v>
          </cell>
        </row>
        <row r="2793">
          <cell r="A2793" t="str">
            <v xml:space="preserve"> - </v>
          </cell>
        </row>
        <row r="2794">
          <cell r="A2794" t="str">
            <v xml:space="preserve"> - </v>
          </cell>
        </row>
        <row r="2795">
          <cell r="A2795" t="str">
            <v xml:space="preserve"> - </v>
          </cell>
        </row>
        <row r="2796">
          <cell r="A2796" t="str">
            <v xml:space="preserve"> - </v>
          </cell>
        </row>
        <row r="2797">
          <cell r="A2797" t="str">
            <v xml:space="preserve"> - </v>
          </cell>
        </row>
        <row r="2798">
          <cell r="A2798" t="str">
            <v xml:space="preserve"> - </v>
          </cell>
        </row>
        <row r="2799">
          <cell r="A2799" t="str">
            <v xml:space="preserve"> - </v>
          </cell>
        </row>
        <row r="2800">
          <cell r="A2800" t="str">
            <v xml:space="preserve"> - </v>
          </cell>
        </row>
        <row r="2801">
          <cell r="A2801" t="str">
            <v xml:space="preserve"> - </v>
          </cell>
        </row>
        <row r="2802">
          <cell r="A2802" t="str">
            <v xml:space="preserve"> - </v>
          </cell>
        </row>
        <row r="2803">
          <cell r="A2803" t="str">
            <v xml:space="preserve"> - </v>
          </cell>
        </row>
        <row r="2804">
          <cell r="A2804" t="str">
            <v xml:space="preserve"> - </v>
          </cell>
        </row>
        <row r="2805">
          <cell r="A2805" t="str">
            <v xml:space="preserve"> - </v>
          </cell>
        </row>
        <row r="2806">
          <cell r="A2806" t="str">
            <v xml:space="preserve"> - </v>
          </cell>
        </row>
        <row r="2807">
          <cell r="A2807" t="str">
            <v xml:space="preserve"> - </v>
          </cell>
        </row>
        <row r="2808">
          <cell r="A2808" t="str">
            <v xml:space="preserve"> - </v>
          </cell>
        </row>
        <row r="2809">
          <cell r="A2809" t="str">
            <v xml:space="preserve"> - </v>
          </cell>
        </row>
        <row r="2810">
          <cell r="A2810" t="str">
            <v xml:space="preserve"> - </v>
          </cell>
        </row>
        <row r="2811">
          <cell r="A2811" t="str">
            <v xml:space="preserve"> - </v>
          </cell>
        </row>
        <row r="2812">
          <cell r="A2812" t="str">
            <v xml:space="preserve"> - </v>
          </cell>
        </row>
        <row r="2813">
          <cell r="A2813" t="str">
            <v xml:space="preserve"> - </v>
          </cell>
        </row>
        <row r="2814">
          <cell r="A2814" t="str">
            <v xml:space="preserve"> - </v>
          </cell>
        </row>
        <row r="2815">
          <cell r="A2815" t="str">
            <v xml:space="preserve"> - </v>
          </cell>
        </row>
        <row r="2816">
          <cell r="A2816" t="str">
            <v xml:space="preserve"> - </v>
          </cell>
        </row>
        <row r="2817">
          <cell r="A2817" t="str">
            <v xml:space="preserve"> - </v>
          </cell>
        </row>
        <row r="2818">
          <cell r="A2818" t="str">
            <v xml:space="preserve"> - </v>
          </cell>
        </row>
        <row r="2819">
          <cell r="A2819" t="str">
            <v xml:space="preserve"> - </v>
          </cell>
        </row>
        <row r="2820">
          <cell r="A2820" t="str">
            <v xml:space="preserve"> - </v>
          </cell>
        </row>
        <row r="2821">
          <cell r="A2821" t="str">
            <v xml:space="preserve"> - </v>
          </cell>
        </row>
        <row r="2822">
          <cell r="A2822" t="str">
            <v xml:space="preserve"> - </v>
          </cell>
        </row>
        <row r="2823">
          <cell r="A2823" t="str">
            <v xml:space="preserve"> - </v>
          </cell>
        </row>
        <row r="2824">
          <cell r="A2824" t="str">
            <v xml:space="preserve"> - </v>
          </cell>
        </row>
        <row r="2825">
          <cell r="A2825" t="str">
            <v xml:space="preserve"> - </v>
          </cell>
        </row>
        <row r="2826">
          <cell r="A2826" t="str">
            <v xml:space="preserve"> - </v>
          </cell>
        </row>
        <row r="2827">
          <cell r="A2827" t="str">
            <v xml:space="preserve"> - </v>
          </cell>
        </row>
        <row r="2828">
          <cell r="A2828" t="str">
            <v xml:space="preserve"> - </v>
          </cell>
        </row>
        <row r="2829">
          <cell r="A2829" t="str">
            <v xml:space="preserve"> - </v>
          </cell>
        </row>
        <row r="2830">
          <cell r="A2830" t="str">
            <v xml:space="preserve"> - </v>
          </cell>
        </row>
        <row r="2831">
          <cell r="A2831" t="str">
            <v xml:space="preserve"> - </v>
          </cell>
        </row>
        <row r="2832">
          <cell r="A2832" t="str">
            <v xml:space="preserve"> - </v>
          </cell>
        </row>
        <row r="2833">
          <cell r="A2833" t="str">
            <v xml:space="preserve"> - </v>
          </cell>
        </row>
        <row r="2834">
          <cell r="A2834" t="str">
            <v xml:space="preserve"> - </v>
          </cell>
        </row>
        <row r="2835">
          <cell r="A2835" t="str">
            <v xml:space="preserve"> - </v>
          </cell>
        </row>
        <row r="2836">
          <cell r="A2836" t="str">
            <v xml:space="preserve"> - </v>
          </cell>
        </row>
        <row r="2837">
          <cell r="A2837" t="str">
            <v xml:space="preserve"> - </v>
          </cell>
        </row>
        <row r="2838">
          <cell r="A2838" t="str">
            <v xml:space="preserve"> - </v>
          </cell>
        </row>
        <row r="2839">
          <cell r="A2839" t="str">
            <v xml:space="preserve"> - </v>
          </cell>
        </row>
        <row r="2840">
          <cell r="A2840" t="str">
            <v xml:space="preserve"> - </v>
          </cell>
        </row>
        <row r="2841">
          <cell r="A2841" t="str">
            <v xml:space="preserve"> - </v>
          </cell>
        </row>
        <row r="2842">
          <cell r="A2842" t="str">
            <v xml:space="preserve"> - </v>
          </cell>
        </row>
        <row r="2843">
          <cell r="A2843" t="str">
            <v xml:space="preserve"> - </v>
          </cell>
        </row>
        <row r="2844">
          <cell r="A2844" t="str">
            <v xml:space="preserve"> - </v>
          </cell>
        </row>
        <row r="2845">
          <cell r="A2845" t="str">
            <v xml:space="preserve"> - </v>
          </cell>
        </row>
        <row r="2846">
          <cell r="A2846" t="str">
            <v xml:space="preserve"> - </v>
          </cell>
        </row>
        <row r="2847">
          <cell r="A2847" t="str">
            <v xml:space="preserve"> - </v>
          </cell>
        </row>
        <row r="2848">
          <cell r="A2848" t="str">
            <v xml:space="preserve"> - </v>
          </cell>
        </row>
        <row r="2849">
          <cell r="A2849" t="str">
            <v xml:space="preserve"> - </v>
          </cell>
        </row>
        <row r="2850">
          <cell r="A2850" t="str">
            <v xml:space="preserve"> - </v>
          </cell>
        </row>
        <row r="2851">
          <cell r="A2851" t="str">
            <v xml:space="preserve"> - </v>
          </cell>
        </row>
        <row r="2852">
          <cell r="A2852" t="str">
            <v xml:space="preserve"> - </v>
          </cell>
        </row>
        <row r="2853">
          <cell r="A2853" t="str">
            <v xml:space="preserve"> - </v>
          </cell>
        </row>
        <row r="2854">
          <cell r="A2854" t="str">
            <v xml:space="preserve"> - </v>
          </cell>
        </row>
        <row r="2855">
          <cell r="A2855" t="str">
            <v xml:space="preserve"> - </v>
          </cell>
        </row>
        <row r="2856">
          <cell r="A2856" t="str">
            <v xml:space="preserve"> - </v>
          </cell>
        </row>
        <row r="2857">
          <cell r="A2857" t="str">
            <v xml:space="preserve"> - </v>
          </cell>
        </row>
        <row r="2858">
          <cell r="A2858" t="str">
            <v xml:space="preserve"> - </v>
          </cell>
        </row>
        <row r="2859">
          <cell r="A2859" t="str">
            <v xml:space="preserve"> - </v>
          </cell>
        </row>
        <row r="2860">
          <cell r="A2860" t="str">
            <v xml:space="preserve"> - </v>
          </cell>
        </row>
        <row r="2861">
          <cell r="A2861" t="str">
            <v xml:space="preserve"> - </v>
          </cell>
        </row>
        <row r="2862">
          <cell r="A2862" t="str">
            <v xml:space="preserve"> - </v>
          </cell>
        </row>
        <row r="2863">
          <cell r="A2863" t="str">
            <v xml:space="preserve"> - </v>
          </cell>
        </row>
        <row r="2864">
          <cell r="A2864" t="str">
            <v xml:space="preserve"> - </v>
          </cell>
        </row>
        <row r="2865">
          <cell r="A2865" t="str">
            <v xml:space="preserve"> - </v>
          </cell>
        </row>
        <row r="2866">
          <cell r="A2866" t="str">
            <v xml:space="preserve"> - </v>
          </cell>
        </row>
        <row r="2867">
          <cell r="A2867" t="str">
            <v xml:space="preserve"> - </v>
          </cell>
        </row>
        <row r="2868">
          <cell r="A2868" t="str">
            <v xml:space="preserve"> - </v>
          </cell>
        </row>
        <row r="2869">
          <cell r="A2869" t="str">
            <v xml:space="preserve"> - </v>
          </cell>
        </row>
        <row r="2870">
          <cell r="A2870" t="str">
            <v xml:space="preserve"> - </v>
          </cell>
        </row>
        <row r="2871">
          <cell r="A2871" t="str">
            <v xml:space="preserve"> - </v>
          </cell>
        </row>
        <row r="2872">
          <cell r="A2872" t="str">
            <v xml:space="preserve"> - </v>
          </cell>
        </row>
        <row r="2873">
          <cell r="A2873" t="str">
            <v xml:space="preserve"> - </v>
          </cell>
        </row>
        <row r="2874">
          <cell r="A2874" t="str">
            <v xml:space="preserve"> - </v>
          </cell>
        </row>
        <row r="2875">
          <cell r="A2875" t="str">
            <v xml:space="preserve"> - </v>
          </cell>
        </row>
        <row r="2876">
          <cell r="A2876" t="str">
            <v xml:space="preserve"> - </v>
          </cell>
        </row>
        <row r="2877">
          <cell r="A2877" t="str">
            <v xml:space="preserve"> - </v>
          </cell>
        </row>
        <row r="2878">
          <cell r="A2878" t="str">
            <v xml:space="preserve"> - </v>
          </cell>
        </row>
        <row r="2879">
          <cell r="A2879" t="str">
            <v xml:space="preserve"> - </v>
          </cell>
        </row>
        <row r="2880">
          <cell r="A2880" t="str">
            <v xml:space="preserve"> - </v>
          </cell>
        </row>
        <row r="2881">
          <cell r="A2881" t="str">
            <v xml:space="preserve"> - </v>
          </cell>
        </row>
        <row r="2882">
          <cell r="A2882" t="str">
            <v xml:space="preserve"> - </v>
          </cell>
        </row>
        <row r="2883">
          <cell r="A2883" t="str">
            <v xml:space="preserve"> - </v>
          </cell>
        </row>
        <row r="2884">
          <cell r="A2884" t="str">
            <v xml:space="preserve"> - </v>
          </cell>
        </row>
        <row r="2885">
          <cell r="A2885" t="str">
            <v xml:space="preserve"> - </v>
          </cell>
        </row>
        <row r="2886">
          <cell r="A2886" t="str">
            <v xml:space="preserve"> - </v>
          </cell>
        </row>
        <row r="2887">
          <cell r="A2887" t="str">
            <v xml:space="preserve"> - </v>
          </cell>
        </row>
        <row r="2888">
          <cell r="A2888" t="str">
            <v xml:space="preserve"> - </v>
          </cell>
        </row>
        <row r="2889">
          <cell r="A2889" t="str">
            <v xml:space="preserve"> - </v>
          </cell>
        </row>
        <row r="2890">
          <cell r="A2890" t="str">
            <v xml:space="preserve"> - </v>
          </cell>
        </row>
        <row r="2891">
          <cell r="A2891" t="str">
            <v xml:space="preserve"> - </v>
          </cell>
        </row>
        <row r="2892">
          <cell r="A2892" t="str">
            <v xml:space="preserve"> - </v>
          </cell>
        </row>
        <row r="2893">
          <cell r="A2893" t="str">
            <v xml:space="preserve"> - </v>
          </cell>
        </row>
        <row r="2894">
          <cell r="A2894" t="str">
            <v xml:space="preserve"> - </v>
          </cell>
        </row>
        <row r="2895">
          <cell r="A2895" t="str">
            <v xml:space="preserve"> - </v>
          </cell>
        </row>
        <row r="2896">
          <cell r="A2896" t="str">
            <v xml:space="preserve"> - </v>
          </cell>
        </row>
        <row r="2897">
          <cell r="A2897" t="str">
            <v xml:space="preserve"> - </v>
          </cell>
        </row>
        <row r="2898">
          <cell r="A2898" t="str">
            <v xml:space="preserve"> - </v>
          </cell>
        </row>
        <row r="2899">
          <cell r="A2899" t="str">
            <v xml:space="preserve"> - </v>
          </cell>
        </row>
        <row r="2900">
          <cell r="A2900" t="str">
            <v xml:space="preserve"> - </v>
          </cell>
        </row>
        <row r="2901">
          <cell r="A2901" t="str">
            <v xml:space="preserve"> - </v>
          </cell>
        </row>
        <row r="2902">
          <cell r="A2902" t="str">
            <v xml:space="preserve"> - </v>
          </cell>
        </row>
        <row r="2903">
          <cell r="A2903" t="str">
            <v xml:space="preserve"> - </v>
          </cell>
        </row>
        <row r="2904">
          <cell r="A2904" t="str">
            <v xml:space="preserve"> - </v>
          </cell>
        </row>
        <row r="2905">
          <cell r="A2905" t="str">
            <v xml:space="preserve"> - </v>
          </cell>
        </row>
        <row r="2906">
          <cell r="A2906" t="str">
            <v xml:space="preserve"> - </v>
          </cell>
        </row>
        <row r="2907">
          <cell r="A2907" t="str">
            <v xml:space="preserve"> - </v>
          </cell>
        </row>
        <row r="2908">
          <cell r="A2908" t="str">
            <v xml:space="preserve"> - </v>
          </cell>
        </row>
        <row r="2909">
          <cell r="A2909" t="str">
            <v xml:space="preserve"> - </v>
          </cell>
        </row>
        <row r="2910">
          <cell r="A2910" t="str">
            <v xml:space="preserve"> - </v>
          </cell>
        </row>
        <row r="2911">
          <cell r="A2911" t="str">
            <v xml:space="preserve"> - </v>
          </cell>
        </row>
        <row r="2912">
          <cell r="A2912" t="str">
            <v xml:space="preserve"> - </v>
          </cell>
        </row>
        <row r="2913">
          <cell r="A2913" t="str">
            <v xml:space="preserve"> - </v>
          </cell>
        </row>
        <row r="2914">
          <cell r="A2914" t="str">
            <v xml:space="preserve"> - </v>
          </cell>
        </row>
        <row r="2915">
          <cell r="A2915" t="str">
            <v xml:space="preserve"> - </v>
          </cell>
        </row>
        <row r="2916">
          <cell r="A2916" t="str">
            <v xml:space="preserve"> - </v>
          </cell>
        </row>
        <row r="2917">
          <cell r="A2917" t="str">
            <v xml:space="preserve"> - </v>
          </cell>
        </row>
        <row r="2918">
          <cell r="A2918" t="str">
            <v xml:space="preserve"> - </v>
          </cell>
        </row>
        <row r="2919">
          <cell r="A2919" t="str">
            <v xml:space="preserve"> - </v>
          </cell>
        </row>
        <row r="2920">
          <cell r="A2920" t="str">
            <v xml:space="preserve"> - </v>
          </cell>
        </row>
        <row r="2921">
          <cell r="A2921" t="str">
            <v xml:space="preserve"> - </v>
          </cell>
        </row>
        <row r="2922">
          <cell r="A2922" t="str">
            <v xml:space="preserve"> - </v>
          </cell>
        </row>
        <row r="2923">
          <cell r="A2923" t="str">
            <v xml:space="preserve"> - </v>
          </cell>
        </row>
        <row r="2924">
          <cell r="A2924" t="str">
            <v xml:space="preserve"> - </v>
          </cell>
        </row>
        <row r="2925">
          <cell r="A2925" t="str">
            <v xml:space="preserve"> - </v>
          </cell>
        </row>
        <row r="2926">
          <cell r="A2926" t="str">
            <v xml:space="preserve"> - </v>
          </cell>
        </row>
        <row r="2927">
          <cell r="A2927" t="str">
            <v xml:space="preserve"> - </v>
          </cell>
        </row>
        <row r="2928">
          <cell r="A2928" t="str">
            <v xml:space="preserve"> - </v>
          </cell>
        </row>
        <row r="2929">
          <cell r="A2929" t="str">
            <v xml:space="preserve"> - </v>
          </cell>
        </row>
        <row r="2930">
          <cell r="A2930" t="str">
            <v xml:space="preserve"> - </v>
          </cell>
        </row>
        <row r="2931">
          <cell r="A2931" t="str">
            <v xml:space="preserve"> - </v>
          </cell>
        </row>
        <row r="2932">
          <cell r="A2932" t="str">
            <v xml:space="preserve"> - </v>
          </cell>
        </row>
        <row r="2933">
          <cell r="A2933" t="str">
            <v xml:space="preserve"> - </v>
          </cell>
        </row>
        <row r="2934">
          <cell r="A2934" t="str">
            <v xml:space="preserve"> - </v>
          </cell>
        </row>
        <row r="2935">
          <cell r="A2935" t="str">
            <v xml:space="preserve"> - </v>
          </cell>
        </row>
        <row r="2936">
          <cell r="A2936" t="str">
            <v xml:space="preserve"> - </v>
          </cell>
        </row>
        <row r="2937">
          <cell r="A2937" t="str">
            <v xml:space="preserve"> - </v>
          </cell>
        </row>
        <row r="2938">
          <cell r="A2938" t="str">
            <v xml:space="preserve"> - </v>
          </cell>
        </row>
        <row r="2939">
          <cell r="A2939" t="str">
            <v xml:space="preserve"> - </v>
          </cell>
        </row>
        <row r="2940">
          <cell r="A2940" t="str">
            <v xml:space="preserve"> - </v>
          </cell>
        </row>
        <row r="2941">
          <cell r="A2941" t="str">
            <v xml:space="preserve"> - </v>
          </cell>
        </row>
        <row r="2942">
          <cell r="A2942" t="str">
            <v xml:space="preserve"> - </v>
          </cell>
        </row>
        <row r="2943">
          <cell r="A2943" t="str">
            <v xml:space="preserve"> - </v>
          </cell>
        </row>
        <row r="2944">
          <cell r="A2944" t="str">
            <v xml:space="preserve"> - </v>
          </cell>
        </row>
        <row r="2945">
          <cell r="A2945" t="str">
            <v xml:space="preserve"> - </v>
          </cell>
        </row>
        <row r="2946">
          <cell r="A2946" t="str">
            <v xml:space="preserve"> - </v>
          </cell>
        </row>
        <row r="2947">
          <cell r="A2947" t="str">
            <v xml:space="preserve"> - </v>
          </cell>
        </row>
        <row r="2948">
          <cell r="A2948" t="str">
            <v xml:space="preserve"> - </v>
          </cell>
        </row>
        <row r="2949">
          <cell r="A2949" t="str">
            <v xml:space="preserve"> - </v>
          </cell>
        </row>
        <row r="2950">
          <cell r="A2950" t="str">
            <v xml:space="preserve"> - </v>
          </cell>
        </row>
        <row r="2951">
          <cell r="A2951" t="str">
            <v xml:space="preserve"> - </v>
          </cell>
        </row>
        <row r="2952">
          <cell r="A2952" t="str">
            <v xml:space="preserve"> - </v>
          </cell>
        </row>
        <row r="2953">
          <cell r="A2953" t="str">
            <v xml:space="preserve"> - </v>
          </cell>
        </row>
        <row r="2954">
          <cell r="A2954" t="str">
            <v xml:space="preserve"> - </v>
          </cell>
        </row>
        <row r="2955">
          <cell r="A2955" t="str">
            <v xml:space="preserve"> - </v>
          </cell>
        </row>
        <row r="2956">
          <cell r="A2956" t="str">
            <v xml:space="preserve"> - </v>
          </cell>
        </row>
        <row r="2957">
          <cell r="A2957" t="str">
            <v xml:space="preserve"> - </v>
          </cell>
        </row>
        <row r="2958">
          <cell r="A2958" t="str">
            <v xml:space="preserve"> - </v>
          </cell>
        </row>
        <row r="2959">
          <cell r="A2959" t="str">
            <v xml:space="preserve"> - </v>
          </cell>
        </row>
        <row r="2960">
          <cell r="A2960" t="str">
            <v xml:space="preserve"> - </v>
          </cell>
        </row>
        <row r="2961">
          <cell r="A2961" t="str">
            <v xml:space="preserve"> - </v>
          </cell>
        </row>
        <row r="2962">
          <cell r="A2962" t="str">
            <v xml:space="preserve"> - </v>
          </cell>
        </row>
        <row r="2963">
          <cell r="A2963" t="str">
            <v xml:space="preserve"> - </v>
          </cell>
        </row>
        <row r="2964">
          <cell r="A2964" t="str">
            <v xml:space="preserve"> - </v>
          </cell>
        </row>
        <row r="2965">
          <cell r="A2965" t="str">
            <v xml:space="preserve"> - </v>
          </cell>
        </row>
        <row r="2966">
          <cell r="A2966" t="str">
            <v xml:space="preserve"> - </v>
          </cell>
        </row>
        <row r="2967">
          <cell r="A2967" t="str">
            <v xml:space="preserve"> - </v>
          </cell>
        </row>
        <row r="2968">
          <cell r="A2968" t="str">
            <v xml:space="preserve"> - </v>
          </cell>
        </row>
        <row r="2969">
          <cell r="A2969" t="str">
            <v xml:space="preserve"> - </v>
          </cell>
        </row>
        <row r="2970">
          <cell r="A2970" t="str">
            <v xml:space="preserve"> - </v>
          </cell>
        </row>
        <row r="2971">
          <cell r="A2971" t="str">
            <v xml:space="preserve"> - </v>
          </cell>
        </row>
        <row r="2972">
          <cell r="A2972" t="str">
            <v xml:space="preserve"> - </v>
          </cell>
        </row>
        <row r="2973">
          <cell r="A2973" t="str">
            <v xml:space="preserve"> - </v>
          </cell>
        </row>
        <row r="2974">
          <cell r="A2974" t="str">
            <v xml:space="preserve"> - </v>
          </cell>
        </row>
        <row r="2975">
          <cell r="A2975" t="str">
            <v xml:space="preserve"> - </v>
          </cell>
        </row>
        <row r="2976">
          <cell r="A2976" t="str">
            <v xml:space="preserve"> - </v>
          </cell>
        </row>
        <row r="2977">
          <cell r="A2977" t="str">
            <v xml:space="preserve"> - </v>
          </cell>
        </row>
        <row r="2978">
          <cell r="A2978" t="str">
            <v xml:space="preserve"> - </v>
          </cell>
        </row>
        <row r="2979">
          <cell r="A2979" t="str">
            <v xml:space="preserve"> - </v>
          </cell>
        </row>
        <row r="2980">
          <cell r="A2980" t="str">
            <v xml:space="preserve"> - </v>
          </cell>
        </row>
        <row r="2981">
          <cell r="A2981" t="str">
            <v xml:space="preserve"> - </v>
          </cell>
        </row>
        <row r="2982">
          <cell r="A2982" t="str">
            <v xml:space="preserve"> - </v>
          </cell>
        </row>
        <row r="2983">
          <cell r="A2983" t="str">
            <v xml:space="preserve"> - </v>
          </cell>
        </row>
        <row r="2984">
          <cell r="A2984" t="str">
            <v xml:space="preserve"> - </v>
          </cell>
        </row>
        <row r="2985">
          <cell r="A2985" t="str">
            <v xml:space="preserve"> - </v>
          </cell>
        </row>
        <row r="2986">
          <cell r="A2986" t="str">
            <v xml:space="preserve"> - </v>
          </cell>
        </row>
        <row r="2987">
          <cell r="A2987" t="str">
            <v xml:space="preserve"> - </v>
          </cell>
        </row>
        <row r="2988">
          <cell r="A2988" t="str">
            <v xml:space="preserve"> - </v>
          </cell>
        </row>
        <row r="2989">
          <cell r="A2989" t="str">
            <v xml:space="preserve"> - </v>
          </cell>
        </row>
        <row r="2990">
          <cell r="A2990" t="str">
            <v xml:space="preserve"> - </v>
          </cell>
        </row>
        <row r="2991">
          <cell r="A2991" t="str">
            <v xml:space="preserve"> - </v>
          </cell>
        </row>
        <row r="2992">
          <cell r="A2992" t="str">
            <v xml:space="preserve"> - </v>
          </cell>
        </row>
        <row r="2993">
          <cell r="A2993" t="str">
            <v xml:space="preserve"> - </v>
          </cell>
        </row>
        <row r="2994">
          <cell r="A2994" t="str">
            <v xml:space="preserve"> - </v>
          </cell>
        </row>
        <row r="2995">
          <cell r="A2995" t="str">
            <v xml:space="preserve"> - </v>
          </cell>
        </row>
        <row r="2996">
          <cell r="A2996" t="str">
            <v xml:space="preserve"> - </v>
          </cell>
        </row>
        <row r="2997">
          <cell r="A2997" t="str">
            <v xml:space="preserve"> - </v>
          </cell>
        </row>
        <row r="2998">
          <cell r="A2998" t="str">
            <v xml:space="preserve"> - </v>
          </cell>
        </row>
        <row r="2999">
          <cell r="A2999" t="str">
            <v xml:space="preserve"> - </v>
          </cell>
        </row>
        <row r="3000">
          <cell r="A3000" t="str">
            <v xml:space="preserve"> - </v>
          </cell>
        </row>
        <row r="3001">
          <cell r="A3001" t="str">
            <v xml:space="preserve"> - </v>
          </cell>
        </row>
        <row r="3002">
          <cell r="A3002" t="str">
            <v xml:space="preserve"> - </v>
          </cell>
        </row>
        <row r="3003">
          <cell r="A3003" t="str">
            <v xml:space="preserve"> - </v>
          </cell>
        </row>
        <row r="3004">
          <cell r="A3004" t="str">
            <v xml:space="preserve"> - </v>
          </cell>
        </row>
        <row r="3005">
          <cell r="A3005" t="str">
            <v xml:space="preserve"> - </v>
          </cell>
        </row>
        <row r="3006">
          <cell r="A3006" t="str">
            <v xml:space="preserve"> - </v>
          </cell>
        </row>
        <row r="3007">
          <cell r="A3007" t="str">
            <v xml:space="preserve"> - </v>
          </cell>
        </row>
        <row r="3008">
          <cell r="A3008" t="str">
            <v xml:space="preserve"> - </v>
          </cell>
        </row>
        <row r="3009">
          <cell r="A3009" t="str">
            <v xml:space="preserve"> - </v>
          </cell>
        </row>
        <row r="3010">
          <cell r="A3010" t="str">
            <v xml:space="preserve"> - </v>
          </cell>
        </row>
        <row r="3011">
          <cell r="A3011" t="str">
            <v xml:space="preserve"> - </v>
          </cell>
        </row>
        <row r="3012">
          <cell r="A3012" t="str">
            <v xml:space="preserve"> - </v>
          </cell>
        </row>
        <row r="3013">
          <cell r="A3013" t="str">
            <v xml:space="preserve"> - </v>
          </cell>
        </row>
        <row r="3014">
          <cell r="A3014" t="str">
            <v xml:space="preserve"> - </v>
          </cell>
        </row>
        <row r="3015">
          <cell r="A3015" t="str">
            <v xml:space="preserve"> - </v>
          </cell>
        </row>
        <row r="3016">
          <cell r="A3016" t="str">
            <v xml:space="preserve"> - </v>
          </cell>
        </row>
        <row r="3017">
          <cell r="A3017" t="str">
            <v xml:space="preserve"> - </v>
          </cell>
        </row>
        <row r="3018">
          <cell r="A3018" t="str">
            <v xml:space="preserve"> - </v>
          </cell>
        </row>
        <row r="3019">
          <cell r="A3019" t="str">
            <v xml:space="preserve"> - </v>
          </cell>
        </row>
        <row r="3020">
          <cell r="A3020" t="str">
            <v xml:space="preserve"> - </v>
          </cell>
        </row>
        <row r="3021">
          <cell r="A3021" t="str">
            <v xml:space="preserve"> - </v>
          </cell>
        </row>
        <row r="3022">
          <cell r="A3022" t="str">
            <v xml:space="preserve"> - </v>
          </cell>
        </row>
        <row r="3023">
          <cell r="A3023" t="str">
            <v xml:space="preserve"> - </v>
          </cell>
        </row>
        <row r="3024">
          <cell r="A3024" t="str">
            <v xml:space="preserve"> - </v>
          </cell>
        </row>
        <row r="3025">
          <cell r="A3025" t="str">
            <v xml:space="preserve"> - </v>
          </cell>
        </row>
        <row r="3026">
          <cell r="A3026" t="str">
            <v xml:space="preserve"> - </v>
          </cell>
        </row>
      </sheetData>
      <sheetData sheetId="2">
        <row r="6">
          <cell r="F6" t="str">
            <v>V/G/T</v>
          </cell>
        </row>
      </sheetData>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
      <sheetName val="FO "/>
      <sheetName val="Costos FO"/>
      <sheetName val="Costos MW"/>
    </sheetNames>
    <sheetDataSet>
      <sheetData sheetId="0"/>
      <sheetData sheetId="1"/>
      <sheetData sheetId="2">
        <row r="5">
          <cell r="D5" t="str">
            <v>DEPARTAMENTO</v>
          </cell>
          <cell r="E5" t="str">
            <v>DISTRITO</v>
          </cell>
          <cell r="F5" t="str">
            <v>% Canalizado</v>
          </cell>
          <cell r="G5" t="str">
            <v>% T. Aereo</v>
          </cell>
          <cell r="H5" t="str">
            <v>COSTO METRO LINEAL</v>
          </cell>
        </row>
        <row r="6">
          <cell r="D6" t="str">
            <v>LIMA</v>
          </cell>
          <cell r="E6" t="str">
            <v>CALLAO</v>
          </cell>
          <cell r="F6">
            <v>0.5</v>
          </cell>
          <cell r="G6">
            <v>0.5</v>
          </cell>
          <cell r="H6">
            <v>9</v>
          </cell>
        </row>
        <row r="7">
          <cell r="D7" t="str">
            <v>LIMA</v>
          </cell>
          <cell r="E7" t="str">
            <v>LA PERLA</v>
          </cell>
          <cell r="F7">
            <v>0.5</v>
          </cell>
          <cell r="G7">
            <v>0.5</v>
          </cell>
          <cell r="H7">
            <v>9</v>
          </cell>
        </row>
        <row r="8">
          <cell r="D8" t="str">
            <v>LIMA</v>
          </cell>
          <cell r="E8" t="str">
            <v>BELLAVISTA</v>
          </cell>
          <cell r="F8">
            <v>0.5</v>
          </cell>
          <cell r="G8">
            <v>0.5</v>
          </cell>
          <cell r="H8">
            <v>9</v>
          </cell>
        </row>
        <row r="9">
          <cell r="D9" t="str">
            <v>LIMA</v>
          </cell>
          <cell r="E9" t="str">
            <v>CARMEN DE LA LEGUA</v>
          </cell>
          <cell r="F9">
            <v>0.5</v>
          </cell>
          <cell r="G9">
            <v>0.5</v>
          </cell>
          <cell r="H9">
            <v>9</v>
          </cell>
        </row>
        <row r="10">
          <cell r="D10" t="str">
            <v>LIMA</v>
          </cell>
          <cell r="E10" t="str">
            <v>COMAS</v>
          </cell>
          <cell r="F10">
            <v>0.4</v>
          </cell>
          <cell r="G10">
            <v>0.6</v>
          </cell>
          <cell r="H10">
            <v>8.4</v>
          </cell>
        </row>
        <row r="11">
          <cell r="D11" t="str">
            <v>LIMA</v>
          </cell>
          <cell r="E11" t="str">
            <v>CARABAYLLO</v>
          </cell>
          <cell r="F11">
            <v>0.4</v>
          </cell>
          <cell r="G11">
            <v>0.6</v>
          </cell>
          <cell r="H11">
            <v>8.4</v>
          </cell>
        </row>
        <row r="12">
          <cell r="D12" t="str">
            <v>LIMA</v>
          </cell>
          <cell r="E12" t="str">
            <v>LOS OLIVOS</v>
          </cell>
          <cell r="F12">
            <v>0.4</v>
          </cell>
          <cell r="G12">
            <v>0.6</v>
          </cell>
          <cell r="H12">
            <v>8.4</v>
          </cell>
        </row>
        <row r="13">
          <cell r="D13" t="str">
            <v>LIMA</v>
          </cell>
          <cell r="E13" t="str">
            <v>INDEPENDENCIA</v>
          </cell>
          <cell r="F13">
            <v>0.4</v>
          </cell>
          <cell r="G13">
            <v>0.6</v>
          </cell>
          <cell r="H13">
            <v>8.4</v>
          </cell>
        </row>
        <row r="14">
          <cell r="D14" t="str">
            <v>LIMA</v>
          </cell>
          <cell r="E14" t="str">
            <v>PROVINCIAS NORTE</v>
          </cell>
          <cell r="F14">
            <v>0.1</v>
          </cell>
          <cell r="G14">
            <v>0.9</v>
          </cell>
          <cell r="H14">
            <v>6.6000000000000005</v>
          </cell>
        </row>
        <row r="15">
          <cell r="D15" t="str">
            <v>LIMA</v>
          </cell>
          <cell r="E15" t="str">
            <v>PUENTE PIEDRA</v>
          </cell>
          <cell r="F15">
            <v>0.1</v>
          </cell>
          <cell r="G15">
            <v>0.9</v>
          </cell>
          <cell r="H15">
            <v>6.6000000000000005</v>
          </cell>
        </row>
        <row r="16">
          <cell r="D16" t="str">
            <v>LIMA</v>
          </cell>
          <cell r="E16" t="str">
            <v>HUACHO</v>
          </cell>
          <cell r="F16">
            <v>0.1</v>
          </cell>
          <cell r="G16">
            <v>0.9</v>
          </cell>
          <cell r="H16">
            <v>6.6000000000000005</v>
          </cell>
        </row>
        <row r="17">
          <cell r="D17" t="str">
            <v>LIMA</v>
          </cell>
          <cell r="E17" t="str">
            <v>HUARAL</v>
          </cell>
          <cell r="F17">
            <v>0.1</v>
          </cell>
          <cell r="G17">
            <v>0.9</v>
          </cell>
          <cell r="H17">
            <v>6.6000000000000005</v>
          </cell>
        </row>
        <row r="18">
          <cell r="D18" t="str">
            <v>LIMA</v>
          </cell>
          <cell r="E18" t="str">
            <v>HUALMAY</v>
          </cell>
          <cell r="F18">
            <v>0.1</v>
          </cell>
          <cell r="G18">
            <v>0.9</v>
          </cell>
          <cell r="H18">
            <v>6.6000000000000005</v>
          </cell>
        </row>
        <row r="19">
          <cell r="D19" t="str">
            <v>LIMA</v>
          </cell>
          <cell r="E19" t="str">
            <v>ANCON</v>
          </cell>
          <cell r="F19">
            <v>0.1</v>
          </cell>
          <cell r="G19">
            <v>0.9</v>
          </cell>
          <cell r="H19">
            <v>6.6000000000000005</v>
          </cell>
        </row>
        <row r="20">
          <cell r="D20" t="str">
            <v>LIMA</v>
          </cell>
          <cell r="E20" t="str">
            <v>SAN MARTIN DE PORRES</v>
          </cell>
          <cell r="F20">
            <v>0.1</v>
          </cell>
          <cell r="G20">
            <v>0.9</v>
          </cell>
          <cell r="H20">
            <v>6.6000000000000005</v>
          </cell>
        </row>
        <row r="21">
          <cell r="D21" t="str">
            <v>LIMA</v>
          </cell>
          <cell r="E21" t="str">
            <v>VENTANILLA</v>
          </cell>
          <cell r="F21">
            <v>0.1</v>
          </cell>
          <cell r="G21">
            <v>0.9</v>
          </cell>
          <cell r="H21">
            <v>6.6000000000000005</v>
          </cell>
        </row>
        <row r="22">
          <cell r="D22" t="str">
            <v>LIMA</v>
          </cell>
          <cell r="E22" t="str">
            <v>AUCALLAMA</v>
          </cell>
          <cell r="F22">
            <v>0.1</v>
          </cell>
          <cell r="G22">
            <v>0.9</v>
          </cell>
          <cell r="H22">
            <v>6.6000000000000005</v>
          </cell>
        </row>
        <row r="23">
          <cell r="D23" t="str">
            <v>LIMA</v>
          </cell>
          <cell r="E23" t="str">
            <v>CHANCAY</v>
          </cell>
          <cell r="F23">
            <v>0.1</v>
          </cell>
          <cell r="G23">
            <v>0.9</v>
          </cell>
          <cell r="H23">
            <v>6.6000000000000005</v>
          </cell>
        </row>
        <row r="24">
          <cell r="D24" t="str">
            <v>LIMA</v>
          </cell>
          <cell r="E24" t="str">
            <v>HUACHO</v>
          </cell>
          <cell r="F24">
            <v>0.1</v>
          </cell>
          <cell r="G24">
            <v>0.9</v>
          </cell>
          <cell r="H24">
            <v>6.6000000000000005</v>
          </cell>
        </row>
        <row r="25">
          <cell r="D25" t="str">
            <v>LIMA</v>
          </cell>
          <cell r="E25" t="str">
            <v>HUAURA</v>
          </cell>
          <cell r="F25">
            <v>0.1</v>
          </cell>
          <cell r="G25">
            <v>0.9</v>
          </cell>
          <cell r="H25">
            <v>6.6000000000000005</v>
          </cell>
        </row>
        <row r="26">
          <cell r="D26" t="str">
            <v>LIMA</v>
          </cell>
          <cell r="E26" t="str">
            <v>VEGUETA</v>
          </cell>
          <cell r="F26">
            <v>0.1</v>
          </cell>
          <cell r="G26">
            <v>0.9</v>
          </cell>
          <cell r="H26">
            <v>6.6000000000000005</v>
          </cell>
        </row>
        <row r="27">
          <cell r="D27" t="str">
            <v>LIMA</v>
          </cell>
          <cell r="E27" t="str">
            <v>SUPE</v>
          </cell>
          <cell r="F27">
            <v>0.1</v>
          </cell>
          <cell r="G27">
            <v>0.9</v>
          </cell>
          <cell r="H27">
            <v>6.6000000000000005</v>
          </cell>
        </row>
        <row r="28">
          <cell r="D28" t="str">
            <v>LIMA</v>
          </cell>
          <cell r="E28" t="str">
            <v>LEONCIO PRADO  (STA. CRUZ)</v>
          </cell>
          <cell r="F28">
            <v>0.1</v>
          </cell>
          <cell r="G28">
            <v>0.9</v>
          </cell>
          <cell r="H28">
            <v>6.6000000000000005</v>
          </cell>
        </row>
        <row r="29">
          <cell r="D29" t="str">
            <v>LIMA</v>
          </cell>
          <cell r="E29" t="str">
            <v>BARRANCA</v>
          </cell>
          <cell r="F29">
            <v>0.1</v>
          </cell>
          <cell r="G29">
            <v>0.9</v>
          </cell>
          <cell r="H29">
            <v>6.6000000000000005</v>
          </cell>
        </row>
        <row r="30">
          <cell r="D30" t="str">
            <v>LIMA</v>
          </cell>
          <cell r="E30" t="str">
            <v>ATE</v>
          </cell>
          <cell r="F30">
            <v>0.2</v>
          </cell>
          <cell r="G30">
            <v>0.8</v>
          </cell>
          <cell r="H30">
            <v>7.2000000000000011</v>
          </cell>
        </row>
        <row r="31">
          <cell r="D31" t="str">
            <v>LIMA</v>
          </cell>
          <cell r="E31" t="str">
            <v>SANTA ANITA</v>
          </cell>
          <cell r="F31">
            <v>0.2</v>
          </cell>
          <cell r="G31">
            <v>0.8</v>
          </cell>
          <cell r="H31">
            <v>7.2000000000000011</v>
          </cell>
        </row>
        <row r="32">
          <cell r="D32" t="str">
            <v>LIMA</v>
          </cell>
          <cell r="E32" t="str">
            <v>CHOSICA</v>
          </cell>
          <cell r="F32">
            <v>0.2</v>
          </cell>
          <cell r="G32">
            <v>0.8</v>
          </cell>
          <cell r="H32">
            <v>7.2000000000000011</v>
          </cell>
        </row>
        <row r="33">
          <cell r="D33" t="str">
            <v>LIMA</v>
          </cell>
          <cell r="E33" t="str">
            <v>SAN ANTONIO DE CHACCLA</v>
          </cell>
          <cell r="F33">
            <v>0.2</v>
          </cell>
          <cell r="G33">
            <v>0.8</v>
          </cell>
          <cell r="H33">
            <v>7.2000000000000011</v>
          </cell>
        </row>
        <row r="34">
          <cell r="D34" t="str">
            <v>LIMA</v>
          </cell>
          <cell r="E34" t="str">
            <v>CHACLACAYO</v>
          </cell>
          <cell r="F34">
            <v>0.2</v>
          </cell>
          <cell r="G34">
            <v>0.8</v>
          </cell>
          <cell r="H34">
            <v>7.2000000000000011</v>
          </cell>
        </row>
        <row r="35">
          <cell r="D35" t="str">
            <v>LIMA</v>
          </cell>
          <cell r="E35" t="str">
            <v>SANTA EULALIA</v>
          </cell>
          <cell r="F35">
            <v>0.2</v>
          </cell>
          <cell r="G35">
            <v>0.8</v>
          </cell>
          <cell r="H35">
            <v>7.2000000000000011</v>
          </cell>
        </row>
        <row r="36">
          <cell r="D36" t="str">
            <v>LIMA</v>
          </cell>
          <cell r="E36" t="str">
            <v>LA MOLINA</v>
          </cell>
          <cell r="F36">
            <v>0.4</v>
          </cell>
          <cell r="G36">
            <v>0.6</v>
          </cell>
          <cell r="H36">
            <v>8.4</v>
          </cell>
        </row>
        <row r="37">
          <cell r="D37" t="str">
            <v>LIMA</v>
          </cell>
          <cell r="E37" t="str">
            <v>CIENEGUILLA</v>
          </cell>
          <cell r="F37">
            <v>0.1</v>
          </cell>
          <cell r="G37">
            <v>0.9</v>
          </cell>
          <cell r="H37">
            <v>6.6000000000000005</v>
          </cell>
        </row>
        <row r="38">
          <cell r="D38" t="str">
            <v>LIMA</v>
          </cell>
          <cell r="E38" t="str">
            <v>SAN BORJA</v>
          </cell>
          <cell r="F38">
            <v>0.6</v>
          </cell>
          <cell r="G38">
            <v>0.4</v>
          </cell>
          <cell r="H38">
            <v>9.6</v>
          </cell>
        </row>
        <row r="39">
          <cell r="D39" t="str">
            <v>LIMA</v>
          </cell>
          <cell r="E39" t="str">
            <v>LA VICTORIA</v>
          </cell>
          <cell r="F39">
            <v>0.5</v>
          </cell>
          <cell r="G39">
            <v>0.5</v>
          </cell>
          <cell r="H39">
            <v>9</v>
          </cell>
        </row>
        <row r="40">
          <cell r="D40" t="str">
            <v>LIMA</v>
          </cell>
          <cell r="E40" t="str">
            <v>SAN LUIS</v>
          </cell>
          <cell r="F40">
            <v>0.5</v>
          </cell>
          <cell r="G40">
            <v>0.5</v>
          </cell>
          <cell r="H40">
            <v>9</v>
          </cell>
        </row>
        <row r="41">
          <cell r="D41" t="str">
            <v>LIMA</v>
          </cell>
          <cell r="E41" t="str">
            <v>EL AGUSTINO</v>
          </cell>
          <cell r="F41">
            <v>0.5</v>
          </cell>
          <cell r="G41">
            <v>0.5</v>
          </cell>
          <cell r="H41">
            <v>9</v>
          </cell>
        </row>
        <row r="42">
          <cell r="D42" t="str">
            <v>LIMA</v>
          </cell>
          <cell r="E42" t="str">
            <v>SAN JUAN DE LURIGANCHO</v>
          </cell>
          <cell r="F42">
            <v>0.2</v>
          </cell>
          <cell r="G42">
            <v>0.8</v>
          </cell>
          <cell r="H42">
            <v>7.2000000000000011</v>
          </cell>
        </row>
        <row r="43">
          <cell r="D43" t="str">
            <v>LIMA</v>
          </cell>
          <cell r="E43" t="str">
            <v>LURIGANCHO</v>
          </cell>
          <cell r="F43">
            <v>0.2</v>
          </cell>
          <cell r="G43">
            <v>0.8</v>
          </cell>
          <cell r="H43">
            <v>7.2000000000000011</v>
          </cell>
        </row>
        <row r="44">
          <cell r="D44" t="str">
            <v>LIMA</v>
          </cell>
          <cell r="E44" t="str">
            <v>LURIGANCHO CHOSICA</v>
          </cell>
          <cell r="F44">
            <v>0.2</v>
          </cell>
          <cell r="G44">
            <v>0.8</v>
          </cell>
          <cell r="H44">
            <v>7.2000000000000011</v>
          </cell>
        </row>
        <row r="45">
          <cell r="D45" t="str">
            <v>LIMA</v>
          </cell>
          <cell r="E45" t="str">
            <v>JESUS MARIA</v>
          </cell>
          <cell r="F45">
            <v>0.5</v>
          </cell>
          <cell r="G45">
            <v>0.5</v>
          </cell>
          <cell r="H45">
            <v>9</v>
          </cell>
        </row>
        <row r="46">
          <cell r="D46" t="str">
            <v>LIMA</v>
          </cell>
          <cell r="E46" t="str">
            <v>LINCE</v>
          </cell>
          <cell r="F46">
            <v>0.5</v>
          </cell>
          <cell r="G46">
            <v>0.5</v>
          </cell>
          <cell r="H46">
            <v>9</v>
          </cell>
        </row>
        <row r="47">
          <cell r="D47" t="str">
            <v>LIMA</v>
          </cell>
          <cell r="E47" t="str">
            <v>MIRAFLORES</v>
          </cell>
          <cell r="F47">
            <v>0.8</v>
          </cell>
          <cell r="G47">
            <v>0.2</v>
          </cell>
          <cell r="H47">
            <v>10.8</v>
          </cell>
        </row>
        <row r="48">
          <cell r="D48" t="str">
            <v>LIMA</v>
          </cell>
          <cell r="E48" t="str">
            <v>SAN ISIDRO</v>
          </cell>
          <cell r="F48">
            <v>0.8</v>
          </cell>
          <cell r="G48">
            <v>0.2</v>
          </cell>
          <cell r="H48">
            <v>10.8</v>
          </cell>
        </row>
        <row r="49">
          <cell r="D49" t="str">
            <v>LIMA</v>
          </cell>
          <cell r="E49" t="str">
            <v>SURQUILLO</v>
          </cell>
          <cell r="F49">
            <v>0.5</v>
          </cell>
          <cell r="G49">
            <v>0.5</v>
          </cell>
          <cell r="H49">
            <v>9</v>
          </cell>
        </row>
        <row r="50">
          <cell r="D50" t="str">
            <v>LIMA</v>
          </cell>
          <cell r="E50" t="str">
            <v>BREÑA</v>
          </cell>
          <cell r="F50">
            <v>0.5</v>
          </cell>
          <cell r="G50">
            <v>0.5</v>
          </cell>
          <cell r="H50">
            <v>9</v>
          </cell>
        </row>
        <row r="51">
          <cell r="D51" t="str">
            <v>LIMA</v>
          </cell>
          <cell r="E51" t="str">
            <v>LIMA (CERCADO)</v>
          </cell>
          <cell r="F51">
            <v>0.8</v>
          </cell>
          <cell r="G51">
            <v>0.2</v>
          </cell>
          <cell r="H51">
            <v>10.8</v>
          </cell>
        </row>
        <row r="52">
          <cell r="D52" t="str">
            <v>LIMA</v>
          </cell>
          <cell r="E52" t="str">
            <v>MAGDALENA DEL MAR</v>
          </cell>
          <cell r="F52">
            <v>0.5</v>
          </cell>
          <cell r="G52">
            <v>0.5</v>
          </cell>
          <cell r="H52">
            <v>9</v>
          </cell>
        </row>
        <row r="53">
          <cell r="D53" t="str">
            <v>LIMA</v>
          </cell>
          <cell r="E53" t="str">
            <v>PUEBLO LIBRE</v>
          </cell>
          <cell r="F53">
            <v>0.5</v>
          </cell>
          <cell r="G53">
            <v>0.5</v>
          </cell>
          <cell r="H53">
            <v>9</v>
          </cell>
        </row>
        <row r="54">
          <cell r="D54" t="str">
            <v>LIMA</v>
          </cell>
          <cell r="E54" t="str">
            <v>RIMAC</v>
          </cell>
          <cell r="F54">
            <v>0.5</v>
          </cell>
          <cell r="G54">
            <v>0.5</v>
          </cell>
          <cell r="H54">
            <v>9</v>
          </cell>
        </row>
        <row r="55">
          <cell r="D55" t="str">
            <v>LIMA</v>
          </cell>
          <cell r="E55" t="str">
            <v>SAN MIGUEL</v>
          </cell>
          <cell r="F55">
            <v>0.5</v>
          </cell>
          <cell r="G55">
            <v>0.5</v>
          </cell>
          <cell r="H55">
            <v>9</v>
          </cell>
        </row>
        <row r="56">
          <cell r="D56" t="str">
            <v>LIMA</v>
          </cell>
          <cell r="E56" t="str">
            <v>BARRANCO</v>
          </cell>
          <cell r="F56">
            <v>0.6</v>
          </cell>
          <cell r="G56">
            <v>0.4</v>
          </cell>
          <cell r="H56">
            <v>9.6</v>
          </cell>
        </row>
        <row r="57">
          <cell r="D57" t="str">
            <v>LIMA</v>
          </cell>
          <cell r="E57" t="str">
            <v>CHORRILLOS</v>
          </cell>
          <cell r="F57">
            <v>0.4</v>
          </cell>
          <cell r="G57">
            <v>0.6</v>
          </cell>
          <cell r="H57">
            <v>8.4</v>
          </cell>
        </row>
        <row r="58">
          <cell r="D58" t="str">
            <v>LIMA</v>
          </cell>
          <cell r="E58" t="str">
            <v>SANTIAGO DE SURCO</v>
          </cell>
          <cell r="F58">
            <v>0.8</v>
          </cell>
          <cell r="G58">
            <v>0.2</v>
          </cell>
          <cell r="H58">
            <v>10.8</v>
          </cell>
        </row>
        <row r="59">
          <cell r="D59" t="str">
            <v>LIMA</v>
          </cell>
          <cell r="E59" t="str">
            <v>VILLA EL SALVADOR</v>
          </cell>
          <cell r="F59">
            <v>0.2</v>
          </cell>
          <cell r="G59">
            <v>0.8</v>
          </cell>
          <cell r="H59">
            <v>7.2000000000000011</v>
          </cell>
        </row>
        <row r="60">
          <cell r="D60" t="str">
            <v>LIMA</v>
          </cell>
          <cell r="E60" t="str">
            <v>VILLA MARIA DEL TRIUNFO</v>
          </cell>
          <cell r="F60">
            <v>0.2</v>
          </cell>
          <cell r="G60">
            <v>0.8</v>
          </cell>
          <cell r="H60">
            <v>7.2000000000000011</v>
          </cell>
        </row>
        <row r="61">
          <cell r="D61" t="str">
            <v>LIMA</v>
          </cell>
          <cell r="E61" t="str">
            <v>SAN JUAN DE MIRAFLORES</v>
          </cell>
          <cell r="F61">
            <v>0.2</v>
          </cell>
          <cell r="G61">
            <v>0.8</v>
          </cell>
          <cell r="H61">
            <v>7.2000000000000011</v>
          </cell>
        </row>
        <row r="62">
          <cell r="D62" t="str">
            <v>LIMA</v>
          </cell>
          <cell r="E62" t="str">
            <v>CAÑETE</v>
          </cell>
          <cell r="F62">
            <v>0.1</v>
          </cell>
          <cell r="G62">
            <v>0.9</v>
          </cell>
          <cell r="H62">
            <v>6.6000000000000005</v>
          </cell>
        </row>
        <row r="63">
          <cell r="D63" t="str">
            <v>LIMA</v>
          </cell>
          <cell r="E63" t="str">
            <v>SAN VICENTE DE CAÑETE</v>
          </cell>
          <cell r="F63">
            <v>0.1</v>
          </cell>
          <cell r="G63">
            <v>0.9</v>
          </cell>
          <cell r="H63">
            <v>6.6000000000000005</v>
          </cell>
        </row>
        <row r="64">
          <cell r="D64" t="str">
            <v>LIMA</v>
          </cell>
          <cell r="E64" t="str">
            <v>MALA</v>
          </cell>
          <cell r="F64">
            <v>0.1</v>
          </cell>
          <cell r="G64">
            <v>0.9</v>
          </cell>
          <cell r="H64">
            <v>6.6000000000000005</v>
          </cell>
        </row>
        <row r="65">
          <cell r="D65" t="str">
            <v>LIMA</v>
          </cell>
          <cell r="E65" t="str">
            <v>SAN ANTONIO</v>
          </cell>
          <cell r="F65">
            <v>0.1</v>
          </cell>
          <cell r="G65">
            <v>0.9</v>
          </cell>
          <cell r="H65">
            <v>6.6000000000000005</v>
          </cell>
        </row>
        <row r="66">
          <cell r="D66" t="str">
            <v>LIMA</v>
          </cell>
          <cell r="E66" t="str">
            <v>LURIN</v>
          </cell>
          <cell r="F66">
            <v>0.6</v>
          </cell>
          <cell r="G66">
            <v>0.4</v>
          </cell>
          <cell r="H66">
            <v>9.6</v>
          </cell>
        </row>
        <row r="67">
          <cell r="D67" t="str">
            <v>LIMA</v>
          </cell>
          <cell r="E67" t="str">
            <v>PACHACAMAC</v>
          </cell>
          <cell r="F67">
            <v>0.1</v>
          </cell>
          <cell r="G67">
            <v>0.9</v>
          </cell>
          <cell r="H67">
            <v>6.6000000000000005</v>
          </cell>
        </row>
        <row r="68">
          <cell r="D68" t="str">
            <v>LIMA</v>
          </cell>
          <cell r="E68" t="str">
            <v>CHILCA</v>
          </cell>
          <cell r="F68">
            <v>0.1</v>
          </cell>
          <cell r="G68">
            <v>0.9</v>
          </cell>
          <cell r="H68">
            <v>6.6000000000000005</v>
          </cell>
        </row>
        <row r="69">
          <cell r="D69" t="str">
            <v>LIMA</v>
          </cell>
          <cell r="E69" t="str">
            <v>PLAYAS LIMA SUR</v>
          </cell>
          <cell r="F69">
            <v>0.1</v>
          </cell>
          <cell r="G69">
            <v>0.9</v>
          </cell>
          <cell r="H69">
            <v>6.6000000000000005</v>
          </cell>
        </row>
        <row r="70">
          <cell r="D70" t="str">
            <v>LIMA</v>
          </cell>
          <cell r="E70" t="str">
            <v>PUNTA HERMOSA</v>
          </cell>
          <cell r="F70">
            <v>0.1</v>
          </cell>
          <cell r="G70">
            <v>0.9</v>
          </cell>
          <cell r="H70">
            <v>6.6000000000000005</v>
          </cell>
        </row>
        <row r="71">
          <cell r="D71" t="str">
            <v>LIMA</v>
          </cell>
          <cell r="E71" t="str">
            <v>PUNTA NEGRA</v>
          </cell>
          <cell r="F71">
            <v>0.1</v>
          </cell>
          <cell r="G71">
            <v>0.9</v>
          </cell>
          <cell r="H71">
            <v>6.6000000000000005</v>
          </cell>
        </row>
        <row r="72">
          <cell r="D72" t="str">
            <v>LIMA</v>
          </cell>
          <cell r="E72" t="str">
            <v>CERRO AZUL</v>
          </cell>
          <cell r="F72">
            <v>0.1</v>
          </cell>
          <cell r="G72">
            <v>0.9</v>
          </cell>
          <cell r="H72">
            <v>6.6000000000000005</v>
          </cell>
        </row>
        <row r="73">
          <cell r="D73" t="str">
            <v>LIMA</v>
          </cell>
          <cell r="E73" t="str">
            <v>SAN BARTOLO</v>
          </cell>
          <cell r="F73">
            <v>0.1</v>
          </cell>
          <cell r="G73">
            <v>0.9</v>
          </cell>
          <cell r="H73">
            <v>6.6000000000000005</v>
          </cell>
        </row>
        <row r="74">
          <cell r="D74" t="str">
            <v>LIMA</v>
          </cell>
          <cell r="E74" t="str">
            <v>PUCUSANA</v>
          </cell>
          <cell r="F74">
            <v>0.1</v>
          </cell>
          <cell r="G74">
            <v>0.9</v>
          </cell>
          <cell r="H74">
            <v>6.6000000000000005</v>
          </cell>
        </row>
        <row r="75">
          <cell r="D75" t="str">
            <v>LIMA</v>
          </cell>
          <cell r="E75" t="str">
            <v>ASIA</v>
          </cell>
          <cell r="F75">
            <v>0.1</v>
          </cell>
          <cell r="G75">
            <v>0.9</v>
          </cell>
          <cell r="H75">
            <v>6.6000000000000005</v>
          </cell>
        </row>
        <row r="76">
          <cell r="D76" t="str">
            <v>LIMA</v>
          </cell>
          <cell r="E76" t="str">
            <v>SANTA MARIA DEL MAR</v>
          </cell>
          <cell r="F76">
            <v>0.1</v>
          </cell>
          <cell r="G76">
            <v>0.9</v>
          </cell>
          <cell r="H76">
            <v>6.6000000000000005</v>
          </cell>
        </row>
        <row r="77">
          <cell r="D77" t="str">
            <v>TUMBES</v>
          </cell>
          <cell r="F77">
            <v>0.2</v>
          </cell>
          <cell r="G77">
            <v>0.8</v>
          </cell>
          <cell r="H77">
            <v>7.2000000000000011</v>
          </cell>
        </row>
        <row r="78">
          <cell r="D78" t="str">
            <v>PIURA</v>
          </cell>
          <cell r="F78">
            <v>0.2</v>
          </cell>
          <cell r="G78">
            <v>0.8</v>
          </cell>
          <cell r="H78">
            <v>7.2000000000000011</v>
          </cell>
        </row>
        <row r="79">
          <cell r="D79" t="str">
            <v>CAJAMARCA</v>
          </cell>
          <cell r="F79">
            <v>0.2</v>
          </cell>
          <cell r="G79">
            <v>0.8</v>
          </cell>
          <cell r="H79">
            <v>7.2000000000000011</v>
          </cell>
        </row>
        <row r="80">
          <cell r="D80" t="str">
            <v>AMAZONAS</v>
          </cell>
          <cell r="F80">
            <v>0.2</v>
          </cell>
          <cell r="G80">
            <v>0.8</v>
          </cell>
          <cell r="H80">
            <v>7.2000000000000011</v>
          </cell>
        </row>
        <row r="81">
          <cell r="D81" t="str">
            <v>LAMBAYEQUE</v>
          </cell>
          <cell r="F81">
            <v>0.2</v>
          </cell>
          <cell r="G81">
            <v>0.8</v>
          </cell>
          <cell r="H81">
            <v>7.2000000000000011</v>
          </cell>
        </row>
        <row r="82">
          <cell r="D82" t="str">
            <v>LA LIBERTAD</v>
          </cell>
          <cell r="F82">
            <v>0.2</v>
          </cell>
          <cell r="G82">
            <v>0.8</v>
          </cell>
          <cell r="H82">
            <v>7.2000000000000011</v>
          </cell>
        </row>
        <row r="83">
          <cell r="D83" t="str">
            <v>ANCASH</v>
          </cell>
          <cell r="F83">
            <v>0.2</v>
          </cell>
          <cell r="G83">
            <v>0.8</v>
          </cell>
          <cell r="H83">
            <v>7.2000000000000011</v>
          </cell>
        </row>
        <row r="84">
          <cell r="D84" t="str">
            <v>LORETO</v>
          </cell>
          <cell r="F84">
            <v>0.2</v>
          </cell>
          <cell r="G84">
            <v>0.8</v>
          </cell>
          <cell r="H84">
            <v>7.2000000000000011</v>
          </cell>
        </row>
        <row r="85">
          <cell r="D85" t="str">
            <v>SAN MARTIN</v>
          </cell>
          <cell r="F85">
            <v>0.2</v>
          </cell>
          <cell r="G85">
            <v>0.8</v>
          </cell>
          <cell r="H85">
            <v>7.2000000000000011</v>
          </cell>
        </row>
        <row r="86">
          <cell r="D86" t="str">
            <v>UCAYALI</v>
          </cell>
          <cell r="F86">
            <v>0.2</v>
          </cell>
          <cell r="G86">
            <v>0.8</v>
          </cell>
          <cell r="H86">
            <v>7.2000000000000011</v>
          </cell>
        </row>
        <row r="87">
          <cell r="D87" t="str">
            <v>PASCO</v>
          </cell>
          <cell r="F87">
            <v>0.2</v>
          </cell>
          <cell r="G87">
            <v>0.8</v>
          </cell>
          <cell r="H87">
            <v>7.2000000000000011</v>
          </cell>
        </row>
        <row r="88">
          <cell r="D88" t="str">
            <v>ICA</v>
          </cell>
          <cell r="F88">
            <v>0.2</v>
          </cell>
          <cell r="G88">
            <v>0.8</v>
          </cell>
          <cell r="H88">
            <v>7.2000000000000011</v>
          </cell>
        </row>
        <row r="89">
          <cell r="D89" t="str">
            <v>JUNIN</v>
          </cell>
          <cell r="F89">
            <v>0.2</v>
          </cell>
          <cell r="G89">
            <v>0.8</v>
          </cell>
          <cell r="H89">
            <v>7.2000000000000011</v>
          </cell>
        </row>
        <row r="90">
          <cell r="D90" t="str">
            <v>HUANCAVELICA</v>
          </cell>
          <cell r="F90">
            <v>0.2</v>
          </cell>
          <cell r="G90">
            <v>0.8</v>
          </cell>
          <cell r="H90">
            <v>7.2000000000000011</v>
          </cell>
        </row>
        <row r="91">
          <cell r="D91" t="str">
            <v>HUANUCO</v>
          </cell>
          <cell r="F91">
            <v>0.2</v>
          </cell>
          <cell r="G91">
            <v>0.8</v>
          </cell>
          <cell r="H91">
            <v>7.2000000000000011</v>
          </cell>
        </row>
        <row r="92">
          <cell r="D92" t="str">
            <v>AYACUCHO</v>
          </cell>
          <cell r="F92">
            <v>0.2</v>
          </cell>
          <cell r="G92">
            <v>0.8</v>
          </cell>
          <cell r="H92">
            <v>7.2000000000000011</v>
          </cell>
        </row>
        <row r="93">
          <cell r="D93" t="str">
            <v>APURIMAC</v>
          </cell>
          <cell r="F93">
            <v>0.2</v>
          </cell>
          <cell r="G93">
            <v>0.8</v>
          </cell>
          <cell r="H93">
            <v>7.2000000000000011</v>
          </cell>
        </row>
        <row r="94">
          <cell r="D94" t="str">
            <v>AREQUIPA</v>
          </cell>
          <cell r="F94">
            <v>0.2</v>
          </cell>
          <cell r="G94">
            <v>0.8</v>
          </cell>
          <cell r="H94">
            <v>7.2000000000000011</v>
          </cell>
        </row>
        <row r="95">
          <cell r="D95" t="str">
            <v>MOQUEGUA</v>
          </cell>
          <cell r="F95">
            <v>0.2</v>
          </cell>
          <cell r="G95">
            <v>0.8</v>
          </cell>
          <cell r="H95">
            <v>7.2000000000000011</v>
          </cell>
        </row>
        <row r="96">
          <cell r="D96" t="str">
            <v>TACNA</v>
          </cell>
          <cell r="F96">
            <v>0.2</v>
          </cell>
          <cell r="G96">
            <v>0.8</v>
          </cell>
          <cell r="H96">
            <v>7.2000000000000011</v>
          </cell>
        </row>
        <row r="97">
          <cell r="D97" t="str">
            <v>CUSCO</v>
          </cell>
          <cell r="F97">
            <v>0.2</v>
          </cell>
          <cell r="G97">
            <v>0.8</v>
          </cell>
          <cell r="H97">
            <v>7.2000000000000011</v>
          </cell>
        </row>
        <row r="98">
          <cell r="D98" t="str">
            <v>MADRE DE DIOS</v>
          </cell>
          <cell r="F98">
            <v>0.2</v>
          </cell>
          <cell r="G98">
            <v>0.8</v>
          </cell>
          <cell r="H98">
            <v>7.2000000000000011</v>
          </cell>
        </row>
        <row r="99">
          <cell r="D99" t="str">
            <v>PUNO</v>
          </cell>
          <cell r="F99">
            <v>0.2</v>
          </cell>
          <cell r="G99">
            <v>0.8</v>
          </cell>
          <cell r="H99">
            <v>7.2000000000000011</v>
          </cell>
        </row>
      </sheetData>
      <sheetData sheetId="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67"/>
  <sheetViews>
    <sheetView topLeftCell="A16" zoomScale="90" zoomScaleNormal="90" workbookViewId="0">
      <selection activeCell="J9" sqref="J9"/>
    </sheetView>
  </sheetViews>
  <sheetFormatPr baseColWidth="10" defaultRowHeight="15"/>
  <cols>
    <col min="1" max="1" width="7.42578125" customWidth="1"/>
    <col min="2" max="2" width="3.42578125" style="202" customWidth="1"/>
    <col min="8" max="8" width="12.42578125" customWidth="1"/>
    <col min="9" max="9" width="12.7109375" customWidth="1"/>
    <col min="12" max="12" width="12.7109375" customWidth="1"/>
  </cols>
  <sheetData>
    <row r="1" spans="1:9">
      <c r="A1" s="52"/>
      <c r="B1" s="264"/>
      <c r="C1" s="52"/>
      <c r="D1" s="52"/>
      <c r="E1" s="52"/>
      <c r="F1" s="52"/>
      <c r="G1" s="52"/>
      <c r="H1" s="52"/>
      <c r="I1" s="52"/>
    </row>
    <row r="2" spans="1:9" ht="18.75">
      <c r="A2" s="52"/>
      <c r="B2" s="265"/>
      <c r="C2" s="266" t="s">
        <v>368</v>
      </c>
      <c r="D2" s="267"/>
      <c r="E2" s="267"/>
      <c r="F2" s="267"/>
      <c r="G2" s="267"/>
      <c r="H2" s="268">
        <v>45790</v>
      </c>
      <c r="I2" s="52"/>
    </row>
    <row r="3" spans="1:9" ht="15.75" thickBot="1">
      <c r="A3" s="52"/>
      <c r="B3" s="264"/>
      <c r="C3" s="52"/>
      <c r="D3" s="52"/>
      <c r="E3" s="52"/>
      <c r="F3" s="52"/>
      <c r="G3" s="52"/>
      <c r="H3" s="52"/>
      <c r="I3" s="52"/>
    </row>
    <row r="4" spans="1:9">
      <c r="A4" s="52"/>
      <c r="B4" s="269"/>
      <c r="C4" s="270"/>
      <c r="D4" s="270"/>
      <c r="E4" s="270"/>
      <c r="F4" s="270"/>
      <c r="G4" s="270"/>
      <c r="H4" s="271"/>
      <c r="I4" s="52"/>
    </row>
    <row r="5" spans="1:9">
      <c r="A5" s="52"/>
      <c r="B5" s="272"/>
      <c r="C5" s="273" t="s">
        <v>369</v>
      </c>
      <c r="D5" s="52"/>
      <c r="E5" s="52"/>
      <c r="F5" s="52"/>
      <c r="G5" s="52"/>
      <c r="H5" s="274"/>
      <c r="I5" s="52"/>
    </row>
    <row r="6" spans="1:9">
      <c r="A6" s="52"/>
      <c r="B6" s="272">
        <v>1</v>
      </c>
      <c r="C6" s="413" t="s">
        <v>370</v>
      </c>
      <c r="D6" s="413"/>
      <c r="E6" s="413"/>
      <c r="F6" s="413"/>
      <c r="G6" s="413"/>
      <c r="H6" s="414"/>
      <c r="I6" s="52"/>
    </row>
    <row r="7" spans="1:9">
      <c r="A7" s="52"/>
      <c r="B7" s="272"/>
      <c r="C7" s="413"/>
      <c r="D7" s="413"/>
      <c r="E7" s="413"/>
      <c r="F7" s="413"/>
      <c r="G7" s="413"/>
      <c r="H7" s="414"/>
      <c r="I7" s="52"/>
    </row>
    <row r="8" spans="1:9" ht="38.25" customHeight="1">
      <c r="A8" s="52"/>
      <c r="B8" s="272"/>
      <c r="C8" s="412" t="s">
        <v>371</v>
      </c>
      <c r="D8" s="412"/>
      <c r="E8" s="412"/>
      <c r="F8" s="412"/>
      <c r="G8" s="412"/>
      <c r="H8" s="415"/>
      <c r="I8" s="52"/>
    </row>
    <row r="9" spans="1:9" ht="39.75" customHeight="1">
      <c r="A9" s="52"/>
      <c r="B9" s="272"/>
      <c r="C9" s="412" t="s">
        <v>372</v>
      </c>
      <c r="D9" s="412"/>
      <c r="E9" s="412"/>
      <c r="F9" s="412"/>
      <c r="G9" s="412"/>
      <c r="H9" s="415"/>
      <c r="I9" s="52"/>
    </row>
    <row r="10" spans="1:9">
      <c r="A10" s="52"/>
      <c r="B10" s="272"/>
      <c r="C10" s="52"/>
      <c r="D10" s="52"/>
      <c r="E10" s="52"/>
      <c r="F10" s="52"/>
      <c r="G10" s="52"/>
      <c r="H10" s="274"/>
      <c r="I10" s="52"/>
    </row>
    <row r="11" spans="1:9">
      <c r="A11" s="52"/>
      <c r="B11" s="272">
        <v>2</v>
      </c>
      <c r="C11" s="273" t="s">
        <v>373</v>
      </c>
      <c r="D11" s="52"/>
      <c r="E11" s="52"/>
      <c r="F11" s="52"/>
      <c r="G11" s="52"/>
      <c r="H11" s="274"/>
      <c r="I11" s="52"/>
    </row>
    <row r="12" spans="1:9" ht="15.75" thickBot="1">
      <c r="A12" s="52"/>
      <c r="B12" s="275"/>
      <c r="C12" s="169"/>
      <c r="D12" s="169"/>
      <c r="E12" s="169"/>
      <c r="F12" s="169"/>
      <c r="G12" s="169"/>
      <c r="H12" s="276"/>
      <c r="I12" s="52"/>
    </row>
    <row r="13" spans="1:9">
      <c r="A13" s="52"/>
      <c r="B13" s="264"/>
      <c r="C13" s="52"/>
      <c r="D13" s="52"/>
      <c r="E13" s="52"/>
      <c r="F13" s="52"/>
      <c r="G13" s="52"/>
      <c r="H13" s="52"/>
      <c r="I13" s="52"/>
    </row>
    <row r="14" spans="1:9">
      <c r="A14" s="52"/>
      <c r="B14" s="277"/>
      <c r="C14" s="278" t="s">
        <v>374</v>
      </c>
      <c r="D14" s="279"/>
      <c r="E14" s="279"/>
      <c r="F14" s="279"/>
      <c r="G14" s="279"/>
      <c r="H14" s="279"/>
      <c r="I14" s="52"/>
    </row>
    <row r="15" spans="1:9">
      <c r="A15" s="52"/>
      <c r="B15" s="264">
        <v>1</v>
      </c>
      <c r="C15" s="52" t="s">
        <v>375</v>
      </c>
      <c r="D15" s="52"/>
      <c r="E15" s="52"/>
      <c r="F15" s="52"/>
      <c r="G15" s="52"/>
      <c r="H15" s="52"/>
      <c r="I15" s="52"/>
    </row>
    <row r="16" spans="1:9" ht="31.5" customHeight="1">
      <c r="A16" s="52"/>
      <c r="B16" s="280">
        <v>2</v>
      </c>
      <c r="C16" s="416" t="s">
        <v>376</v>
      </c>
      <c r="D16" s="416"/>
      <c r="E16" s="416"/>
      <c r="F16" s="416"/>
      <c r="G16" s="416"/>
      <c r="H16" s="416"/>
      <c r="I16" s="52"/>
    </row>
    <row r="17" spans="1:9" ht="18" customHeight="1">
      <c r="A17" s="52"/>
      <c r="B17" s="264">
        <v>3</v>
      </c>
      <c r="C17" s="281" t="s">
        <v>377</v>
      </c>
      <c r="D17" s="52"/>
      <c r="E17" s="52"/>
      <c r="F17" s="52"/>
      <c r="G17" s="52"/>
      <c r="H17" s="52"/>
      <c r="I17" s="52"/>
    </row>
    <row r="18" spans="1:9" ht="55.5" customHeight="1">
      <c r="A18" s="52"/>
      <c r="B18" s="280">
        <v>4</v>
      </c>
      <c r="C18" s="412" t="s">
        <v>378</v>
      </c>
      <c r="D18" s="412"/>
      <c r="E18" s="412"/>
      <c r="F18" s="412"/>
      <c r="G18" s="412"/>
      <c r="H18" s="412"/>
      <c r="I18" s="52"/>
    </row>
    <row r="19" spans="1:9" ht="65.25" customHeight="1">
      <c r="A19" s="52"/>
      <c r="B19" s="280">
        <v>5</v>
      </c>
      <c r="C19" s="412" t="s">
        <v>379</v>
      </c>
      <c r="D19" s="412"/>
      <c r="E19" s="412"/>
      <c r="F19" s="412"/>
      <c r="G19" s="412"/>
      <c r="H19" s="412"/>
      <c r="I19" s="52"/>
    </row>
    <row r="20" spans="1:9">
      <c r="A20" s="52"/>
      <c r="B20" s="264">
        <v>6</v>
      </c>
      <c r="C20" s="52" t="s">
        <v>380</v>
      </c>
      <c r="D20" s="52"/>
      <c r="E20" s="52"/>
      <c r="F20" s="52"/>
      <c r="G20" s="52"/>
      <c r="H20" s="52"/>
      <c r="I20" s="52"/>
    </row>
    <row r="21" spans="1:9">
      <c r="A21" s="52"/>
      <c r="B21" s="264">
        <v>7</v>
      </c>
      <c r="C21" s="52" t="s">
        <v>381</v>
      </c>
      <c r="D21" s="52"/>
      <c r="E21" s="52"/>
      <c r="F21" s="52"/>
      <c r="G21" s="52"/>
      <c r="H21" s="52"/>
      <c r="I21" s="52"/>
    </row>
    <row r="22" spans="1:9">
      <c r="A22" s="52"/>
      <c r="B22" s="264"/>
      <c r="C22" s="52"/>
      <c r="D22" s="52"/>
      <c r="E22" s="52"/>
      <c r="F22" s="52"/>
      <c r="G22" s="52"/>
      <c r="H22" s="52"/>
      <c r="I22" s="52"/>
    </row>
    <row r="23" spans="1:9">
      <c r="A23" s="52"/>
      <c r="B23" s="264"/>
      <c r="C23" s="52"/>
      <c r="D23" s="52"/>
      <c r="E23" s="52"/>
      <c r="F23" s="52"/>
      <c r="G23" s="52"/>
      <c r="H23" s="52"/>
      <c r="I23" s="52"/>
    </row>
    <row r="24" spans="1:9">
      <c r="A24" s="52"/>
      <c r="B24" s="204"/>
      <c r="C24" s="203" t="s">
        <v>382</v>
      </c>
      <c r="D24" s="282"/>
      <c r="E24" s="282"/>
      <c r="F24" s="282"/>
      <c r="G24" s="282"/>
      <c r="H24" s="282"/>
      <c r="I24" s="52"/>
    </row>
    <row r="25" spans="1:9" ht="33" customHeight="1">
      <c r="A25" s="52"/>
      <c r="B25" s="280">
        <v>1</v>
      </c>
      <c r="C25" s="412" t="s">
        <v>383</v>
      </c>
      <c r="D25" s="412"/>
      <c r="E25" s="412"/>
      <c r="F25" s="412"/>
      <c r="G25" s="412"/>
      <c r="H25" s="412"/>
      <c r="I25" s="52"/>
    </row>
    <row r="26" spans="1:9" ht="34.5" customHeight="1">
      <c r="A26" s="52"/>
      <c r="B26" s="280">
        <v>2</v>
      </c>
      <c r="C26" s="412" t="s">
        <v>384</v>
      </c>
      <c r="D26" s="412"/>
      <c r="E26" s="412"/>
      <c r="F26" s="412"/>
      <c r="G26" s="412"/>
      <c r="H26" s="412"/>
      <c r="I26" s="52"/>
    </row>
    <row r="27" spans="1:9">
      <c r="A27" s="52"/>
      <c r="B27" s="264">
        <v>3</v>
      </c>
      <c r="C27" s="52" t="s">
        <v>377</v>
      </c>
      <c r="D27" s="52"/>
      <c r="E27" s="52"/>
      <c r="F27" s="52"/>
      <c r="G27" s="52"/>
      <c r="H27" s="52"/>
      <c r="I27" s="52"/>
    </row>
    <row r="28" spans="1:9" ht="63" customHeight="1">
      <c r="A28" s="52"/>
      <c r="B28" s="280">
        <v>4</v>
      </c>
      <c r="C28" s="412" t="s">
        <v>378</v>
      </c>
      <c r="D28" s="412"/>
      <c r="E28" s="412"/>
      <c r="F28" s="412"/>
      <c r="G28" s="412"/>
      <c r="H28" s="412"/>
      <c r="I28" s="52"/>
    </row>
    <row r="29" spans="1:9" ht="69" customHeight="1">
      <c r="A29" s="52"/>
      <c r="B29" s="280">
        <v>5</v>
      </c>
      <c r="C29" s="412" t="s">
        <v>379</v>
      </c>
      <c r="D29" s="412"/>
      <c r="E29" s="412"/>
      <c r="F29" s="412"/>
      <c r="G29" s="412"/>
      <c r="H29" s="412"/>
      <c r="I29" s="52"/>
    </row>
    <row r="30" spans="1:9">
      <c r="A30" s="52"/>
      <c r="B30" s="264">
        <v>6</v>
      </c>
      <c r="C30" s="52" t="s">
        <v>380</v>
      </c>
      <c r="D30" s="52"/>
      <c r="E30" s="52"/>
      <c r="F30" s="52"/>
      <c r="G30" s="52"/>
      <c r="H30" s="52"/>
      <c r="I30" s="52"/>
    </row>
    <row r="31" spans="1:9">
      <c r="A31" s="52"/>
      <c r="B31" s="264">
        <v>7</v>
      </c>
      <c r="C31" s="52" t="s">
        <v>381</v>
      </c>
      <c r="D31" s="52"/>
      <c r="E31" s="52"/>
      <c r="F31" s="52"/>
      <c r="G31" s="52"/>
      <c r="H31" s="52"/>
      <c r="I31" s="52"/>
    </row>
    <row r="32" spans="1:9">
      <c r="A32" s="52"/>
      <c r="B32" s="264"/>
      <c r="C32" s="52"/>
      <c r="D32" s="52"/>
      <c r="E32" s="52"/>
      <c r="F32" s="52"/>
      <c r="G32" s="52"/>
      <c r="H32" s="52"/>
      <c r="I32" s="52"/>
    </row>
    <row r="33" spans="1:9">
      <c r="A33" s="52"/>
      <c r="B33" s="264"/>
      <c r="C33" s="52"/>
      <c r="D33" s="52"/>
      <c r="E33" s="52"/>
      <c r="F33" s="52"/>
      <c r="G33" s="52"/>
      <c r="H33" s="52"/>
      <c r="I33" s="52"/>
    </row>
    <row r="34" spans="1:9">
      <c r="A34" s="52"/>
      <c r="B34" s="264"/>
      <c r="C34" s="52"/>
      <c r="D34" s="52"/>
      <c r="E34" s="52"/>
      <c r="F34" s="52"/>
      <c r="G34" s="52"/>
      <c r="H34" s="52"/>
      <c r="I34" s="52"/>
    </row>
    <row r="35" spans="1:9">
      <c r="A35" s="52"/>
      <c r="B35" s="264"/>
      <c r="C35" s="52"/>
      <c r="D35" s="52"/>
      <c r="E35" s="52"/>
      <c r="F35" s="52"/>
      <c r="G35" s="52"/>
      <c r="H35" s="52"/>
      <c r="I35" s="52"/>
    </row>
    <row r="36" spans="1:9">
      <c r="A36" s="52"/>
      <c r="B36" s="264"/>
      <c r="C36" s="52"/>
      <c r="D36" s="52"/>
      <c r="E36" s="52"/>
      <c r="F36" s="52"/>
      <c r="G36" s="52"/>
      <c r="H36" s="52"/>
      <c r="I36" s="52"/>
    </row>
    <row r="37" spans="1:9">
      <c r="A37" s="52"/>
      <c r="B37" s="283"/>
      <c r="C37" s="245" t="s">
        <v>385</v>
      </c>
      <c r="D37" s="246"/>
      <c r="E37" s="246"/>
      <c r="F37" s="246"/>
      <c r="G37" s="246"/>
      <c r="H37" s="246"/>
      <c r="I37" s="52"/>
    </row>
    <row r="38" spans="1:9">
      <c r="A38" s="52"/>
      <c r="B38" s="264">
        <v>1</v>
      </c>
      <c r="C38" s="52" t="s">
        <v>386</v>
      </c>
      <c r="D38" s="52"/>
      <c r="E38" s="52"/>
      <c r="F38" s="52"/>
      <c r="G38" s="52"/>
      <c r="H38" s="52"/>
      <c r="I38" s="52"/>
    </row>
    <row r="39" spans="1:9" ht="38.25" customHeight="1">
      <c r="A39" s="52"/>
      <c r="B39" s="280">
        <v>2</v>
      </c>
      <c r="C39" s="412" t="s">
        <v>387</v>
      </c>
      <c r="D39" s="412"/>
      <c r="E39" s="412"/>
      <c r="F39" s="412"/>
      <c r="G39" s="412"/>
      <c r="H39" s="412"/>
      <c r="I39" s="52"/>
    </row>
    <row r="40" spans="1:9">
      <c r="A40" s="52"/>
      <c r="B40" s="264">
        <v>3</v>
      </c>
      <c r="C40" s="52" t="s">
        <v>388</v>
      </c>
      <c r="D40" s="52"/>
      <c r="E40" s="52"/>
      <c r="F40" s="52"/>
      <c r="G40" s="52"/>
      <c r="H40" s="52"/>
      <c r="I40" s="52"/>
    </row>
    <row r="41" spans="1:9">
      <c r="A41" s="52"/>
      <c r="B41" s="264">
        <v>4</v>
      </c>
      <c r="C41" s="52" t="s">
        <v>377</v>
      </c>
      <c r="D41" s="52"/>
      <c r="E41" s="52"/>
      <c r="F41" s="52"/>
      <c r="G41" s="52"/>
      <c r="H41" s="52"/>
      <c r="I41" s="52"/>
    </row>
    <row r="42" spans="1:9">
      <c r="A42" s="52"/>
      <c r="B42" s="264">
        <v>5</v>
      </c>
      <c r="C42" s="52" t="s">
        <v>389</v>
      </c>
      <c r="D42" s="52"/>
      <c r="E42" s="52"/>
      <c r="F42" s="52"/>
      <c r="G42" s="52"/>
      <c r="H42" s="52"/>
      <c r="I42" s="52"/>
    </row>
    <row r="43" spans="1:9">
      <c r="A43" s="52"/>
      <c r="B43" s="264">
        <v>6</v>
      </c>
      <c r="C43" s="52" t="s">
        <v>390</v>
      </c>
      <c r="D43" s="52"/>
      <c r="E43" s="52"/>
      <c r="F43" s="52"/>
      <c r="G43" s="52"/>
      <c r="H43" s="52"/>
      <c r="I43" s="52"/>
    </row>
    <row r="44" spans="1:9" ht="72" customHeight="1">
      <c r="A44" s="52"/>
      <c r="B44" s="280">
        <v>7</v>
      </c>
      <c r="C44" s="412" t="s">
        <v>379</v>
      </c>
      <c r="D44" s="412"/>
      <c r="E44" s="412"/>
      <c r="F44" s="412"/>
      <c r="G44" s="412"/>
      <c r="H44" s="412"/>
      <c r="I44" s="52"/>
    </row>
    <row r="45" spans="1:9" ht="36" customHeight="1">
      <c r="A45" s="52"/>
      <c r="B45" s="280">
        <v>8</v>
      </c>
      <c r="C45" s="412" t="s">
        <v>391</v>
      </c>
      <c r="D45" s="412"/>
      <c r="E45" s="412"/>
      <c r="F45" s="412"/>
      <c r="G45" s="412"/>
      <c r="H45" s="412"/>
      <c r="I45" s="52"/>
    </row>
    <row r="46" spans="1:9">
      <c r="A46" s="52"/>
      <c r="B46" s="264"/>
      <c r="C46" s="52"/>
      <c r="D46" s="52"/>
      <c r="E46" s="52"/>
      <c r="F46" s="52"/>
      <c r="G46" s="52"/>
      <c r="H46" s="52"/>
      <c r="I46" s="52"/>
    </row>
    <row r="47" spans="1:9">
      <c r="A47" s="52"/>
      <c r="B47" s="284"/>
      <c r="C47" s="285" t="s">
        <v>392</v>
      </c>
      <c r="D47" s="286"/>
      <c r="E47" s="286"/>
      <c r="F47" s="286"/>
      <c r="G47" s="286"/>
      <c r="H47" s="286"/>
      <c r="I47" s="52"/>
    </row>
    <row r="48" spans="1:9" ht="55.5" customHeight="1">
      <c r="A48" s="52"/>
      <c r="B48" s="280">
        <v>1</v>
      </c>
      <c r="C48" s="412" t="s">
        <v>393</v>
      </c>
      <c r="D48" s="412"/>
      <c r="E48" s="412"/>
      <c r="F48" s="412"/>
      <c r="G48" s="412"/>
      <c r="H48" s="412"/>
      <c r="I48" s="52"/>
    </row>
    <row r="49" spans="1:13">
      <c r="A49" s="52"/>
      <c r="B49" s="264">
        <v>2</v>
      </c>
      <c r="C49" s="52" t="s">
        <v>377</v>
      </c>
      <c r="D49" s="52"/>
      <c r="E49" s="52"/>
      <c r="F49" s="52"/>
      <c r="G49" s="52"/>
      <c r="H49" s="52"/>
      <c r="I49" s="52"/>
    </row>
    <row r="50" spans="1:13" ht="52.5" customHeight="1">
      <c r="A50" s="52"/>
      <c r="B50" s="280">
        <v>3</v>
      </c>
      <c r="C50" s="412" t="s">
        <v>394</v>
      </c>
      <c r="D50" s="412"/>
      <c r="E50" s="412"/>
      <c r="F50" s="412"/>
      <c r="G50" s="412"/>
      <c r="H50" s="412"/>
      <c r="I50" s="52"/>
    </row>
    <row r="51" spans="1:13" ht="65.25" customHeight="1">
      <c r="A51" s="52"/>
      <c r="B51" s="280">
        <v>4</v>
      </c>
      <c r="C51" s="412" t="s">
        <v>379</v>
      </c>
      <c r="D51" s="412"/>
      <c r="E51" s="412"/>
      <c r="F51" s="412"/>
      <c r="G51" s="412"/>
      <c r="H51" s="412"/>
      <c r="I51" s="52"/>
    </row>
    <row r="52" spans="1:13" ht="33.75" customHeight="1">
      <c r="A52" s="52"/>
      <c r="B52" s="287">
        <v>5</v>
      </c>
      <c r="C52" s="412" t="s">
        <v>395</v>
      </c>
      <c r="D52" s="412"/>
      <c r="E52" s="412"/>
      <c r="F52" s="412"/>
      <c r="G52" s="412"/>
      <c r="H52" s="412"/>
      <c r="I52" s="52"/>
    </row>
    <row r="53" spans="1:13" ht="15.75" thickBot="1">
      <c r="A53" s="52"/>
      <c r="B53" s="264"/>
      <c r="C53" s="52"/>
      <c r="D53" s="52"/>
      <c r="E53" s="52"/>
      <c r="F53" s="52"/>
      <c r="G53" s="52"/>
      <c r="H53" s="52"/>
      <c r="I53" s="52"/>
    </row>
    <row r="54" spans="1:13">
      <c r="A54" s="52"/>
      <c r="B54" s="288"/>
      <c r="C54" s="289"/>
      <c r="D54" s="289"/>
      <c r="E54" s="289"/>
      <c r="F54" s="289"/>
      <c r="G54" s="289"/>
      <c r="H54" s="290"/>
      <c r="I54" s="52"/>
    </row>
    <row r="55" spans="1:13" ht="33.75" customHeight="1">
      <c r="A55" s="52"/>
      <c r="B55" s="291"/>
      <c r="C55" s="410" t="s">
        <v>396</v>
      </c>
      <c r="D55" s="410"/>
      <c r="E55" s="410"/>
      <c r="F55" s="410"/>
      <c r="G55" s="410"/>
      <c r="H55" s="411"/>
      <c r="I55" s="52"/>
    </row>
    <row r="56" spans="1:13">
      <c r="A56" s="52"/>
      <c r="B56" s="291"/>
      <c r="C56" s="292" t="s">
        <v>397</v>
      </c>
      <c r="D56" s="293"/>
      <c r="E56" s="293"/>
      <c r="F56" s="293"/>
      <c r="G56" s="293"/>
      <c r="H56" s="294"/>
      <c r="I56" s="52"/>
    </row>
    <row r="57" spans="1:13">
      <c r="A57" s="52"/>
      <c r="B57" s="291"/>
      <c r="C57" s="292"/>
      <c r="D57" s="293"/>
      <c r="E57" s="293"/>
      <c r="F57" s="293"/>
      <c r="G57" s="293"/>
      <c r="H57" s="294"/>
      <c r="I57" s="52"/>
    </row>
    <row r="58" spans="1:13" ht="32.25" customHeight="1">
      <c r="A58" s="52"/>
      <c r="B58" s="291"/>
      <c r="C58" s="410" t="s">
        <v>398</v>
      </c>
      <c r="D58" s="410"/>
      <c r="E58" s="410"/>
      <c r="F58" s="410"/>
      <c r="G58" s="410"/>
      <c r="H58" s="411"/>
      <c r="I58" s="52"/>
    </row>
    <row r="59" spans="1:13">
      <c r="A59" s="52"/>
      <c r="B59" s="291"/>
      <c r="C59" s="292"/>
      <c r="D59" s="293"/>
      <c r="E59" s="293"/>
      <c r="F59" s="293"/>
      <c r="G59" s="293"/>
      <c r="H59" s="294"/>
      <c r="I59" s="52"/>
    </row>
    <row r="60" spans="1:13" ht="15.75" thickBot="1">
      <c r="A60" s="52"/>
      <c r="B60" s="295"/>
      <c r="C60" s="296"/>
      <c r="D60" s="296"/>
      <c r="E60" s="296"/>
      <c r="F60" s="296"/>
      <c r="G60" s="296"/>
      <c r="H60" s="297"/>
      <c r="I60" s="52"/>
    </row>
    <row r="61" spans="1:13">
      <c r="A61" s="52"/>
      <c r="B61" s="264"/>
      <c r="C61" s="298"/>
      <c r="D61" s="298"/>
      <c r="E61" s="298"/>
      <c r="F61" s="298"/>
      <c r="G61" s="298"/>
      <c r="H61" s="298"/>
      <c r="I61" s="52"/>
      <c r="M61" s="299"/>
    </row>
    <row r="62" spans="1:13">
      <c r="A62" s="52"/>
      <c r="B62" s="264"/>
      <c r="C62" s="298"/>
      <c r="D62" s="298"/>
      <c r="E62" s="298"/>
      <c r="F62" s="298"/>
      <c r="G62" s="298"/>
      <c r="H62" s="298"/>
      <c r="I62" s="52"/>
      <c r="M62" s="299"/>
    </row>
    <row r="63" spans="1:13">
      <c r="A63" s="52"/>
      <c r="B63" s="264"/>
      <c r="C63" s="298"/>
      <c r="D63" s="298"/>
      <c r="E63" s="298"/>
      <c r="F63" s="298"/>
      <c r="G63" s="298"/>
      <c r="H63" s="298"/>
      <c r="I63" s="52"/>
      <c r="M63" s="299"/>
    </row>
    <row r="64" spans="1:13">
      <c r="A64" s="52"/>
      <c r="B64" s="264"/>
      <c r="C64" s="298"/>
      <c r="D64" s="298"/>
      <c r="E64" s="298"/>
      <c r="F64" s="298"/>
      <c r="G64" s="298"/>
      <c r="H64" s="298"/>
      <c r="I64" s="298"/>
      <c r="J64" s="299"/>
      <c r="K64" s="299"/>
      <c r="L64" s="299"/>
      <c r="M64" s="299"/>
    </row>
    <row r="65" spans="1:9">
      <c r="A65" s="52"/>
      <c r="B65" s="264"/>
      <c r="C65" s="52"/>
      <c r="D65" s="52"/>
      <c r="E65" s="52"/>
      <c r="F65" s="52"/>
      <c r="G65" s="52"/>
      <c r="H65" s="52"/>
      <c r="I65" s="52"/>
    </row>
    <row r="66" spans="1:9">
      <c r="A66" s="52"/>
      <c r="B66" s="264"/>
      <c r="C66" s="52"/>
      <c r="D66" s="52"/>
      <c r="E66" s="52"/>
      <c r="F66" s="52"/>
      <c r="G66" s="52"/>
      <c r="H66" s="52"/>
      <c r="I66" s="52"/>
    </row>
    <row r="67" spans="1:9">
      <c r="A67" s="52"/>
      <c r="B67" s="264"/>
      <c r="C67" s="52"/>
      <c r="D67" s="52"/>
      <c r="E67" s="52"/>
      <c r="F67" s="52"/>
      <c r="G67" s="52"/>
      <c r="H67" s="52"/>
      <c r="I67" s="52"/>
    </row>
  </sheetData>
  <mergeCells count="19">
    <mergeCell ref="C44:H44"/>
    <mergeCell ref="C6:H7"/>
    <mergeCell ref="C8:H8"/>
    <mergeCell ref="C9:H9"/>
    <mergeCell ref="C16:H16"/>
    <mergeCell ref="C18:H18"/>
    <mergeCell ref="C19:H19"/>
    <mergeCell ref="C25:H25"/>
    <mergeCell ref="C26:H26"/>
    <mergeCell ref="C28:H28"/>
    <mergeCell ref="C29:H29"/>
    <mergeCell ref="C39:H39"/>
    <mergeCell ref="C58:H58"/>
    <mergeCell ref="C45:H45"/>
    <mergeCell ref="C48:H48"/>
    <mergeCell ref="C50:H50"/>
    <mergeCell ref="C51:H51"/>
    <mergeCell ref="C52:H52"/>
    <mergeCell ref="C55:H55"/>
  </mergeCells>
  <pageMargins left="0.39370078740157483" right="0.39370078740157483" top="0.39370078740157483" bottom="0.3937007874015748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57"/>
  <sheetViews>
    <sheetView showGridLines="0" tabSelected="1" zoomScale="80" zoomScaleNormal="80" zoomScaleSheetLayoutView="69" workbookViewId="0">
      <selection activeCell="H29" sqref="H29"/>
    </sheetView>
  </sheetViews>
  <sheetFormatPr baseColWidth="10" defaultRowHeight="15"/>
  <cols>
    <col min="1" max="1" width="4.140625" customWidth="1"/>
    <col min="2" max="2" width="34.42578125" customWidth="1"/>
    <col min="3" max="3" width="12.85546875" bestFit="1" customWidth="1"/>
    <col min="4" max="4" width="26.42578125" style="3" customWidth="1"/>
    <col min="5" max="5" width="12.7109375" bestFit="1" customWidth="1"/>
    <col min="6" max="6" width="5.42578125" customWidth="1"/>
    <col min="7" max="7" width="18.7109375" bestFit="1" customWidth="1"/>
    <col min="8" max="8" width="48.5703125" customWidth="1"/>
    <col min="9" max="9" width="16.7109375" style="3" bestFit="1" customWidth="1"/>
    <col min="10" max="10" width="17.7109375" bestFit="1" customWidth="1"/>
    <col min="11" max="11" width="11.5703125" bestFit="1" customWidth="1"/>
    <col min="12" max="12" width="14.5703125" customWidth="1"/>
    <col min="13" max="13" width="19.85546875" customWidth="1"/>
  </cols>
  <sheetData>
    <row r="1" spans="1:14" ht="21.75" thickBot="1">
      <c r="A1" s="132"/>
      <c r="B1" s="140" t="s">
        <v>233</v>
      </c>
      <c r="C1" s="141"/>
      <c r="D1" s="142"/>
      <c r="E1" s="142"/>
      <c r="F1" s="141"/>
      <c r="G1" s="141"/>
      <c r="H1" s="141"/>
      <c r="I1" s="142"/>
      <c r="J1" s="142"/>
      <c r="K1" s="148"/>
      <c r="L1" s="148"/>
      <c r="M1" s="142"/>
    </row>
    <row r="2" spans="1:14">
      <c r="A2" s="132"/>
      <c r="B2" s="7"/>
      <c r="C2" s="7"/>
      <c r="D2" s="133"/>
      <c r="E2" s="133"/>
      <c r="F2" s="7"/>
      <c r="G2" s="7"/>
      <c r="H2" s="7"/>
      <c r="I2" s="133"/>
      <c r="J2" s="7"/>
      <c r="K2" s="7"/>
      <c r="L2" s="7"/>
      <c r="M2" s="134"/>
    </row>
    <row r="3" spans="1:14" ht="15.75">
      <c r="A3" s="129"/>
      <c r="B3" s="393" t="s">
        <v>273</v>
      </c>
      <c r="C3" s="393"/>
      <c r="D3" s="393"/>
      <c r="E3" s="393"/>
      <c r="F3" s="124"/>
      <c r="G3" s="394"/>
      <c r="H3" s="394"/>
      <c r="I3" s="174"/>
      <c r="M3" s="135"/>
    </row>
    <row r="4" spans="1:14" ht="15.75">
      <c r="A4" s="129"/>
      <c r="B4" s="173" t="s">
        <v>232</v>
      </c>
      <c r="C4" s="173">
        <v>1334</v>
      </c>
      <c r="D4" s="173"/>
      <c r="E4" s="173"/>
      <c r="F4" s="124"/>
      <c r="M4" s="135"/>
    </row>
    <row r="5" spans="1:14" ht="15.75">
      <c r="A5" s="129"/>
      <c r="B5" s="125"/>
      <c r="C5" s="126"/>
      <c r="D5" s="174"/>
      <c r="E5" s="174"/>
      <c r="F5" s="124"/>
      <c r="M5" s="135"/>
    </row>
    <row r="6" spans="1:14" s="29" customFormat="1" ht="36" customHeight="1">
      <c r="A6" s="144"/>
      <c r="B6" s="232" t="s">
        <v>9</v>
      </c>
      <c r="C6" s="232" t="s">
        <v>5</v>
      </c>
      <c r="D6" s="232" t="s">
        <v>4</v>
      </c>
      <c r="E6" s="232" t="s">
        <v>3</v>
      </c>
      <c r="F6" s="145"/>
      <c r="G6" s="181" t="s">
        <v>6</v>
      </c>
      <c r="H6" s="181" t="s">
        <v>239</v>
      </c>
      <c r="I6" s="181" t="s">
        <v>236</v>
      </c>
      <c r="J6" s="181" t="s">
        <v>237</v>
      </c>
      <c r="K6" s="181" t="s">
        <v>238</v>
      </c>
      <c r="L6" s="181" t="s">
        <v>240</v>
      </c>
      <c r="M6" s="165"/>
    </row>
    <row r="7" spans="1:14">
      <c r="A7" s="129"/>
      <c r="B7" s="149" t="s">
        <v>6</v>
      </c>
      <c r="C7" s="17">
        <v>1</v>
      </c>
      <c r="D7" s="226">
        <f>L13</f>
        <v>5498.43</v>
      </c>
      <c r="E7" s="226">
        <f>C7*D7</f>
        <v>5498.43</v>
      </c>
      <c r="F7" s="124"/>
      <c r="G7" s="395" t="s">
        <v>6</v>
      </c>
      <c r="H7" s="408" t="s">
        <v>367</v>
      </c>
      <c r="I7" s="327">
        <v>1</v>
      </c>
      <c r="J7" s="401">
        <f>4290.56</f>
        <v>4290.5600000000004</v>
      </c>
      <c r="K7" s="401">
        <f>I7*J7</f>
        <v>4290.5600000000004</v>
      </c>
      <c r="L7" s="398">
        <f>SUM(K7:K12)</f>
        <v>5498.43</v>
      </c>
      <c r="M7" s="135"/>
    </row>
    <row r="8" spans="1:14">
      <c r="A8" s="129"/>
      <c r="B8" s="149" t="s">
        <v>235</v>
      </c>
      <c r="C8" s="17">
        <v>1</v>
      </c>
      <c r="D8" s="226">
        <f>L29</f>
        <v>9373.4599999999991</v>
      </c>
      <c r="E8" s="226">
        <f>C8*D8</f>
        <v>9373.4599999999991</v>
      </c>
      <c r="F8" s="124"/>
      <c r="G8" s="396"/>
      <c r="H8" s="409"/>
      <c r="I8" s="327"/>
      <c r="J8" s="401"/>
      <c r="K8" s="401"/>
      <c r="L8" s="398"/>
      <c r="M8" s="135"/>
    </row>
    <row r="9" spans="1:14" ht="15.75" customHeight="1">
      <c r="A9" s="129"/>
      <c r="B9" s="4"/>
      <c r="C9" s="4"/>
      <c r="D9" s="1" t="s">
        <v>242</v>
      </c>
      <c r="E9" s="6">
        <f>SUM(E7:E8)</f>
        <v>14871.89</v>
      </c>
      <c r="F9" s="124"/>
      <c r="G9" s="396"/>
      <c r="H9" s="395" t="s">
        <v>366</v>
      </c>
      <c r="I9" s="327">
        <v>1</v>
      </c>
      <c r="J9" s="401">
        <f>225.37</f>
        <v>225.37</v>
      </c>
      <c r="K9" s="401">
        <f>I9*J9</f>
        <v>225.37</v>
      </c>
      <c r="L9" s="398"/>
      <c r="M9" s="135"/>
    </row>
    <row r="10" spans="1:14">
      <c r="A10" s="129"/>
      <c r="B10" s="4"/>
      <c r="C10" s="5"/>
      <c r="D10" s="5"/>
      <c r="E10" s="5"/>
      <c r="F10" s="124"/>
      <c r="G10" s="396"/>
      <c r="H10" s="400"/>
      <c r="I10" s="327"/>
      <c r="J10" s="401"/>
      <c r="K10" s="401"/>
      <c r="L10" s="398"/>
      <c r="M10" s="135"/>
    </row>
    <row r="11" spans="1:14">
      <c r="A11" s="129"/>
      <c r="B11" s="182" t="s">
        <v>243</v>
      </c>
      <c r="C11" s="402" t="s">
        <v>252</v>
      </c>
      <c r="D11" s="403"/>
      <c r="E11" s="404"/>
      <c r="F11" s="124"/>
      <c r="G11" s="396"/>
      <c r="H11" s="262" t="s">
        <v>267</v>
      </c>
      <c r="I11" s="176">
        <v>0</v>
      </c>
      <c r="J11" s="177">
        <f>1310</f>
        <v>1310</v>
      </c>
      <c r="K11" s="178">
        <f>J11*I11</f>
        <v>0</v>
      </c>
      <c r="L11" s="398"/>
      <c r="M11" s="135"/>
    </row>
    <row r="12" spans="1:14" s="29" customFormat="1" ht="15.75" thickBot="1">
      <c r="A12" s="144"/>
      <c r="B12" s="182" t="s">
        <v>14</v>
      </c>
      <c r="C12" s="405" t="s">
        <v>42</v>
      </c>
      <c r="D12" s="406"/>
      <c r="E12" s="407"/>
      <c r="F12" s="145"/>
      <c r="G12" s="397"/>
      <c r="H12" s="179" t="s">
        <v>330</v>
      </c>
      <c r="I12" s="180">
        <v>3</v>
      </c>
      <c r="J12" s="227">
        <f>327.5</f>
        <v>327.5</v>
      </c>
      <c r="K12" s="199">
        <f>I12*J12</f>
        <v>982.5</v>
      </c>
      <c r="L12" s="399"/>
      <c r="M12" s="135"/>
      <c r="N12"/>
    </row>
    <row r="13" spans="1:14" s="29" customFormat="1" ht="15.75" thickBot="1">
      <c r="A13" s="144"/>
      <c r="B13" s="182" t="s">
        <v>247</v>
      </c>
      <c r="C13" s="352" t="s">
        <v>274</v>
      </c>
      <c r="D13" s="353"/>
      <c r="E13" s="354"/>
      <c r="F13" s="145"/>
      <c r="G13" s="183" t="s">
        <v>1</v>
      </c>
      <c r="H13" s="184"/>
      <c r="I13" s="184"/>
      <c r="J13" s="185"/>
      <c r="K13" s="186" t="s">
        <v>241</v>
      </c>
      <c r="L13" s="187">
        <f>SUM(L7:L12)</f>
        <v>5498.43</v>
      </c>
      <c r="M13" s="233"/>
    </row>
    <row r="14" spans="1:14" ht="15.75" thickBot="1">
      <c r="A14" s="129"/>
      <c r="B14" s="182" t="s">
        <v>254</v>
      </c>
      <c r="C14" s="352">
        <v>1</v>
      </c>
      <c r="D14" s="353"/>
      <c r="E14" s="354"/>
      <c r="F14" s="124"/>
      <c r="M14" s="135"/>
    </row>
    <row r="15" spans="1:14" ht="31.5">
      <c r="A15" s="129"/>
      <c r="B15" s="182"/>
      <c r="C15" s="306"/>
      <c r="D15" s="307"/>
      <c r="E15" s="308"/>
      <c r="F15" s="124"/>
      <c r="G15" s="223" t="s">
        <v>235</v>
      </c>
      <c r="H15" s="224" t="s">
        <v>239</v>
      </c>
      <c r="I15" s="224" t="s">
        <v>236</v>
      </c>
      <c r="J15" s="224" t="s">
        <v>237</v>
      </c>
      <c r="K15" s="224" t="s">
        <v>238</v>
      </c>
      <c r="L15" s="225" t="s">
        <v>240</v>
      </c>
      <c r="M15" s="135"/>
    </row>
    <row r="16" spans="1:14">
      <c r="A16" s="129"/>
      <c r="B16" s="182" t="s">
        <v>234</v>
      </c>
      <c r="C16" s="352" t="s">
        <v>329</v>
      </c>
      <c r="D16" s="353"/>
      <c r="E16" s="354"/>
      <c r="F16" s="124"/>
      <c r="G16" s="364" t="s">
        <v>235</v>
      </c>
      <c r="H16" s="365" t="s">
        <v>412</v>
      </c>
      <c r="I16" s="367">
        <v>0</v>
      </c>
      <c r="J16" s="327">
        <v>428.17</v>
      </c>
      <c r="K16" s="327">
        <f>J16*I16</f>
        <v>0</v>
      </c>
      <c r="L16" s="327">
        <f>K16</f>
        <v>0</v>
      </c>
      <c r="M16" s="135"/>
    </row>
    <row r="17" spans="1:13">
      <c r="A17" s="129"/>
      <c r="B17" s="182" t="s">
        <v>16</v>
      </c>
      <c r="C17" s="355">
        <f>680*4</f>
        <v>2720</v>
      </c>
      <c r="D17" s="356"/>
      <c r="E17" s="357"/>
      <c r="F17" s="124"/>
      <c r="G17" s="364"/>
      <c r="H17" s="366"/>
      <c r="I17" s="368"/>
      <c r="J17" s="327"/>
      <c r="K17" s="327"/>
      <c r="L17" s="327"/>
      <c r="M17" s="135"/>
    </row>
    <row r="18" spans="1:13">
      <c r="A18" s="129"/>
      <c r="B18" s="182" t="s">
        <v>11</v>
      </c>
      <c r="C18" s="352" t="s">
        <v>248</v>
      </c>
      <c r="D18" s="353"/>
      <c r="E18" s="354"/>
      <c r="F18" s="124"/>
      <c r="G18" s="364"/>
      <c r="H18" s="369" t="s">
        <v>281</v>
      </c>
      <c r="I18" s="367">
        <v>1</v>
      </c>
      <c r="J18" s="376">
        <f>(10000/3.6)*1.2</f>
        <v>3333.3333333333335</v>
      </c>
      <c r="K18" s="367">
        <f>I18*J18</f>
        <v>3333.3333333333335</v>
      </c>
      <c r="L18" s="389">
        <f>SUM(K18:K19)</f>
        <v>3333.3333333333335</v>
      </c>
      <c r="M18" s="135"/>
    </row>
    <row r="19" spans="1:13">
      <c r="A19" s="129"/>
      <c r="B19" s="182" t="s">
        <v>245</v>
      </c>
      <c r="C19" s="352">
        <v>4</v>
      </c>
      <c r="D19" s="353"/>
      <c r="E19" s="354"/>
      <c r="F19" s="124"/>
      <c r="G19" s="364"/>
      <c r="H19" s="371"/>
      <c r="I19" s="368"/>
      <c r="J19" s="377"/>
      <c r="K19" s="368"/>
      <c r="L19" s="390"/>
      <c r="M19" s="135"/>
    </row>
    <row r="20" spans="1:13" ht="16.5" customHeight="1">
      <c r="A20" s="129"/>
      <c r="B20" s="182" t="s">
        <v>15</v>
      </c>
      <c r="C20" s="358" t="s">
        <v>328</v>
      </c>
      <c r="D20" s="359"/>
      <c r="E20" s="360"/>
      <c r="F20" s="124"/>
      <c r="G20" s="364"/>
      <c r="H20" s="369" t="s">
        <v>276</v>
      </c>
      <c r="I20" s="367">
        <v>1</v>
      </c>
      <c r="J20" s="376">
        <f>(8000/3.6)*1.2</f>
        <v>2666.6666666666665</v>
      </c>
      <c r="K20" s="378">
        <f>I20*J20</f>
        <v>2666.6666666666665</v>
      </c>
      <c r="L20" s="389">
        <f>SUM(K20:K21)</f>
        <v>2666.6666666666665</v>
      </c>
      <c r="M20" s="135"/>
    </row>
    <row r="21" spans="1:13" ht="16.5" customHeight="1">
      <c r="A21" s="129"/>
      <c r="B21" s="182" t="s">
        <v>8</v>
      </c>
      <c r="C21" s="352" t="s">
        <v>244</v>
      </c>
      <c r="D21" s="353"/>
      <c r="E21" s="354"/>
      <c r="F21" s="124"/>
      <c r="G21" s="364"/>
      <c r="H21" s="371"/>
      <c r="I21" s="368"/>
      <c r="J21" s="377"/>
      <c r="K21" s="379"/>
      <c r="L21" s="390"/>
      <c r="M21" s="135"/>
    </row>
    <row r="22" spans="1:13" ht="16.5" customHeight="1" thickBot="1">
      <c r="A22" s="129"/>
      <c r="B22" s="182" t="s">
        <v>10</v>
      </c>
      <c r="C22" s="361" t="s">
        <v>275</v>
      </c>
      <c r="D22" s="362"/>
      <c r="E22" s="363"/>
      <c r="F22" s="124"/>
      <c r="G22" s="364"/>
      <c r="H22" s="369" t="s">
        <v>250</v>
      </c>
      <c r="I22" s="367">
        <v>1</v>
      </c>
      <c r="J22" s="373">
        <f>973.46</f>
        <v>973.46</v>
      </c>
      <c r="K22" s="367">
        <f>I22*J22</f>
        <v>973.46</v>
      </c>
      <c r="L22" s="389">
        <f>SUM(K22:K22)</f>
        <v>973.46</v>
      </c>
      <c r="M22" s="135"/>
    </row>
    <row r="23" spans="1:13" ht="16.5" customHeight="1">
      <c r="A23" s="129"/>
      <c r="B23" s="380" t="s">
        <v>414</v>
      </c>
      <c r="C23" s="381"/>
      <c r="D23" s="381"/>
      <c r="E23" s="382"/>
      <c r="F23" s="124"/>
      <c r="G23" s="364"/>
      <c r="H23" s="370"/>
      <c r="I23" s="372"/>
      <c r="J23" s="374"/>
      <c r="K23" s="372"/>
      <c r="L23" s="391"/>
      <c r="M23" s="135"/>
    </row>
    <row r="24" spans="1:13" ht="16.5" customHeight="1">
      <c r="A24" s="129"/>
      <c r="B24" s="383"/>
      <c r="C24" s="384"/>
      <c r="D24" s="384"/>
      <c r="E24" s="385"/>
      <c r="F24" s="124"/>
      <c r="G24" s="364"/>
      <c r="H24" s="370"/>
      <c r="I24" s="372"/>
      <c r="J24" s="374"/>
      <c r="K24" s="372"/>
      <c r="L24" s="391"/>
      <c r="M24" s="135"/>
    </row>
    <row r="25" spans="1:13" ht="16.5" customHeight="1" thickBot="1">
      <c r="A25" s="129"/>
      <c r="B25" s="386"/>
      <c r="C25" s="387"/>
      <c r="D25" s="387"/>
      <c r="E25" s="388"/>
      <c r="F25" s="124"/>
      <c r="G25" s="364"/>
      <c r="H25" s="370"/>
      <c r="I25" s="372"/>
      <c r="J25" s="374"/>
      <c r="K25" s="372"/>
      <c r="L25" s="391"/>
      <c r="M25" s="135"/>
    </row>
    <row r="26" spans="1:13" ht="16.5" customHeight="1" thickBot="1">
      <c r="A26" s="129"/>
      <c r="F26" s="124"/>
      <c r="G26" s="364"/>
      <c r="H26" s="371"/>
      <c r="I26" s="368"/>
      <c r="J26" s="375"/>
      <c r="K26" s="368"/>
      <c r="L26" s="390"/>
      <c r="M26" s="135"/>
    </row>
    <row r="27" spans="1:13" ht="16.5" customHeight="1">
      <c r="A27" s="129"/>
      <c r="B27" s="127" t="s">
        <v>75</v>
      </c>
      <c r="C27" s="7"/>
      <c r="D27" s="128"/>
      <c r="F27" s="124"/>
      <c r="G27" s="364"/>
      <c r="H27" s="369" t="s">
        <v>280</v>
      </c>
      <c r="I27" s="367">
        <v>1</v>
      </c>
      <c r="J27" s="376">
        <v>2400</v>
      </c>
      <c r="K27" s="367">
        <f>I27*J27</f>
        <v>2400</v>
      </c>
      <c r="L27" s="389">
        <f>SUM(K27:K27)</f>
        <v>2400</v>
      </c>
      <c r="M27" s="135"/>
    </row>
    <row r="28" spans="1:13" ht="15.75" customHeight="1" thickBot="1">
      <c r="A28" s="129"/>
      <c r="B28" s="129"/>
      <c r="D28" s="130"/>
      <c r="F28" s="124"/>
      <c r="G28" s="364"/>
      <c r="H28" s="370"/>
      <c r="I28" s="372"/>
      <c r="J28" s="392"/>
      <c r="K28" s="372"/>
      <c r="L28" s="391"/>
      <c r="M28" s="135"/>
    </row>
    <row r="29" spans="1:13" ht="15.75" thickBot="1">
      <c r="A29" s="129"/>
      <c r="B29" s="131" t="s">
        <v>230</v>
      </c>
      <c r="C29" s="147" t="s">
        <v>252</v>
      </c>
      <c r="D29" s="130"/>
      <c r="F29" s="124"/>
      <c r="G29" s="322" t="s">
        <v>0</v>
      </c>
      <c r="H29" s="184"/>
      <c r="I29" s="184"/>
      <c r="J29" s="229"/>
      <c r="K29" s="230" t="s">
        <v>241</v>
      </c>
      <c r="L29" s="231">
        <f>SUM(L16:L28)</f>
        <v>9373.4599999999991</v>
      </c>
      <c r="M29" s="234"/>
    </row>
    <row r="30" spans="1:13" ht="15.75" thickBot="1">
      <c r="A30" s="129"/>
      <c r="B30" s="131" t="s">
        <v>231</v>
      </c>
      <c r="C30" s="23">
        <v>1</v>
      </c>
      <c r="D30" s="130"/>
      <c r="E30" s="29"/>
      <c r="F30" s="124"/>
      <c r="L30" s="200"/>
      <c r="M30" s="135"/>
    </row>
    <row r="31" spans="1:13" ht="15" customHeight="1">
      <c r="A31" s="129"/>
      <c r="B31" s="144"/>
      <c r="C31" s="29"/>
      <c r="D31" s="146"/>
      <c r="F31" s="124"/>
      <c r="G31" s="328" t="s">
        <v>399</v>
      </c>
      <c r="H31" s="329"/>
      <c r="I31" s="329"/>
      <c r="J31" s="329"/>
      <c r="K31" s="330"/>
      <c r="M31" s="135"/>
    </row>
    <row r="32" spans="1:13" ht="15" customHeight="1">
      <c r="A32" s="129"/>
      <c r="B32" s="131" t="s">
        <v>229</v>
      </c>
      <c r="C32" s="28" t="s">
        <v>93</v>
      </c>
      <c r="D32" s="130"/>
      <c r="G32" s="331"/>
      <c r="H32" s="332"/>
      <c r="I32" s="332"/>
      <c r="J32" s="332"/>
      <c r="K32" s="333"/>
      <c r="L32" s="29"/>
      <c r="M32" s="135"/>
    </row>
    <row r="33" spans="1:13" ht="15.6" customHeight="1">
      <c r="A33" s="129"/>
      <c r="B33" s="189" t="s">
        <v>246</v>
      </c>
      <c r="C33" s="28">
        <v>-12.132853000000001</v>
      </c>
      <c r="D33" s="138">
        <v>-77.029363000000004</v>
      </c>
      <c r="G33" s="331"/>
      <c r="H33" s="332"/>
      <c r="I33" s="332"/>
      <c r="J33" s="332"/>
      <c r="K33" s="333"/>
      <c r="M33" s="135"/>
    </row>
    <row r="34" spans="1:13" ht="14.45" customHeight="1" thickBot="1">
      <c r="A34" s="129"/>
      <c r="B34" s="139" t="s">
        <v>253</v>
      </c>
      <c r="C34" s="28">
        <v>-12.131663270000001</v>
      </c>
      <c r="D34" s="138">
        <v>-77.025677810000005</v>
      </c>
      <c r="G34" s="331"/>
      <c r="H34" s="332"/>
      <c r="I34" s="332"/>
      <c r="J34" s="332"/>
      <c r="K34" s="333"/>
      <c r="M34" s="135"/>
    </row>
    <row r="35" spans="1:13" s="29" customFormat="1" ht="14.45" customHeight="1">
      <c r="A35" s="144"/>
      <c r="B35" s="346" t="s">
        <v>249</v>
      </c>
      <c r="C35" s="348" t="s">
        <v>277</v>
      </c>
      <c r="D35" s="349"/>
      <c r="E35"/>
      <c r="G35" s="331"/>
      <c r="H35" s="332"/>
      <c r="I35" s="332"/>
      <c r="J35" s="332"/>
      <c r="K35" s="333"/>
      <c r="L35"/>
      <c r="M35" s="135"/>
    </row>
    <row r="36" spans="1:13" ht="24" customHeight="1" thickBot="1">
      <c r="A36" s="129"/>
      <c r="B36" s="347"/>
      <c r="C36" s="350"/>
      <c r="D36" s="351"/>
      <c r="G36" s="334"/>
      <c r="H36" s="335"/>
      <c r="I36" s="335"/>
      <c r="J36" s="335"/>
      <c r="K36" s="336"/>
      <c r="M36" s="135"/>
    </row>
    <row r="37" spans="1:13" ht="18" customHeight="1">
      <c r="A37" s="129"/>
      <c r="B37" s="52"/>
      <c r="D37"/>
      <c r="G37" s="337" t="s">
        <v>400</v>
      </c>
      <c r="H37" s="338"/>
      <c r="I37" s="338"/>
      <c r="J37" s="338"/>
      <c r="K37" s="339"/>
      <c r="M37" s="135"/>
    </row>
    <row r="38" spans="1:13" ht="18" customHeight="1">
      <c r="A38" s="129"/>
      <c r="G38" s="340"/>
      <c r="H38" s="341"/>
      <c r="I38" s="341"/>
      <c r="J38" s="341"/>
      <c r="K38" s="342"/>
      <c r="M38" s="135"/>
    </row>
    <row r="39" spans="1:13" ht="15" customHeight="1" thickBot="1">
      <c r="A39" s="129"/>
      <c r="G39" s="343"/>
      <c r="H39" s="344"/>
      <c r="I39" s="344"/>
      <c r="J39" s="344"/>
      <c r="K39" s="345"/>
      <c r="M39" s="135"/>
    </row>
    <row r="40" spans="1:13" ht="14.45" customHeight="1" thickBot="1">
      <c r="A40" s="136"/>
      <c r="B40" s="137"/>
      <c r="C40" s="137"/>
      <c r="D40" s="190"/>
      <c r="E40" s="190"/>
      <c r="F40" s="137"/>
      <c r="G40" s="137"/>
      <c r="H40" s="137"/>
      <c r="I40" s="190"/>
      <c r="J40" s="137"/>
      <c r="K40" s="137"/>
      <c r="L40" s="137"/>
      <c r="M40" s="143"/>
    </row>
    <row r="41" spans="1:13" ht="15" customHeight="1"/>
    <row r="42" spans="1:13" ht="15.6" customHeight="1"/>
    <row r="43" spans="1:13" ht="15.6" customHeight="1">
      <c r="B43" t="s">
        <v>251</v>
      </c>
    </row>
    <row r="44" spans="1:13" ht="15" customHeight="1">
      <c r="F44" s="3"/>
    </row>
    <row r="50" spans="4:10">
      <c r="D50"/>
    </row>
    <row r="51" spans="4:10">
      <c r="D51"/>
    </row>
    <row r="52" spans="4:10" hidden="1"/>
    <row r="53" spans="4:10" hidden="1">
      <c r="J53" t="s">
        <v>278</v>
      </c>
    </row>
    <row r="54" spans="4:10" hidden="1">
      <c r="J54" t="s">
        <v>279</v>
      </c>
    </row>
    <row r="55" spans="4:10" hidden="1"/>
    <row r="56" spans="4:10" hidden="1"/>
    <row r="57" spans="4:10" hidden="1"/>
  </sheetData>
  <mergeCells count="54">
    <mergeCell ref="C13:E13"/>
    <mergeCell ref="B3:E3"/>
    <mergeCell ref="G3:H3"/>
    <mergeCell ref="G7:G12"/>
    <mergeCell ref="L7:L12"/>
    <mergeCell ref="H9:H10"/>
    <mergeCell ref="I9:I10"/>
    <mergeCell ref="J9:J10"/>
    <mergeCell ref="K9:K10"/>
    <mergeCell ref="C11:E11"/>
    <mergeCell ref="C12:E12"/>
    <mergeCell ref="H7:H8"/>
    <mergeCell ref="I7:I8"/>
    <mergeCell ref="J7:J8"/>
    <mergeCell ref="K7:K8"/>
    <mergeCell ref="L22:L26"/>
    <mergeCell ref="H27:H28"/>
    <mergeCell ref="I27:I28"/>
    <mergeCell ref="J27:J28"/>
    <mergeCell ref="K27:K28"/>
    <mergeCell ref="L27:L28"/>
    <mergeCell ref="L20:L21"/>
    <mergeCell ref="C21:E21"/>
    <mergeCell ref="H18:H19"/>
    <mergeCell ref="I18:I19"/>
    <mergeCell ref="J18:J19"/>
    <mergeCell ref="K18:K19"/>
    <mergeCell ref="L18:L19"/>
    <mergeCell ref="C19:E19"/>
    <mergeCell ref="C14:E14"/>
    <mergeCell ref="I22:I26"/>
    <mergeCell ref="J22:J26"/>
    <mergeCell ref="K22:K26"/>
    <mergeCell ref="H20:H21"/>
    <mergeCell ref="I20:I21"/>
    <mergeCell ref="J20:J21"/>
    <mergeCell ref="K20:K21"/>
    <mergeCell ref="B23:E25"/>
    <mergeCell ref="L16:L17"/>
    <mergeCell ref="G31:K36"/>
    <mergeCell ref="G37:K39"/>
    <mergeCell ref="B35:B36"/>
    <mergeCell ref="C35:D36"/>
    <mergeCell ref="C16:E16"/>
    <mergeCell ref="C17:E17"/>
    <mergeCell ref="C18:E18"/>
    <mergeCell ref="C20:E20"/>
    <mergeCell ref="C22:E22"/>
    <mergeCell ref="G16:G28"/>
    <mergeCell ref="H16:H17"/>
    <mergeCell ref="I16:I17"/>
    <mergeCell ref="J16:J17"/>
    <mergeCell ref="K16:K17"/>
    <mergeCell ref="H22:H26"/>
  </mergeCells>
  <pageMargins left="0.7" right="0.7" top="0.75" bottom="0.75" header="0.3" footer="0.3"/>
  <pageSetup scale="51" fitToHeight="0"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N52"/>
  <sheetViews>
    <sheetView showGridLines="0" topLeftCell="A7" zoomScale="85" zoomScaleNormal="85" zoomScaleSheetLayoutView="69" workbookViewId="0">
      <selection activeCell="L19" sqref="L19:L20"/>
    </sheetView>
  </sheetViews>
  <sheetFormatPr baseColWidth="10" defaultRowHeight="15"/>
  <cols>
    <col min="1" max="1" width="4.140625" customWidth="1"/>
    <col min="2" max="2" width="32.7109375" customWidth="1"/>
    <col min="3" max="3" width="12.85546875" bestFit="1" customWidth="1"/>
    <col min="4" max="4" width="26.42578125" style="3" customWidth="1"/>
    <col min="5" max="5" width="17.5703125" customWidth="1"/>
    <col min="6" max="6" width="5.42578125" customWidth="1"/>
    <col min="7" max="7" width="18" customWidth="1"/>
    <col min="8" max="8" width="48.7109375" customWidth="1"/>
    <col min="9" max="9" width="5.85546875" style="3" bestFit="1" customWidth="1"/>
    <col min="10" max="10" width="17.7109375" bestFit="1" customWidth="1"/>
    <col min="11" max="11" width="11.5703125" bestFit="1" customWidth="1"/>
    <col min="12" max="12" width="15.42578125" customWidth="1"/>
    <col min="13" max="13" width="3.140625" customWidth="1"/>
  </cols>
  <sheetData>
    <row r="1" spans="1:14" ht="21.75" thickBot="1">
      <c r="A1" s="132"/>
      <c r="B1" s="140" t="s">
        <v>233</v>
      </c>
      <c r="C1" s="141"/>
      <c r="D1" s="142"/>
      <c r="E1" s="142"/>
      <c r="F1" s="141"/>
      <c r="G1" s="141"/>
      <c r="H1" s="141"/>
      <c r="I1" s="142"/>
      <c r="J1" s="142"/>
      <c r="K1" s="148"/>
      <c r="L1" s="148"/>
      <c r="M1" s="142"/>
    </row>
    <row r="2" spans="1:14">
      <c r="A2" s="132"/>
      <c r="B2" s="7"/>
      <c r="C2" s="7"/>
      <c r="D2" s="133"/>
      <c r="E2" s="133"/>
      <c r="F2" s="7"/>
      <c r="G2" s="7"/>
      <c r="H2" s="7"/>
      <c r="I2" s="133"/>
      <c r="J2" s="7"/>
      <c r="K2" s="7"/>
      <c r="L2" s="7"/>
      <c r="M2" s="134"/>
    </row>
    <row r="3" spans="1:14" ht="15.75">
      <c r="A3" s="129"/>
      <c r="B3" s="393" t="s">
        <v>261</v>
      </c>
      <c r="C3" s="393"/>
      <c r="D3" s="393"/>
      <c r="E3" s="393"/>
      <c r="F3" s="124"/>
      <c r="G3" s="394"/>
      <c r="H3" s="394"/>
      <c r="I3" s="174"/>
      <c r="M3" s="135"/>
    </row>
    <row r="4" spans="1:14" ht="15.75">
      <c r="A4" s="129"/>
      <c r="B4" s="173" t="s">
        <v>232</v>
      </c>
      <c r="C4" s="173">
        <v>1442</v>
      </c>
      <c r="D4" s="173"/>
      <c r="E4" s="173"/>
      <c r="F4" s="124"/>
      <c r="M4" s="135"/>
    </row>
    <row r="5" spans="1:14" ht="16.5" thickBot="1">
      <c r="A5" s="129"/>
      <c r="B5" s="125"/>
      <c r="C5" s="126"/>
      <c r="D5" s="174"/>
      <c r="E5" s="174"/>
      <c r="F5" s="124"/>
      <c r="M5" s="135"/>
    </row>
    <row r="6" spans="1:14" ht="36" customHeight="1">
      <c r="A6" s="129"/>
      <c r="B6" s="1" t="s">
        <v>9</v>
      </c>
      <c r="C6" s="1" t="s">
        <v>5</v>
      </c>
      <c r="D6" s="1" t="s">
        <v>4</v>
      </c>
      <c r="E6" s="1" t="s">
        <v>3</v>
      </c>
      <c r="F6" s="124"/>
      <c r="G6" s="223" t="s">
        <v>6</v>
      </c>
      <c r="H6" s="224" t="s">
        <v>239</v>
      </c>
      <c r="I6" s="224" t="s">
        <v>236</v>
      </c>
      <c r="J6" s="224" t="s">
        <v>237</v>
      </c>
      <c r="K6" s="224" t="s">
        <v>238</v>
      </c>
      <c r="L6" s="225" t="s">
        <v>240</v>
      </c>
      <c r="M6" s="135"/>
    </row>
    <row r="7" spans="1:14" ht="15" customHeight="1">
      <c r="A7" s="129"/>
      <c r="B7" s="149" t="s">
        <v>6</v>
      </c>
      <c r="C7" s="17">
        <v>1</v>
      </c>
      <c r="D7" s="226">
        <f>L13</f>
        <v>2320.37</v>
      </c>
      <c r="E7" s="226">
        <f>C7*D7</f>
        <v>2320.37</v>
      </c>
      <c r="F7" s="124"/>
      <c r="G7" s="427"/>
      <c r="H7" s="408" t="s">
        <v>255</v>
      </c>
      <c r="I7" s="419">
        <v>1</v>
      </c>
      <c r="J7" s="431">
        <f>1440</f>
        <v>1440</v>
      </c>
      <c r="K7" s="433">
        <f>J7*I7</f>
        <v>1440</v>
      </c>
      <c r="L7" s="437">
        <f>SUM(K7:K11)</f>
        <v>2320.37</v>
      </c>
      <c r="M7" s="135"/>
    </row>
    <row r="8" spans="1:14">
      <c r="A8" s="129"/>
      <c r="B8" s="149" t="s">
        <v>235</v>
      </c>
      <c r="C8" s="17">
        <v>1</v>
      </c>
      <c r="D8" s="226">
        <f>L28</f>
        <v>1262.29</v>
      </c>
      <c r="E8" s="226">
        <f>C8*D8</f>
        <v>1262.29</v>
      </c>
      <c r="F8" s="124"/>
      <c r="G8" s="428"/>
      <c r="H8" s="409"/>
      <c r="I8" s="421"/>
      <c r="J8" s="432"/>
      <c r="K8" s="434"/>
      <c r="L8" s="438"/>
      <c r="M8" s="135"/>
    </row>
    <row r="9" spans="1:14" ht="33" customHeight="1">
      <c r="A9" s="129"/>
      <c r="B9" s="4"/>
      <c r="C9" s="4"/>
      <c r="D9" s="1" t="s">
        <v>242</v>
      </c>
      <c r="E9" s="6">
        <f>SUM(E7:E8)</f>
        <v>3582.66</v>
      </c>
      <c r="F9" s="124"/>
      <c r="G9" s="428"/>
      <c r="H9" s="263" t="s">
        <v>365</v>
      </c>
      <c r="I9" s="176">
        <v>1</v>
      </c>
      <c r="J9" s="177">
        <f>225.37</f>
        <v>225.37</v>
      </c>
      <c r="K9" s="178">
        <f>J9*I9</f>
        <v>225.37</v>
      </c>
      <c r="L9" s="438"/>
      <c r="M9" s="135"/>
    </row>
    <row r="10" spans="1:14" ht="15.75" thickBot="1">
      <c r="A10" s="129"/>
      <c r="B10" s="4"/>
      <c r="C10" s="5"/>
      <c r="D10" s="5"/>
      <c r="E10" s="5"/>
      <c r="F10" s="124"/>
      <c r="G10" s="428"/>
      <c r="H10" s="262" t="s">
        <v>267</v>
      </c>
      <c r="I10" s="176">
        <v>0</v>
      </c>
      <c r="J10" s="177">
        <f>1310</f>
        <v>1310</v>
      </c>
      <c r="K10" s="178">
        <f>J10*I10</f>
        <v>0</v>
      </c>
      <c r="L10" s="438"/>
      <c r="M10" s="135"/>
    </row>
    <row r="11" spans="1:14">
      <c r="A11" s="129"/>
      <c r="B11" s="171" t="s">
        <v>243</v>
      </c>
      <c r="C11" s="446" t="s">
        <v>252</v>
      </c>
      <c r="D11" s="447"/>
      <c r="E11" s="448"/>
      <c r="F11" s="124"/>
      <c r="G11" s="428"/>
      <c r="H11" s="435" t="s">
        <v>330</v>
      </c>
      <c r="I11" s="419">
        <v>2</v>
      </c>
      <c r="J11" s="431">
        <f>327.5</f>
        <v>327.5</v>
      </c>
      <c r="K11" s="433">
        <f>J11*I11</f>
        <v>655</v>
      </c>
      <c r="L11" s="438"/>
      <c r="M11" s="135"/>
    </row>
    <row r="12" spans="1:14" s="29" customFormat="1" ht="15.75" thickBot="1">
      <c r="A12" s="144"/>
      <c r="B12" s="172" t="s">
        <v>14</v>
      </c>
      <c r="C12" s="405" t="s">
        <v>42</v>
      </c>
      <c r="D12" s="406"/>
      <c r="E12" s="449"/>
      <c r="F12" s="145"/>
      <c r="G12" s="429"/>
      <c r="H12" s="436"/>
      <c r="I12" s="421"/>
      <c r="J12" s="432"/>
      <c r="K12" s="434"/>
      <c r="L12" s="439"/>
      <c r="M12" s="135"/>
      <c r="N12"/>
    </row>
    <row r="13" spans="1:14" s="29" customFormat="1" ht="15" customHeight="1" thickBot="1">
      <c r="A13" s="144"/>
      <c r="B13" s="172" t="s">
        <v>247</v>
      </c>
      <c r="C13" s="352" t="s">
        <v>256</v>
      </c>
      <c r="D13" s="353"/>
      <c r="E13" s="440"/>
      <c r="F13" s="145"/>
      <c r="G13" s="183" t="s">
        <v>1</v>
      </c>
      <c r="H13" s="184"/>
      <c r="I13" s="184"/>
      <c r="J13" s="185"/>
      <c r="K13" s="186" t="s">
        <v>241</v>
      </c>
      <c r="L13" s="187">
        <f>SUM(L7)</f>
        <v>2320.37</v>
      </c>
      <c r="M13" s="165"/>
    </row>
    <row r="14" spans="1:14">
      <c r="A14" s="129"/>
      <c r="B14" s="172" t="s">
        <v>254</v>
      </c>
      <c r="C14" s="352">
        <v>1</v>
      </c>
      <c r="D14" s="353"/>
      <c r="E14" s="440"/>
      <c r="F14" s="124"/>
      <c r="M14" s="135"/>
    </row>
    <row r="15" spans="1:14" ht="15.75" thickBot="1">
      <c r="A15" s="129"/>
      <c r="B15" s="172" t="s">
        <v>234</v>
      </c>
      <c r="C15" s="352" t="s">
        <v>257</v>
      </c>
      <c r="D15" s="353"/>
      <c r="E15" s="440"/>
      <c r="F15" s="124"/>
      <c r="M15" s="135"/>
    </row>
    <row r="16" spans="1:14" s="188" customFormat="1" ht="39" customHeight="1">
      <c r="A16" s="205"/>
      <c r="B16" s="228" t="s">
        <v>16</v>
      </c>
      <c r="C16" s="355">
        <v>230</v>
      </c>
      <c r="D16" s="356"/>
      <c r="E16" s="445"/>
      <c r="F16" s="206"/>
      <c r="G16" s="223" t="s">
        <v>235</v>
      </c>
      <c r="H16" s="224" t="s">
        <v>239</v>
      </c>
      <c r="I16" s="224" t="s">
        <v>236</v>
      </c>
      <c r="J16" s="224" t="s">
        <v>237</v>
      </c>
      <c r="K16" s="224" t="s">
        <v>238</v>
      </c>
      <c r="L16" s="225" t="s">
        <v>240</v>
      </c>
      <c r="M16" s="146"/>
    </row>
    <row r="17" spans="1:13" ht="14.45" customHeight="1">
      <c r="A17" s="129"/>
      <c r="B17" s="172" t="s">
        <v>11</v>
      </c>
      <c r="C17" s="352" t="s">
        <v>326</v>
      </c>
      <c r="D17" s="353"/>
      <c r="E17" s="440"/>
      <c r="F17" s="124"/>
      <c r="G17" s="323"/>
      <c r="H17" s="365" t="s">
        <v>412</v>
      </c>
      <c r="I17" s="327">
        <v>1</v>
      </c>
      <c r="J17" s="327">
        <v>428.17</v>
      </c>
      <c r="K17" s="327">
        <f>I17*J17</f>
        <v>428.17</v>
      </c>
      <c r="L17" s="327">
        <f>K17</f>
        <v>428.17</v>
      </c>
      <c r="M17" s="135"/>
    </row>
    <row r="18" spans="1:13">
      <c r="A18" s="129"/>
      <c r="B18" s="172" t="s">
        <v>245</v>
      </c>
      <c r="C18" s="352">
        <v>1</v>
      </c>
      <c r="D18" s="353"/>
      <c r="E18" s="440"/>
      <c r="F18" s="124"/>
      <c r="G18" s="324"/>
      <c r="H18" s="366"/>
      <c r="I18" s="327"/>
      <c r="J18" s="327"/>
      <c r="K18" s="327"/>
      <c r="L18" s="327"/>
      <c r="M18" s="135"/>
    </row>
    <row r="19" spans="1:13" ht="16.5" customHeight="1">
      <c r="A19" s="129"/>
      <c r="B19" s="172" t="s">
        <v>15</v>
      </c>
      <c r="C19" s="358" t="s">
        <v>259</v>
      </c>
      <c r="D19" s="359"/>
      <c r="E19" s="444"/>
      <c r="F19" s="124"/>
      <c r="G19" s="324"/>
      <c r="H19" s="369" t="s">
        <v>286</v>
      </c>
      <c r="I19" s="327">
        <v>1</v>
      </c>
      <c r="J19" s="327">
        <v>434.12</v>
      </c>
      <c r="K19" s="327">
        <f>I19*J19</f>
        <v>434.12</v>
      </c>
      <c r="L19" s="327">
        <f>K19</f>
        <v>434.12</v>
      </c>
      <c r="M19" s="135"/>
    </row>
    <row r="20" spans="1:13" ht="16.5" customHeight="1">
      <c r="A20" s="129"/>
      <c r="B20" s="172" t="s">
        <v>8</v>
      </c>
      <c r="C20" s="352" t="s">
        <v>244</v>
      </c>
      <c r="D20" s="353"/>
      <c r="E20" s="440"/>
      <c r="F20" s="124"/>
      <c r="G20" s="324"/>
      <c r="H20" s="371"/>
      <c r="I20" s="327"/>
      <c r="J20" s="327"/>
      <c r="K20" s="327"/>
      <c r="L20" s="327"/>
      <c r="M20" s="135"/>
    </row>
    <row r="21" spans="1:13" ht="16.5" customHeight="1" thickBot="1">
      <c r="A21" s="129"/>
      <c r="B21" s="326" t="s">
        <v>10</v>
      </c>
      <c r="C21" s="441" t="s">
        <v>258</v>
      </c>
      <c r="D21" s="442"/>
      <c r="E21" s="443"/>
      <c r="F21" s="124"/>
      <c r="G21" s="324"/>
      <c r="H21" s="369" t="s">
        <v>413</v>
      </c>
      <c r="I21" s="419">
        <v>1</v>
      </c>
      <c r="J21" s="422">
        <v>400</v>
      </c>
      <c r="K21" s="422">
        <v>400</v>
      </c>
      <c r="L21" s="422">
        <v>400</v>
      </c>
      <c r="M21" s="135"/>
    </row>
    <row r="22" spans="1:13" ht="16.5" customHeight="1">
      <c r="A22" s="129"/>
      <c r="B22" s="380" t="s">
        <v>414</v>
      </c>
      <c r="C22" s="381"/>
      <c r="D22" s="381"/>
      <c r="E22" s="382"/>
      <c r="F22" s="124"/>
      <c r="G22" s="324"/>
      <c r="H22" s="370"/>
      <c r="I22" s="420"/>
      <c r="J22" s="423"/>
      <c r="K22" s="423"/>
      <c r="L22" s="423"/>
      <c r="M22" s="135"/>
    </row>
    <row r="23" spans="1:13" ht="16.5" customHeight="1">
      <c r="A23" s="129"/>
      <c r="B23" s="383"/>
      <c r="C23" s="384"/>
      <c r="D23" s="384"/>
      <c r="E23" s="385"/>
      <c r="F23" s="124"/>
      <c r="G23" s="324"/>
      <c r="H23" s="370"/>
      <c r="I23" s="420"/>
      <c r="J23" s="423"/>
      <c r="K23" s="423"/>
      <c r="L23" s="423"/>
      <c r="M23" s="135"/>
    </row>
    <row r="24" spans="1:13" ht="16.5" customHeight="1" thickBot="1">
      <c r="A24" s="129"/>
      <c r="B24" s="386"/>
      <c r="C24" s="387"/>
      <c r="D24" s="387"/>
      <c r="E24" s="388"/>
      <c r="F24" s="124"/>
      <c r="G24" s="324"/>
      <c r="H24" s="370"/>
      <c r="I24" s="420"/>
      <c r="J24" s="423"/>
      <c r="K24" s="423"/>
      <c r="L24" s="423"/>
      <c r="M24" s="135"/>
    </row>
    <row r="25" spans="1:13" ht="16.5" customHeight="1" thickBot="1">
      <c r="A25" s="129"/>
      <c r="F25" s="124"/>
      <c r="G25" s="324"/>
      <c r="H25" s="371"/>
      <c r="I25" s="421"/>
      <c r="J25" s="424"/>
      <c r="K25" s="424"/>
      <c r="L25" s="424"/>
      <c r="M25" s="135"/>
    </row>
    <row r="26" spans="1:13" ht="16.5" customHeight="1">
      <c r="A26" s="129"/>
      <c r="B26" s="127" t="s">
        <v>75</v>
      </c>
      <c r="C26" s="7"/>
      <c r="D26" s="128"/>
      <c r="F26" s="124"/>
      <c r="G26" s="324"/>
      <c r="H26" s="369" t="s">
        <v>250</v>
      </c>
      <c r="I26" s="419">
        <v>0</v>
      </c>
      <c r="J26" s="417">
        <v>0</v>
      </c>
      <c r="K26" s="417">
        <f>J26*I26</f>
        <v>0</v>
      </c>
      <c r="L26" s="417">
        <f>K26*J26</f>
        <v>0</v>
      </c>
      <c r="M26" s="135"/>
    </row>
    <row r="27" spans="1:13" ht="15.75" customHeight="1" thickBot="1">
      <c r="A27" s="129"/>
      <c r="B27" s="129"/>
      <c r="D27" s="130"/>
      <c r="F27" s="124"/>
      <c r="G27" s="325"/>
      <c r="H27" s="370"/>
      <c r="I27" s="430"/>
      <c r="J27" s="418"/>
      <c r="K27" s="418"/>
      <c r="L27" s="418"/>
      <c r="M27" s="135"/>
    </row>
    <row r="28" spans="1:13" ht="15" customHeight="1" thickBot="1">
      <c r="A28" s="129"/>
      <c r="B28" s="131" t="s">
        <v>230</v>
      </c>
      <c r="C28" s="147" t="s">
        <v>252</v>
      </c>
      <c r="D28" s="130"/>
      <c r="F28" s="124"/>
      <c r="G28" s="183" t="s">
        <v>0</v>
      </c>
      <c r="H28" s="184"/>
      <c r="I28" s="184"/>
      <c r="J28" s="185"/>
      <c r="K28" s="186" t="s">
        <v>241</v>
      </c>
      <c r="L28" s="187">
        <f>SUM(L17:L27)</f>
        <v>1262.29</v>
      </c>
      <c r="M28" s="135"/>
    </row>
    <row r="29" spans="1:13" ht="15" customHeight="1" thickBot="1">
      <c r="A29" s="129"/>
      <c r="B29" s="131" t="s">
        <v>231</v>
      </c>
      <c r="C29" s="23">
        <v>1</v>
      </c>
      <c r="D29" s="130"/>
      <c r="E29" s="29"/>
      <c r="F29" s="124"/>
      <c r="G29" s="170"/>
      <c r="M29" s="135"/>
    </row>
    <row r="30" spans="1:13" ht="15" customHeight="1">
      <c r="A30" s="129"/>
      <c r="B30" s="144"/>
      <c r="C30" s="29"/>
      <c r="D30" s="146"/>
      <c r="F30" s="124"/>
      <c r="G30" s="328" t="s">
        <v>327</v>
      </c>
      <c r="H30" s="329"/>
      <c r="I30" s="329"/>
      <c r="J30" s="329"/>
      <c r="K30" s="330"/>
      <c r="M30" s="135"/>
    </row>
    <row r="31" spans="1:13" ht="15.75" customHeight="1">
      <c r="A31" s="129"/>
      <c r="B31" s="131" t="s">
        <v>229</v>
      </c>
      <c r="C31" s="28" t="s">
        <v>93</v>
      </c>
      <c r="D31" s="130"/>
      <c r="G31" s="331"/>
      <c r="H31" s="332"/>
      <c r="I31" s="332"/>
      <c r="J31" s="332"/>
      <c r="K31" s="333"/>
      <c r="M31" s="135"/>
    </row>
    <row r="32" spans="1:13" ht="15.6" customHeight="1">
      <c r="A32" s="129"/>
      <c r="B32" s="166" t="s">
        <v>246</v>
      </c>
      <c r="C32" s="167">
        <v>-12.101113</v>
      </c>
      <c r="D32" s="168">
        <v>-77.019264000000007</v>
      </c>
      <c r="G32" s="331"/>
      <c r="H32" s="332"/>
      <c r="I32" s="332"/>
      <c r="J32" s="332"/>
      <c r="K32" s="333"/>
      <c r="M32" s="135"/>
    </row>
    <row r="33" spans="1:13" ht="14.45" customHeight="1" thickBot="1">
      <c r="A33" s="129"/>
      <c r="B33" s="139" t="s">
        <v>253</v>
      </c>
      <c r="C33" s="28">
        <v>-12.09944005</v>
      </c>
      <c r="D33" s="138">
        <v>-77.020107999999993</v>
      </c>
      <c r="G33" s="331"/>
      <c r="H33" s="332"/>
      <c r="I33" s="332"/>
      <c r="J33" s="332"/>
      <c r="K33" s="333"/>
      <c r="M33" s="135"/>
    </row>
    <row r="34" spans="1:13" ht="24" customHeight="1">
      <c r="A34" s="129"/>
      <c r="B34" s="346" t="s">
        <v>249</v>
      </c>
      <c r="C34" s="425" t="s">
        <v>260</v>
      </c>
      <c r="D34" s="349"/>
      <c r="G34" s="331"/>
      <c r="H34" s="332"/>
      <c r="I34" s="332"/>
      <c r="J34" s="332"/>
      <c r="K34" s="333"/>
      <c r="M34" s="135"/>
    </row>
    <row r="35" spans="1:13" ht="18" customHeight="1" thickBot="1">
      <c r="A35" s="129"/>
      <c r="B35" s="347"/>
      <c r="C35" s="426"/>
      <c r="D35" s="351"/>
      <c r="G35" s="331"/>
      <c r="H35" s="332"/>
      <c r="I35" s="332"/>
      <c r="J35" s="332"/>
      <c r="K35" s="333"/>
      <c r="M35" s="135"/>
    </row>
    <row r="36" spans="1:13" ht="18" customHeight="1" thickBot="1">
      <c r="A36" s="136"/>
      <c r="B36" s="169"/>
      <c r="C36" s="137"/>
      <c r="D36" s="137"/>
      <c r="E36" s="137"/>
      <c r="F36" s="137"/>
      <c r="G36" s="334"/>
      <c r="H36" s="335"/>
      <c r="I36" s="335"/>
      <c r="J36" s="335"/>
      <c r="K36" s="336"/>
      <c r="L36" s="137"/>
      <c r="M36" s="143"/>
    </row>
    <row r="37" spans="1:13" ht="15" customHeight="1">
      <c r="A37" t="s">
        <v>251</v>
      </c>
      <c r="C37" s="3"/>
      <c r="D37"/>
      <c r="I37"/>
    </row>
    <row r="38" spans="1:13" ht="14.45" customHeight="1">
      <c r="E38" s="3"/>
      <c r="G38" s="3"/>
      <c r="H38" s="3"/>
      <c r="J38" s="3"/>
      <c r="K38" s="3"/>
    </row>
    <row r="39" spans="1:13" ht="15" customHeight="1">
      <c r="F39" s="3"/>
      <c r="G39" s="3"/>
      <c r="H39" s="3"/>
      <c r="J39" s="3"/>
      <c r="K39" s="3"/>
    </row>
    <row r="40" spans="1:13">
      <c r="I40"/>
    </row>
    <row r="41" spans="1:13">
      <c r="I41"/>
    </row>
    <row r="42" spans="1:13">
      <c r="I42"/>
    </row>
    <row r="43" spans="1:13">
      <c r="I43"/>
    </row>
    <row r="44" spans="1:13">
      <c r="I44"/>
    </row>
    <row r="46" spans="1:13">
      <c r="D46"/>
    </row>
    <row r="47" spans="1:13" ht="14.45" hidden="1" customHeight="1">
      <c r="D47"/>
    </row>
    <row r="48" spans="1:13" ht="14.45" hidden="1" customHeight="1"/>
    <row r="49" ht="14.45" hidden="1" customHeight="1"/>
    <row r="50" ht="14.45" hidden="1" customHeight="1"/>
    <row r="51" ht="14.45" hidden="1" customHeight="1"/>
    <row r="52" ht="14.45" hidden="1" customHeight="1"/>
  </sheetData>
  <mergeCells count="47">
    <mergeCell ref="L7:L12"/>
    <mergeCell ref="B3:E3"/>
    <mergeCell ref="G3:H3"/>
    <mergeCell ref="C20:E20"/>
    <mergeCell ref="C21:E21"/>
    <mergeCell ref="C19:E19"/>
    <mergeCell ref="C15:E15"/>
    <mergeCell ref="C16:E16"/>
    <mergeCell ref="C17:E17"/>
    <mergeCell ref="C18:E18"/>
    <mergeCell ref="C14:E14"/>
    <mergeCell ref="C11:E11"/>
    <mergeCell ref="C12:E12"/>
    <mergeCell ref="C13:E13"/>
    <mergeCell ref="H7:H8"/>
    <mergeCell ref="I19:I20"/>
    <mergeCell ref="G30:K36"/>
    <mergeCell ref="B34:B35"/>
    <mergeCell ref="C34:D35"/>
    <mergeCell ref="G7:G12"/>
    <mergeCell ref="H26:H27"/>
    <mergeCell ref="I26:I27"/>
    <mergeCell ref="J26:J27"/>
    <mergeCell ref="I7:I8"/>
    <mergeCell ref="J7:J8"/>
    <mergeCell ref="K7:K8"/>
    <mergeCell ref="H11:H12"/>
    <mergeCell ref="I11:I12"/>
    <mergeCell ref="J11:J12"/>
    <mergeCell ref="K11:K12"/>
    <mergeCell ref="H19:H20"/>
    <mergeCell ref="J19:J20"/>
    <mergeCell ref="B22:E24"/>
    <mergeCell ref="K19:K20"/>
    <mergeCell ref="H17:H18"/>
    <mergeCell ref="L26:L27"/>
    <mergeCell ref="L19:L20"/>
    <mergeCell ref="I17:I18"/>
    <mergeCell ref="J17:J18"/>
    <mergeCell ref="K17:K18"/>
    <mergeCell ref="L17:L18"/>
    <mergeCell ref="K26:K27"/>
    <mergeCell ref="H21:H25"/>
    <mergeCell ref="I21:I25"/>
    <mergeCell ref="J21:J25"/>
    <mergeCell ref="K21:K25"/>
    <mergeCell ref="L21:L25"/>
  </mergeCells>
  <pageMargins left="0.7" right="0.7" top="0.75" bottom="0.75" header="0.3" footer="0.3"/>
  <pageSetup scale="51" fitToHeight="0"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8"/>
  <sheetViews>
    <sheetView workbookViewId="0">
      <selection activeCell="H8" sqref="H8"/>
    </sheetView>
  </sheetViews>
  <sheetFormatPr baseColWidth="10" defaultRowHeight="15"/>
  <cols>
    <col min="2" max="2" width="46.85546875" customWidth="1"/>
    <col min="3" max="3" width="8.85546875" bestFit="1" customWidth="1"/>
    <col min="4" max="4" width="17" customWidth="1"/>
    <col min="5" max="5" width="13.28515625" customWidth="1"/>
  </cols>
  <sheetData>
    <row r="1" spans="1:11">
      <c r="A1" s="52"/>
      <c r="B1" s="52"/>
      <c r="C1" s="52"/>
      <c r="D1" s="52"/>
      <c r="E1" s="52"/>
      <c r="F1" s="52"/>
      <c r="G1" s="52"/>
      <c r="H1" s="52"/>
      <c r="I1" s="52"/>
      <c r="J1" s="52"/>
      <c r="K1" s="52"/>
    </row>
    <row r="2" spans="1:11">
      <c r="A2" s="52"/>
      <c r="B2" s="204" t="s">
        <v>284</v>
      </c>
      <c r="C2" s="52"/>
      <c r="D2" s="175" t="s">
        <v>272</v>
      </c>
      <c r="E2" s="245" t="s">
        <v>401</v>
      </c>
      <c r="F2" s="246"/>
      <c r="G2" s="246"/>
      <c r="H2" s="52"/>
      <c r="I2" s="52"/>
      <c r="J2" s="52"/>
      <c r="K2" s="52"/>
    </row>
    <row r="3" spans="1:11">
      <c r="A3" s="52"/>
      <c r="B3" s="315"/>
      <c r="C3" s="52"/>
      <c r="D3" s="264" t="s">
        <v>285</v>
      </c>
      <c r="E3" s="52"/>
      <c r="F3" s="52"/>
      <c r="G3" s="52"/>
      <c r="H3" s="52"/>
      <c r="I3" s="52"/>
      <c r="J3" s="52"/>
      <c r="K3" s="52"/>
    </row>
    <row r="4" spans="1:11" ht="15.75" thickBot="1">
      <c r="A4" s="52"/>
      <c r="B4" s="191" t="s">
        <v>29</v>
      </c>
      <c r="C4" s="191" t="s">
        <v>5</v>
      </c>
      <c r="D4" s="191" t="s">
        <v>262</v>
      </c>
      <c r="E4" s="52"/>
      <c r="F4" s="52"/>
      <c r="G4" s="52"/>
      <c r="H4" s="52"/>
      <c r="I4" s="52"/>
      <c r="J4" s="52"/>
      <c r="K4" s="52"/>
    </row>
    <row r="5" spans="1:11" ht="38.25">
      <c r="A5" s="450" t="s">
        <v>282</v>
      </c>
      <c r="B5" s="192" t="s">
        <v>263</v>
      </c>
      <c r="C5" s="193">
        <v>1</v>
      </c>
      <c r="D5" s="197">
        <v>1440</v>
      </c>
      <c r="E5" s="316" t="s">
        <v>332</v>
      </c>
      <c r="F5" s="280">
        <v>2600</v>
      </c>
      <c r="G5" s="52"/>
      <c r="H5" s="52"/>
      <c r="I5" s="52"/>
      <c r="J5" s="52"/>
      <c r="K5" s="52"/>
    </row>
    <row r="6" spans="1:11" ht="15.75" thickBot="1">
      <c r="A6" s="451"/>
      <c r="B6" s="194" t="s">
        <v>264</v>
      </c>
      <c r="C6" s="195">
        <v>1</v>
      </c>
      <c r="D6" s="198">
        <v>225.37</v>
      </c>
      <c r="E6" s="52"/>
      <c r="F6" s="52"/>
      <c r="G6" s="52"/>
      <c r="H6" s="52"/>
      <c r="I6" s="52"/>
      <c r="J6" s="52"/>
      <c r="K6" s="52"/>
    </row>
    <row r="7" spans="1:11">
      <c r="A7" s="454" t="s">
        <v>283</v>
      </c>
      <c r="B7" s="300" t="s">
        <v>361</v>
      </c>
      <c r="C7" s="301">
        <v>1</v>
      </c>
      <c r="D7" s="302">
        <v>3319.3</v>
      </c>
      <c r="E7" s="273" t="s">
        <v>332</v>
      </c>
      <c r="F7" s="273" t="s">
        <v>333</v>
      </c>
      <c r="G7" s="52"/>
      <c r="H7" s="52"/>
      <c r="I7" s="52"/>
      <c r="J7" s="52"/>
      <c r="K7" s="52"/>
    </row>
    <row r="8" spans="1:11" ht="15.75" thickBot="1">
      <c r="A8" s="455"/>
      <c r="B8" s="303" t="s">
        <v>266</v>
      </c>
      <c r="C8" s="304">
        <v>1</v>
      </c>
      <c r="D8" s="305">
        <v>225.37</v>
      </c>
      <c r="E8" s="52"/>
      <c r="F8" s="52"/>
      <c r="G8" s="52"/>
      <c r="H8" s="52"/>
      <c r="I8" s="52"/>
      <c r="J8" s="52"/>
      <c r="K8" s="52"/>
    </row>
    <row r="9" spans="1:11">
      <c r="A9" s="452" t="s">
        <v>283</v>
      </c>
      <c r="B9" s="309" t="s">
        <v>265</v>
      </c>
      <c r="C9" s="310">
        <v>1</v>
      </c>
      <c r="D9" s="311">
        <v>4290.5600000000004</v>
      </c>
      <c r="E9" s="273" t="s">
        <v>331</v>
      </c>
      <c r="F9" s="273" t="s">
        <v>358</v>
      </c>
      <c r="G9" s="52"/>
      <c r="H9" s="52"/>
      <c r="I9" s="52"/>
      <c r="J9" s="52"/>
      <c r="K9" s="52"/>
    </row>
    <row r="10" spans="1:11" ht="15.75" thickBot="1">
      <c r="A10" s="453"/>
      <c r="B10" s="312" t="s">
        <v>266</v>
      </c>
      <c r="C10" s="313">
        <v>1</v>
      </c>
      <c r="D10" s="314">
        <v>225.37</v>
      </c>
      <c r="E10" s="52"/>
      <c r="F10" s="52"/>
      <c r="G10" s="52"/>
      <c r="H10" s="52"/>
      <c r="I10" s="52"/>
      <c r="J10" s="52"/>
      <c r="K10" s="52"/>
    </row>
    <row r="11" spans="1:11">
      <c r="A11" s="52"/>
      <c r="B11" s="196" t="s">
        <v>267</v>
      </c>
      <c r="C11" s="193">
        <v>1</v>
      </c>
      <c r="D11" s="197">
        <v>1310</v>
      </c>
      <c r="E11" s="52"/>
      <c r="F11" s="52"/>
      <c r="G11" s="52"/>
      <c r="H11" s="52"/>
      <c r="I11" s="52"/>
      <c r="J11" s="52"/>
      <c r="K11" s="52"/>
    </row>
    <row r="12" spans="1:11" ht="15.75" thickBot="1">
      <c r="A12" s="52"/>
      <c r="B12" s="194" t="s">
        <v>268</v>
      </c>
      <c r="C12" s="195">
        <v>1</v>
      </c>
      <c r="D12" s="198">
        <v>1310</v>
      </c>
      <c r="E12" s="52"/>
      <c r="F12" s="52"/>
      <c r="G12" s="52"/>
      <c r="H12" s="52"/>
      <c r="I12" s="52"/>
      <c r="J12" s="52"/>
      <c r="K12" s="52"/>
    </row>
    <row r="13" spans="1:11" ht="15.75" thickBot="1">
      <c r="A13" s="52"/>
      <c r="B13" s="258" t="s">
        <v>330</v>
      </c>
      <c r="C13" s="259">
        <v>1</v>
      </c>
      <c r="D13" s="260">
        <v>327.5</v>
      </c>
      <c r="E13" s="273" t="s">
        <v>356</v>
      </c>
      <c r="F13" s="52"/>
      <c r="G13" s="52"/>
      <c r="H13" s="52"/>
      <c r="I13" s="52"/>
      <c r="J13" s="52"/>
      <c r="K13" s="52"/>
    </row>
    <row r="14" spans="1:11">
      <c r="A14" s="52"/>
      <c r="B14" s="317"/>
      <c r="C14" s="317"/>
      <c r="D14" s="317"/>
      <c r="E14" s="52"/>
      <c r="F14" s="52"/>
      <c r="G14" s="52"/>
      <c r="H14" s="52"/>
      <c r="I14" s="52"/>
      <c r="J14" s="52"/>
      <c r="K14" s="52"/>
    </row>
    <row r="15" spans="1:11">
      <c r="A15" s="52"/>
      <c r="B15" s="318" t="s">
        <v>269</v>
      </c>
      <c r="C15" s="317"/>
      <c r="D15" s="317"/>
      <c r="E15" s="52"/>
      <c r="F15" s="52"/>
      <c r="G15" s="52"/>
      <c r="H15" s="52"/>
      <c r="I15" s="52"/>
      <c r="J15" s="52"/>
      <c r="K15" s="52"/>
    </row>
    <row r="16" spans="1:11">
      <c r="A16" s="52"/>
      <c r="B16" s="318" t="s">
        <v>270</v>
      </c>
      <c r="C16" s="317"/>
      <c r="D16" s="317"/>
      <c r="E16" s="52"/>
      <c r="F16" s="52"/>
      <c r="G16" s="52"/>
      <c r="H16" s="52"/>
      <c r="I16" s="52"/>
      <c r="J16" s="52"/>
      <c r="K16" s="52"/>
    </row>
    <row r="17" spans="1:11">
      <c r="A17" s="52"/>
      <c r="B17" s="318" t="s">
        <v>271</v>
      </c>
      <c r="C17" s="317"/>
      <c r="D17" s="317"/>
      <c r="E17" s="52"/>
      <c r="F17" s="52"/>
      <c r="G17" s="52"/>
      <c r="H17" s="52"/>
      <c r="I17" s="52"/>
      <c r="J17" s="52"/>
      <c r="K17" s="52"/>
    </row>
    <row r="18" spans="1:11">
      <c r="A18" s="52"/>
      <c r="B18" s="52"/>
      <c r="C18" s="52"/>
      <c r="D18" s="52"/>
      <c r="E18" s="52"/>
      <c r="F18" s="52"/>
      <c r="G18" s="52"/>
      <c r="H18" s="52"/>
      <c r="I18" s="52"/>
      <c r="J18" s="52"/>
      <c r="K18" s="52"/>
    </row>
  </sheetData>
  <mergeCells count="3">
    <mergeCell ref="A5:A6"/>
    <mergeCell ref="A9:A10"/>
    <mergeCell ref="A7:A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9"/>
  <sheetViews>
    <sheetView zoomScale="90" zoomScaleNormal="90" workbookViewId="0">
      <selection activeCell="J12" sqref="J12"/>
    </sheetView>
  </sheetViews>
  <sheetFormatPr baseColWidth="10" defaultRowHeight="15"/>
  <cols>
    <col min="1" max="1" width="12.42578125" style="3" bestFit="1" customWidth="1"/>
    <col min="2" max="5" width="11.42578125" style="3"/>
    <col min="9" max="9" width="12.5703125" customWidth="1"/>
    <col min="10" max="10" width="13.140625" customWidth="1"/>
    <col min="12" max="12" width="14.28515625" customWidth="1"/>
  </cols>
  <sheetData>
    <row r="1" spans="1:13" ht="15.75" thickBot="1"/>
    <row r="2" spans="1:13">
      <c r="H2" s="132"/>
      <c r="I2" s="7"/>
      <c r="J2" s="7"/>
      <c r="K2" s="7"/>
      <c r="L2" s="7"/>
      <c r="M2" s="134"/>
    </row>
    <row r="3" spans="1:13">
      <c r="H3" s="129"/>
      <c r="I3" s="201" t="s">
        <v>347</v>
      </c>
      <c r="M3" s="135"/>
    </row>
    <row r="4" spans="1:13">
      <c r="A4" s="235" t="s">
        <v>283</v>
      </c>
      <c r="B4" s="235" t="s">
        <v>334</v>
      </c>
      <c r="C4" s="235" t="s">
        <v>335</v>
      </c>
      <c r="D4" s="235" t="s">
        <v>336</v>
      </c>
      <c r="E4" s="235" t="s">
        <v>337</v>
      </c>
      <c r="H4" s="129"/>
      <c r="M4" s="135"/>
    </row>
    <row r="5" spans="1:13">
      <c r="A5" s="3" t="s">
        <v>338</v>
      </c>
      <c r="B5" s="3">
        <v>15</v>
      </c>
      <c r="C5" s="3">
        <v>4</v>
      </c>
      <c r="D5" s="3">
        <v>1</v>
      </c>
      <c r="E5" s="3">
        <f>B5*C5*D5</f>
        <v>60</v>
      </c>
      <c r="H5" s="129"/>
      <c r="J5" s="235" t="s">
        <v>336</v>
      </c>
      <c r="K5" s="235" t="s">
        <v>337</v>
      </c>
      <c r="M5" s="135"/>
    </row>
    <row r="6" spans="1:13" ht="15.75" thickBot="1">
      <c r="A6" s="3" t="s">
        <v>339</v>
      </c>
      <c r="B6" s="3">
        <v>15</v>
      </c>
      <c r="C6" s="3">
        <v>4</v>
      </c>
      <c r="D6" s="3">
        <v>2</v>
      </c>
      <c r="E6" s="3">
        <f>B6*C6*D6</f>
        <v>120</v>
      </c>
      <c r="H6" s="129"/>
      <c r="I6" s="202" t="s">
        <v>342</v>
      </c>
      <c r="J6" s="202">
        <v>12</v>
      </c>
      <c r="K6" s="202">
        <v>240</v>
      </c>
      <c r="M6" s="135"/>
    </row>
    <row r="7" spans="1:13" ht="15.75" thickBot="1">
      <c r="D7" s="237">
        <f>SUM(D5:D6)</f>
        <v>3</v>
      </c>
      <c r="E7" s="236">
        <f>SUM(E5:E6)</f>
        <v>180</v>
      </c>
      <c r="H7" s="136"/>
      <c r="I7" s="137"/>
      <c r="J7" s="137"/>
      <c r="K7" s="137"/>
      <c r="L7" s="137"/>
      <c r="M7" s="143"/>
    </row>
    <row r="10" spans="1:13">
      <c r="I10" s="201" t="s">
        <v>348</v>
      </c>
    </row>
    <row r="11" spans="1:13">
      <c r="A11" s="235" t="s">
        <v>340</v>
      </c>
      <c r="B11" s="235" t="s">
        <v>334</v>
      </c>
      <c r="C11" s="235" t="s">
        <v>335</v>
      </c>
      <c r="D11" s="235" t="s">
        <v>336</v>
      </c>
      <c r="E11" s="235" t="s">
        <v>337</v>
      </c>
    </row>
    <row r="12" spans="1:13">
      <c r="A12" s="3" t="s">
        <v>339</v>
      </c>
      <c r="B12" s="3">
        <v>15</v>
      </c>
      <c r="C12" s="3">
        <v>4</v>
      </c>
      <c r="D12" s="3">
        <v>2</v>
      </c>
      <c r="E12" s="3">
        <f>B12*C12*D12</f>
        <v>120</v>
      </c>
      <c r="I12" s="235" t="s">
        <v>336</v>
      </c>
      <c r="J12" s="202">
        <v>12</v>
      </c>
    </row>
    <row r="13" spans="1:13">
      <c r="F13" s="3"/>
      <c r="I13" s="235" t="s">
        <v>335</v>
      </c>
      <c r="J13" s="202">
        <v>4</v>
      </c>
    </row>
    <row r="14" spans="1:13" ht="15.75" thickBot="1">
      <c r="I14" s="235" t="s">
        <v>334</v>
      </c>
      <c r="J14" s="202">
        <v>15</v>
      </c>
    </row>
    <row r="15" spans="1:13" ht="15.75" thickBot="1">
      <c r="I15" s="240" t="s">
        <v>337</v>
      </c>
      <c r="J15" s="251">
        <f>J12*J13*J14</f>
        <v>720</v>
      </c>
    </row>
    <row r="16" spans="1:13">
      <c r="B16" s="235" t="s">
        <v>341</v>
      </c>
      <c r="C16" s="235" t="s">
        <v>336</v>
      </c>
    </row>
    <row r="17" spans="1:17">
      <c r="B17" s="202" t="s">
        <v>342</v>
      </c>
      <c r="C17" s="202" t="s">
        <v>343</v>
      </c>
      <c r="D17" s="238" t="s">
        <v>345</v>
      </c>
      <c r="I17" s="243" t="s">
        <v>349</v>
      </c>
      <c r="J17" s="202">
        <v>240</v>
      </c>
      <c r="K17" s="201" t="s">
        <v>350</v>
      </c>
    </row>
    <row r="18" spans="1:17">
      <c r="B18" s="202" t="s">
        <v>342</v>
      </c>
      <c r="C18" s="202" t="s">
        <v>344</v>
      </c>
      <c r="D18" s="238" t="s">
        <v>345</v>
      </c>
    </row>
    <row r="19" spans="1:17">
      <c r="B19" s="257" t="s">
        <v>346</v>
      </c>
      <c r="C19" s="204"/>
      <c r="D19" s="239"/>
      <c r="I19" s="241" t="s">
        <v>351</v>
      </c>
      <c r="J19" s="241">
        <f>J15-J17</f>
        <v>480</v>
      </c>
      <c r="K19" s="250" t="s">
        <v>352</v>
      </c>
      <c r="L19" s="242"/>
      <c r="M19" s="242"/>
    </row>
    <row r="20" spans="1:17">
      <c r="J20" s="202">
        <f>J19/J17</f>
        <v>2</v>
      </c>
      <c r="K20" s="201" t="s">
        <v>362</v>
      </c>
    </row>
    <row r="21" spans="1:17">
      <c r="B21" s="252" t="s">
        <v>268</v>
      </c>
      <c r="C21" s="42"/>
      <c r="D21" s="42"/>
      <c r="E21" s="42"/>
      <c r="K21" s="252" t="s">
        <v>268</v>
      </c>
      <c r="L21" s="42"/>
      <c r="M21" s="42"/>
      <c r="N21" s="42"/>
    </row>
    <row r="23" spans="1:17">
      <c r="I23" s="201" t="s">
        <v>363</v>
      </c>
    </row>
    <row r="25" spans="1:17">
      <c r="I25" s="235"/>
      <c r="J25" s="235" t="s">
        <v>353</v>
      </c>
      <c r="K25" s="235" t="s">
        <v>355</v>
      </c>
      <c r="L25" s="235" t="s">
        <v>354</v>
      </c>
    </row>
    <row r="26" spans="1:17">
      <c r="I26" s="202" t="s">
        <v>349</v>
      </c>
      <c r="J26" s="202">
        <v>1</v>
      </c>
      <c r="K26" s="202">
        <v>1310</v>
      </c>
      <c r="L26" s="202">
        <f>J26*K26</f>
        <v>1310</v>
      </c>
    </row>
    <row r="27" spans="1:17" ht="15.75" thickBot="1">
      <c r="I27" s="202" t="s">
        <v>337</v>
      </c>
      <c r="J27" s="202">
        <v>2</v>
      </c>
      <c r="K27" s="202">
        <v>1310</v>
      </c>
      <c r="L27" s="202">
        <f>J27*K27</f>
        <v>2620</v>
      </c>
    </row>
    <row r="28" spans="1:17" ht="15.75" thickBot="1">
      <c r="K28" s="253" t="s">
        <v>241</v>
      </c>
      <c r="L28" s="254">
        <f>SUM(L26:L27)</f>
        <v>3930</v>
      </c>
      <c r="M28" s="255" t="s">
        <v>364</v>
      </c>
      <c r="N28" s="256"/>
      <c r="O28" s="256"/>
      <c r="P28" s="256"/>
      <c r="Q28" s="256"/>
    </row>
    <row r="29" spans="1:17" ht="15.75" thickBot="1"/>
    <row r="30" spans="1:17" s="29" customFormat="1" ht="15.75" thickBot="1">
      <c r="A30" s="188"/>
      <c r="B30" s="188"/>
      <c r="C30" s="188"/>
      <c r="D30" s="188"/>
      <c r="E30" s="188"/>
      <c r="I30"/>
      <c r="J30"/>
      <c r="K30" s="249" t="s">
        <v>241</v>
      </c>
      <c r="L30" s="244">
        <f>L28/12</f>
        <v>327.5</v>
      </c>
      <c r="M30" s="245" t="s">
        <v>360</v>
      </c>
      <c r="N30" s="246"/>
      <c r="O30" s="246"/>
      <c r="P30" s="246"/>
    </row>
    <row r="32" spans="1:17">
      <c r="M32" s="29"/>
      <c r="N32" s="29"/>
      <c r="O32" s="29"/>
      <c r="P32" s="29"/>
    </row>
    <row r="33" spans="9:13" ht="45">
      <c r="I33" s="29"/>
      <c r="J33" s="247" t="s">
        <v>357</v>
      </c>
      <c r="K33" s="247" t="s">
        <v>336</v>
      </c>
      <c r="L33" s="248" t="s">
        <v>359</v>
      </c>
    </row>
    <row r="34" spans="9:13">
      <c r="I34" s="202" t="s">
        <v>283</v>
      </c>
      <c r="J34" s="202">
        <v>1900</v>
      </c>
      <c r="K34" s="202">
        <v>1</v>
      </c>
      <c r="L34" s="202">
        <f>K34*L30</f>
        <v>327.5</v>
      </c>
    </row>
    <row r="35" spans="9:13">
      <c r="I35" s="202" t="s">
        <v>283</v>
      </c>
      <c r="J35" s="202">
        <v>2600</v>
      </c>
      <c r="K35" s="202">
        <v>2</v>
      </c>
      <c r="L35" s="202">
        <f>K35*L30</f>
        <v>655</v>
      </c>
    </row>
    <row r="36" spans="9:13">
      <c r="I36" s="261" t="s">
        <v>283</v>
      </c>
      <c r="J36" s="261" t="s">
        <v>358</v>
      </c>
      <c r="K36" s="261">
        <v>2</v>
      </c>
      <c r="L36" s="261">
        <f>K36*L30</f>
        <v>655</v>
      </c>
    </row>
    <row r="37" spans="9:13">
      <c r="I37" s="201"/>
      <c r="J37" s="201"/>
      <c r="K37" s="201"/>
      <c r="L37" s="201"/>
    </row>
    <row r="38" spans="9:13">
      <c r="I38" s="202" t="s">
        <v>340</v>
      </c>
      <c r="J38" s="202">
        <v>2600</v>
      </c>
      <c r="K38" s="202">
        <v>2</v>
      </c>
      <c r="L38" s="202">
        <f>K38*L30</f>
        <v>655</v>
      </c>
      <c r="M38">
        <f>L38*1.2</f>
        <v>786</v>
      </c>
    </row>
    <row r="39" spans="9:13">
      <c r="I39" s="202" t="s">
        <v>340</v>
      </c>
      <c r="J39" s="202">
        <v>2600</v>
      </c>
      <c r="K39" s="202">
        <v>4</v>
      </c>
      <c r="L39" s="202">
        <f>K39*L30</f>
        <v>1310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J35"/>
  <sheetViews>
    <sheetView topLeftCell="A22" zoomScale="90" zoomScaleNormal="90" workbookViewId="0">
      <selection activeCell="F33" sqref="F33"/>
    </sheetView>
  </sheetViews>
  <sheetFormatPr baseColWidth="10" defaultColWidth="10.85546875" defaultRowHeight="12"/>
  <cols>
    <col min="1" max="1" width="8.140625" style="207" bestFit="1" customWidth="1"/>
    <col min="2" max="2" width="21.140625" style="207" customWidth="1"/>
    <col min="3" max="3" width="5.42578125" style="207" customWidth="1"/>
    <col min="4" max="4" width="82.5703125" style="207" customWidth="1"/>
    <col min="5" max="5" width="10" style="207" customWidth="1"/>
    <col min="6" max="16384" width="10.85546875" style="207"/>
  </cols>
  <sheetData>
    <row r="2" spans="1:6" ht="18">
      <c r="A2" s="456" t="s">
        <v>325</v>
      </c>
      <c r="B2" s="456"/>
      <c r="C2" s="456"/>
      <c r="D2" s="456"/>
      <c r="E2" s="456"/>
      <c r="F2" s="456"/>
    </row>
    <row r="3" spans="1:6" ht="12.75" thickBot="1"/>
    <row r="4" spans="1:6" ht="11.45" customHeight="1">
      <c r="A4" s="466" t="s">
        <v>287</v>
      </c>
      <c r="B4" s="468" t="s">
        <v>288</v>
      </c>
      <c r="C4" s="470" t="s">
        <v>289</v>
      </c>
      <c r="D4" s="472" t="s">
        <v>290</v>
      </c>
      <c r="E4" s="472" t="s">
        <v>291</v>
      </c>
      <c r="F4" s="472" t="s">
        <v>292</v>
      </c>
    </row>
    <row r="5" spans="1:6" ht="12.75" thickBot="1">
      <c r="A5" s="467"/>
      <c r="B5" s="469"/>
      <c r="C5" s="471"/>
      <c r="D5" s="473"/>
      <c r="E5" s="473"/>
      <c r="F5" s="473"/>
    </row>
    <row r="6" spans="1:6" ht="36">
      <c r="A6" s="457">
        <v>15802</v>
      </c>
      <c r="B6" s="459" t="s">
        <v>293</v>
      </c>
      <c r="C6" s="208">
        <v>1.1000000000000001</v>
      </c>
      <c r="D6" s="209" t="s">
        <v>294</v>
      </c>
      <c r="E6" s="462" t="s">
        <v>295</v>
      </c>
      <c r="F6" s="464">
        <v>280</v>
      </c>
    </row>
    <row r="7" spans="1:6" ht="48">
      <c r="A7" s="457"/>
      <c r="B7" s="460"/>
      <c r="C7" s="208">
        <v>1.2</v>
      </c>
      <c r="D7" s="209" t="s">
        <v>296</v>
      </c>
      <c r="E7" s="462"/>
      <c r="F7" s="464"/>
    </row>
    <row r="8" spans="1:6" ht="36">
      <c r="A8" s="457"/>
      <c r="B8" s="460"/>
      <c r="C8" s="208">
        <v>1.3</v>
      </c>
      <c r="D8" s="209" t="s">
        <v>297</v>
      </c>
      <c r="E8" s="462"/>
      <c r="F8" s="464"/>
    </row>
    <row r="9" spans="1:6" ht="24">
      <c r="A9" s="457"/>
      <c r="B9" s="460"/>
      <c r="C9" s="208">
        <v>1.4</v>
      </c>
      <c r="D9" s="209" t="s">
        <v>298</v>
      </c>
      <c r="E9" s="462"/>
      <c r="F9" s="464"/>
    </row>
    <row r="10" spans="1:6">
      <c r="A10" s="457"/>
      <c r="B10" s="460"/>
      <c r="C10" s="208">
        <v>1.5</v>
      </c>
      <c r="D10" s="209" t="s">
        <v>299</v>
      </c>
      <c r="E10" s="462"/>
      <c r="F10" s="464"/>
    </row>
    <row r="11" spans="1:6" ht="24">
      <c r="A11" s="457"/>
      <c r="B11" s="460"/>
      <c r="C11" s="208">
        <v>1.6</v>
      </c>
      <c r="D11" s="209" t="s">
        <v>300</v>
      </c>
      <c r="E11" s="462"/>
      <c r="F11" s="464"/>
    </row>
    <row r="12" spans="1:6" ht="24">
      <c r="A12" s="457"/>
      <c r="B12" s="460"/>
      <c r="C12" s="208">
        <v>1.7</v>
      </c>
      <c r="D12" s="209" t="s">
        <v>301</v>
      </c>
      <c r="E12" s="462"/>
      <c r="F12" s="464"/>
    </row>
    <row r="13" spans="1:6" ht="24.75" thickBot="1">
      <c r="A13" s="458"/>
      <c r="B13" s="461"/>
      <c r="C13" s="210">
        <v>1.8</v>
      </c>
      <c r="D13" s="211" t="s">
        <v>302</v>
      </c>
      <c r="E13" s="463"/>
      <c r="F13" s="465"/>
    </row>
    <row r="14" spans="1:6">
      <c r="A14" s="474">
        <v>15803</v>
      </c>
      <c r="B14" s="459" t="s">
        <v>303</v>
      </c>
      <c r="C14" s="212">
        <v>1.1000000000000001</v>
      </c>
      <c r="D14" s="213" t="s">
        <v>304</v>
      </c>
      <c r="E14" s="475" t="s">
        <v>295</v>
      </c>
      <c r="F14" s="476">
        <v>800</v>
      </c>
    </row>
    <row r="15" spans="1:6" ht="24">
      <c r="A15" s="457"/>
      <c r="B15" s="460"/>
      <c r="C15" s="208">
        <v>1.2</v>
      </c>
      <c r="D15" s="209" t="s">
        <v>305</v>
      </c>
      <c r="E15" s="462"/>
      <c r="F15" s="464"/>
    </row>
    <row r="16" spans="1:6" ht="24">
      <c r="A16" s="457"/>
      <c r="B16" s="460"/>
      <c r="C16" s="208">
        <v>1.3</v>
      </c>
      <c r="D16" s="209" t="s">
        <v>306</v>
      </c>
      <c r="E16" s="462"/>
      <c r="F16" s="464"/>
    </row>
    <row r="17" spans="1:9">
      <c r="A17" s="457"/>
      <c r="B17" s="460"/>
      <c r="C17" s="208">
        <v>1.4</v>
      </c>
      <c r="D17" s="209" t="s">
        <v>307</v>
      </c>
      <c r="E17" s="462"/>
      <c r="F17" s="464"/>
    </row>
    <row r="18" spans="1:9">
      <c r="A18" s="457"/>
      <c r="B18" s="460"/>
      <c r="C18" s="208">
        <v>1.5</v>
      </c>
      <c r="D18" s="209" t="s">
        <v>308</v>
      </c>
      <c r="E18" s="462"/>
      <c r="F18" s="464"/>
    </row>
    <row r="19" spans="1:9" ht="24">
      <c r="A19" s="457"/>
      <c r="B19" s="460"/>
      <c r="C19" s="208">
        <v>1.6</v>
      </c>
      <c r="D19" s="209" t="s">
        <v>309</v>
      </c>
      <c r="E19" s="462"/>
      <c r="F19" s="464"/>
    </row>
    <row r="20" spans="1:9" ht="36">
      <c r="A20" s="457"/>
      <c r="B20" s="460"/>
      <c r="C20" s="208">
        <v>1.7</v>
      </c>
      <c r="D20" s="209" t="s">
        <v>310</v>
      </c>
      <c r="E20" s="462"/>
      <c r="F20" s="464"/>
    </row>
    <row r="21" spans="1:9" ht="24">
      <c r="A21" s="457"/>
      <c r="B21" s="460"/>
      <c r="C21" s="208">
        <v>1.8</v>
      </c>
      <c r="D21" s="209" t="s">
        <v>311</v>
      </c>
      <c r="E21" s="462"/>
      <c r="F21" s="464"/>
    </row>
    <row r="22" spans="1:9" ht="24">
      <c r="A22" s="457"/>
      <c r="B22" s="460"/>
      <c r="C22" s="208">
        <v>1.9</v>
      </c>
      <c r="D22" s="209" t="s">
        <v>312</v>
      </c>
      <c r="E22" s="462"/>
      <c r="F22" s="464"/>
    </row>
    <row r="23" spans="1:9" ht="24">
      <c r="A23" s="457"/>
      <c r="B23" s="460"/>
      <c r="C23" s="208">
        <v>1.1000000000000001</v>
      </c>
      <c r="D23" s="209" t="s">
        <v>302</v>
      </c>
      <c r="E23" s="462"/>
      <c r="F23" s="464"/>
    </row>
    <row r="24" spans="1:9" ht="24.75" thickBot="1">
      <c r="A24" s="458"/>
      <c r="B24" s="461"/>
      <c r="C24" s="210">
        <v>1.1100000000000001</v>
      </c>
      <c r="D24" s="211" t="s">
        <v>313</v>
      </c>
      <c r="E24" s="463"/>
      <c r="F24" s="465"/>
    </row>
    <row r="25" spans="1:9">
      <c r="A25" s="474">
        <v>15804</v>
      </c>
      <c r="B25" s="459" t="s">
        <v>314</v>
      </c>
      <c r="C25" s="212">
        <v>1.1000000000000001</v>
      </c>
      <c r="D25" s="213" t="s">
        <v>315</v>
      </c>
      <c r="E25" s="475" t="s">
        <v>316</v>
      </c>
      <c r="F25" s="476">
        <v>150</v>
      </c>
    </row>
    <row r="26" spans="1:9">
      <c r="A26" s="457"/>
      <c r="B26" s="460"/>
      <c r="C26" s="208">
        <v>1.2</v>
      </c>
      <c r="D26" s="209" t="s">
        <v>317</v>
      </c>
      <c r="E26" s="462"/>
      <c r="F26" s="464"/>
    </row>
    <row r="27" spans="1:9">
      <c r="A27" s="457"/>
      <c r="B27" s="460"/>
      <c r="C27" s="208">
        <v>1.3</v>
      </c>
      <c r="D27" s="209" t="s">
        <v>318</v>
      </c>
      <c r="E27" s="462"/>
      <c r="F27" s="464"/>
    </row>
    <row r="28" spans="1:9">
      <c r="A28" s="457"/>
      <c r="B28" s="460"/>
      <c r="C28" s="208">
        <v>1.4</v>
      </c>
      <c r="D28" s="209" t="s">
        <v>319</v>
      </c>
      <c r="E28" s="462"/>
      <c r="F28" s="464"/>
    </row>
    <row r="29" spans="1:9">
      <c r="A29" s="457"/>
      <c r="B29" s="460"/>
      <c r="C29" s="208">
        <v>1.5</v>
      </c>
      <c r="D29" s="209" t="s">
        <v>320</v>
      </c>
      <c r="E29" s="462"/>
      <c r="F29" s="464"/>
    </row>
    <row r="30" spans="1:9" ht="12.75" thickBot="1">
      <c r="A30" s="458"/>
      <c r="B30" s="461"/>
      <c r="C30" s="210">
        <v>1.6</v>
      </c>
      <c r="D30" s="211" t="s">
        <v>321</v>
      </c>
      <c r="E30" s="463"/>
      <c r="F30" s="465"/>
    </row>
    <row r="31" spans="1:9" ht="27" customHeight="1" thickBot="1">
      <c r="D31" s="214" t="s">
        <v>322</v>
      </c>
      <c r="E31" s="214" t="s">
        <v>323</v>
      </c>
      <c r="F31" s="215">
        <f>SUM(F6:F30)</f>
        <v>1230</v>
      </c>
    </row>
    <row r="32" spans="1:9" ht="31.5" customHeight="1" thickBot="1">
      <c r="E32" s="214" t="s">
        <v>323</v>
      </c>
      <c r="F32" s="215">
        <f>F31*1.2</f>
        <v>1476</v>
      </c>
      <c r="G32" s="216" t="s">
        <v>324</v>
      </c>
      <c r="H32" s="217"/>
      <c r="I32" s="217"/>
    </row>
    <row r="33" spans="5:10" ht="27" customHeight="1" thickBot="1">
      <c r="E33" s="218" t="s">
        <v>285</v>
      </c>
      <c r="F33" s="219">
        <f>F32/3.4</f>
        <v>434.11764705882354</v>
      </c>
      <c r="G33" s="220" t="s">
        <v>324</v>
      </c>
      <c r="H33" s="221"/>
      <c r="I33" s="221"/>
      <c r="J33" s="218" t="s">
        <v>402</v>
      </c>
    </row>
    <row r="35" spans="5:10">
      <c r="F35" s="222"/>
    </row>
  </sheetData>
  <mergeCells count="19">
    <mergeCell ref="A25:A30"/>
    <mergeCell ref="B25:B30"/>
    <mergeCell ref="E25:E30"/>
    <mergeCell ref="F25:F30"/>
    <mergeCell ref="A14:A24"/>
    <mergeCell ref="B14:B24"/>
    <mergeCell ref="E14:E24"/>
    <mergeCell ref="F14:F24"/>
    <mergeCell ref="A2:F2"/>
    <mergeCell ref="A6:A13"/>
    <mergeCell ref="B6:B13"/>
    <mergeCell ref="E6:E13"/>
    <mergeCell ref="F6:F13"/>
    <mergeCell ref="A4:A5"/>
    <mergeCell ref="B4:B5"/>
    <mergeCell ref="C4:C5"/>
    <mergeCell ref="D4:D5"/>
    <mergeCell ref="E4:E5"/>
    <mergeCell ref="F4: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O7"/>
  <sheetViews>
    <sheetView zoomScale="80" zoomScaleNormal="80" workbookViewId="0">
      <selection activeCell="E7" sqref="E7"/>
    </sheetView>
  </sheetViews>
  <sheetFormatPr baseColWidth="10" defaultRowHeight="15"/>
  <sheetData>
    <row r="1" spans="2:15">
      <c r="B1" s="203" t="s">
        <v>411</v>
      </c>
      <c r="C1" s="282"/>
      <c r="D1" s="282"/>
      <c r="E1" s="282"/>
    </row>
    <row r="3" spans="2:15">
      <c r="D3" s="477" t="s">
        <v>404</v>
      </c>
      <c r="E3" s="477"/>
      <c r="F3" s="477" t="s">
        <v>405</v>
      </c>
      <c r="G3" s="477"/>
      <c r="H3" s="477" t="s">
        <v>406</v>
      </c>
      <c r="I3" s="477"/>
      <c r="J3" s="477" t="s">
        <v>407</v>
      </c>
      <c r="K3" s="477"/>
      <c r="L3" s="477" t="s">
        <v>408</v>
      </c>
      <c r="M3" s="477"/>
      <c r="N3" s="477" t="s">
        <v>409</v>
      </c>
      <c r="O3" s="477"/>
    </row>
    <row r="4" spans="2:15">
      <c r="D4" s="477"/>
      <c r="E4" s="477"/>
      <c r="F4" s="477"/>
      <c r="G4" s="477"/>
      <c r="H4" s="477"/>
      <c r="I4" s="477"/>
      <c r="J4" s="477"/>
      <c r="K4" s="477"/>
      <c r="L4" s="477"/>
      <c r="M4" s="477"/>
      <c r="N4" s="477"/>
      <c r="O4" s="477"/>
    </row>
    <row r="5" spans="2:15">
      <c r="D5" s="202" t="s">
        <v>403</v>
      </c>
      <c r="E5" s="202" t="s">
        <v>285</v>
      </c>
      <c r="F5" s="202" t="s">
        <v>403</v>
      </c>
      <c r="G5" s="202" t="s">
        <v>285</v>
      </c>
      <c r="H5" s="202" t="s">
        <v>403</v>
      </c>
      <c r="I5" s="202" t="s">
        <v>285</v>
      </c>
      <c r="J5" s="202" t="s">
        <v>403</v>
      </c>
      <c r="K5" s="202" t="s">
        <v>285</v>
      </c>
      <c r="L5" s="202" t="s">
        <v>403</v>
      </c>
      <c r="M5" s="202" t="s">
        <v>285</v>
      </c>
      <c r="N5" s="202" t="s">
        <v>403</v>
      </c>
      <c r="O5" s="202" t="s">
        <v>285</v>
      </c>
    </row>
    <row r="6" spans="2:15" ht="15.75" thickBot="1">
      <c r="D6" s="3">
        <v>1213.1500000000001</v>
      </c>
      <c r="E6" s="319">
        <f>D6/3.4</f>
        <v>356.80882352941182</v>
      </c>
      <c r="F6" s="3">
        <v>1322.01</v>
      </c>
      <c r="G6" s="319">
        <f>F6/3.4</f>
        <v>388.82647058823528</v>
      </c>
      <c r="H6" s="3">
        <v>1430.87</v>
      </c>
      <c r="I6" s="319">
        <f>H6/3.4</f>
        <v>420.84411764705879</v>
      </c>
      <c r="J6" s="3">
        <v>1539.73</v>
      </c>
      <c r="K6" s="319">
        <f>J6/3.4</f>
        <v>452.86176470588236</v>
      </c>
      <c r="L6" s="3">
        <v>1648.59</v>
      </c>
      <c r="M6" s="319">
        <f>L6/3.4</f>
        <v>484.87941176470588</v>
      </c>
      <c r="N6" s="3">
        <v>1757.45</v>
      </c>
      <c r="O6" s="319">
        <f>N6/3.4</f>
        <v>516.89705882352939</v>
      </c>
    </row>
    <row r="7" spans="2:15" ht="15.75" thickBot="1">
      <c r="B7" s="478" t="s">
        <v>410</v>
      </c>
      <c r="C7" s="478"/>
      <c r="D7" s="478"/>
      <c r="E7" s="321">
        <f>E6*1.2</f>
        <v>428.17058823529419</v>
      </c>
      <c r="F7" s="320"/>
      <c r="G7" s="321">
        <f>G6*1.2</f>
        <v>466.59176470588233</v>
      </c>
      <c r="H7" s="320"/>
      <c r="I7" s="321">
        <f>I6*1.2</f>
        <v>505.01294117647052</v>
      </c>
      <c r="J7" s="320"/>
      <c r="K7" s="321">
        <f>K6*1.2</f>
        <v>543.43411764705877</v>
      </c>
      <c r="L7" s="320"/>
      <c r="M7" s="321">
        <f>M6*1.2</f>
        <v>581.85529411764708</v>
      </c>
      <c r="N7" s="320"/>
      <c r="O7" s="321">
        <f>O6*1.2</f>
        <v>620.27647058823527</v>
      </c>
    </row>
  </sheetData>
  <mergeCells count="7">
    <mergeCell ref="N3:O4"/>
    <mergeCell ref="B7:D7"/>
    <mergeCell ref="D3:E4"/>
    <mergeCell ref="F3:G4"/>
    <mergeCell ref="H3:I4"/>
    <mergeCell ref="J3:K4"/>
    <mergeCell ref="L3:M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21"/>
  <sheetViews>
    <sheetView workbookViewId="0">
      <selection sqref="A1:AC44"/>
    </sheetView>
  </sheetViews>
  <sheetFormatPr baseColWidth="10" defaultRowHeight="15"/>
  <cols>
    <col min="4" max="4" width="29.85546875" bestFit="1" customWidth="1"/>
  </cols>
  <sheetData>
    <row r="1" spans="1:29">
      <c r="A1" s="150"/>
      <c r="B1" s="151"/>
      <c r="C1" s="151"/>
      <c r="D1" s="152"/>
      <c r="E1" s="153"/>
      <c r="F1" s="154"/>
      <c r="G1" s="155"/>
      <c r="H1" s="155"/>
      <c r="I1" s="155"/>
      <c r="J1" s="155"/>
      <c r="K1" s="155"/>
      <c r="L1" s="155"/>
      <c r="M1" s="156"/>
      <c r="N1" s="156"/>
      <c r="O1" s="157"/>
      <c r="P1" s="157"/>
      <c r="Q1" s="157"/>
      <c r="R1" s="157"/>
      <c r="S1" s="157"/>
      <c r="T1" s="157"/>
      <c r="U1" s="157"/>
      <c r="V1" s="157"/>
      <c r="W1" s="157"/>
      <c r="X1" s="157"/>
      <c r="Y1" s="157"/>
      <c r="Z1" s="157"/>
      <c r="AA1" s="157"/>
      <c r="AB1" s="158"/>
      <c r="AC1" s="159"/>
    </row>
    <row r="2" spans="1:29">
      <c r="A2" s="160"/>
      <c r="B2" s="161"/>
      <c r="C2" s="161"/>
      <c r="D2" s="160"/>
      <c r="E2" s="160"/>
      <c r="F2" s="160"/>
      <c r="G2" s="160"/>
      <c r="H2" s="160"/>
      <c r="I2" s="160"/>
      <c r="J2" s="160"/>
      <c r="K2" s="160"/>
      <c r="L2" s="160"/>
      <c r="M2" s="160"/>
      <c r="N2" s="160"/>
      <c r="O2" s="160"/>
      <c r="P2" s="160"/>
      <c r="Q2" s="160"/>
      <c r="R2" s="160"/>
      <c r="S2" s="160"/>
      <c r="T2" s="160"/>
      <c r="U2" s="160"/>
      <c r="V2" s="160"/>
      <c r="W2" s="160"/>
      <c r="X2" s="160"/>
      <c r="Y2" s="160"/>
      <c r="Z2" s="162"/>
      <c r="AA2" s="160"/>
      <c r="AB2" s="160"/>
      <c r="AC2" s="160"/>
    </row>
    <row r="3" spans="1:29">
      <c r="A3" s="160"/>
      <c r="B3" s="161"/>
      <c r="C3" s="161"/>
      <c r="D3" s="160"/>
      <c r="E3" s="160"/>
      <c r="F3" s="160"/>
      <c r="G3" s="160"/>
      <c r="H3" s="160"/>
      <c r="I3" s="160"/>
      <c r="J3" s="160"/>
      <c r="K3" s="160"/>
      <c r="L3" s="160"/>
      <c r="M3" s="160"/>
      <c r="N3" s="160"/>
      <c r="O3" s="160"/>
      <c r="P3" s="160"/>
      <c r="Q3" s="160"/>
      <c r="R3" s="160"/>
      <c r="S3" s="160"/>
      <c r="T3" s="160"/>
      <c r="U3" s="160"/>
      <c r="V3" s="160"/>
      <c r="W3" s="160"/>
      <c r="X3" s="160"/>
      <c r="Y3" s="160"/>
      <c r="Z3" s="162"/>
      <c r="AA3" s="160"/>
      <c r="AB3" s="160"/>
      <c r="AC3" s="160"/>
    </row>
    <row r="4" spans="1:29">
      <c r="A4" s="160"/>
      <c r="B4" s="161"/>
      <c r="C4" s="161"/>
      <c r="D4" s="160"/>
      <c r="E4" s="160"/>
      <c r="F4" s="160"/>
      <c r="G4" s="160"/>
      <c r="H4" s="160"/>
      <c r="I4" s="160"/>
      <c r="J4" s="160"/>
      <c r="K4" s="160"/>
      <c r="L4" s="160"/>
      <c r="M4" s="160"/>
      <c r="N4" s="160"/>
      <c r="O4" s="160"/>
      <c r="P4" s="160"/>
      <c r="Q4" s="160"/>
      <c r="R4" s="160"/>
      <c r="S4" s="160"/>
      <c r="T4" s="160"/>
      <c r="U4" s="160"/>
      <c r="V4" s="160"/>
      <c r="W4" s="160"/>
      <c r="X4" s="160"/>
      <c r="Y4" s="160"/>
      <c r="Z4" s="162"/>
      <c r="AA4" s="160"/>
      <c r="AB4" s="160"/>
      <c r="AC4" s="160"/>
    </row>
    <row r="5" spans="1:29">
      <c r="A5" s="160"/>
      <c r="B5" s="161"/>
      <c r="C5" s="161"/>
      <c r="D5" s="160"/>
      <c r="E5" s="160"/>
      <c r="F5" s="160"/>
      <c r="G5" s="160"/>
      <c r="H5" s="160"/>
      <c r="I5" s="160"/>
      <c r="J5" s="160"/>
      <c r="K5" s="160"/>
      <c r="L5" s="160"/>
      <c r="M5" s="160"/>
      <c r="N5" s="160"/>
      <c r="O5" s="160"/>
      <c r="P5" s="160"/>
      <c r="Q5" s="160"/>
      <c r="R5" s="160"/>
      <c r="S5" s="160"/>
      <c r="T5" s="160"/>
      <c r="U5" s="160"/>
      <c r="V5" s="160"/>
      <c r="W5" s="160"/>
      <c r="X5" s="160"/>
      <c r="Y5" s="160"/>
      <c r="Z5" s="162"/>
      <c r="AA5" s="160"/>
      <c r="AB5" s="160"/>
      <c r="AC5" s="160"/>
    </row>
    <row r="6" spans="1:29">
      <c r="A6" s="160"/>
      <c r="B6" s="161"/>
      <c r="C6" s="161"/>
      <c r="D6" s="163"/>
      <c r="E6" s="160"/>
      <c r="F6" s="160"/>
      <c r="G6" s="160"/>
      <c r="H6" s="160"/>
      <c r="I6" s="160"/>
      <c r="J6" s="160"/>
      <c r="K6" s="160"/>
      <c r="L6" s="160"/>
      <c r="M6" s="160"/>
      <c r="N6" s="160"/>
      <c r="O6" s="160"/>
      <c r="P6" s="160"/>
      <c r="Q6" s="160"/>
      <c r="R6" s="160"/>
      <c r="S6" s="160"/>
      <c r="T6" s="160"/>
      <c r="U6" s="160"/>
      <c r="V6" s="160"/>
      <c r="W6" s="160"/>
      <c r="X6" s="160"/>
      <c r="Y6" s="160"/>
      <c r="Z6" s="162"/>
      <c r="AA6" s="160"/>
      <c r="AB6" s="160"/>
      <c r="AC6" s="160"/>
    </row>
    <row r="7" spans="1:29">
      <c r="A7" s="160"/>
      <c r="B7" s="161"/>
      <c r="C7" s="161"/>
      <c r="D7" s="163"/>
      <c r="E7" s="160"/>
      <c r="F7" s="160"/>
      <c r="G7" s="160"/>
      <c r="H7" s="160"/>
      <c r="I7" s="160"/>
      <c r="J7" s="160"/>
      <c r="K7" s="160"/>
      <c r="L7" s="160"/>
      <c r="M7" s="160"/>
      <c r="N7" s="160"/>
      <c r="O7" s="160"/>
      <c r="P7" s="160"/>
      <c r="Q7" s="160"/>
      <c r="R7" s="160"/>
      <c r="S7" s="160"/>
      <c r="T7" s="160"/>
      <c r="U7" s="160"/>
      <c r="V7" s="160"/>
      <c r="W7" s="160"/>
      <c r="X7" s="160"/>
      <c r="Y7" s="160"/>
      <c r="Z7" s="162"/>
      <c r="AA7" s="160"/>
      <c r="AB7" s="160"/>
      <c r="AC7" s="160"/>
    </row>
    <row r="8" spans="1:29">
      <c r="A8" s="160"/>
      <c r="B8" s="161"/>
      <c r="C8" s="161"/>
      <c r="D8" s="160"/>
      <c r="E8" s="160"/>
      <c r="F8" s="160"/>
      <c r="G8" s="160"/>
      <c r="H8" s="160"/>
      <c r="I8" s="160"/>
      <c r="J8" s="160"/>
      <c r="K8" s="160"/>
      <c r="L8" s="160"/>
      <c r="M8" s="160"/>
      <c r="N8" s="160"/>
      <c r="O8" s="160"/>
      <c r="P8" s="160"/>
      <c r="Q8" s="160"/>
      <c r="R8" s="160"/>
      <c r="S8" s="160"/>
      <c r="T8" s="160"/>
      <c r="U8" s="160"/>
      <c r="V8" s="160"/>
      <c r="W8" s="160"/>
      <c r="X8" s="160"/>
      <c r="Y8" s="160"/>
      <c r="Z8" s="162"/>
      <c r="AA8" s="160"/>
      <c r="AB8" s="160"/>
      <c r="AC8" s="160"/>
    </row>
    <row r="9" spans="1:29">
      <c r="A9" s="160"/>
      <c r="B9" s="161"/>
      <c r="C9" s="161"/>
      <c r="D9" s="160"/>
      <c r="E9" s="160"/>
      <c r="F9" s="160"/>
      <c r="G9" s="160"/>
      <c r="H9" s="160"/>
      <c r="I9" s="160"/>
      <c r="J9" s="160"/>
      <c r="K9" s="160"/>
      <c r="L9" s="160"/>
      <c r="M9" s="160"/>
      <c r="N9" s="160"/>
      <c r="O9" s="160"/>
      <c r="P9" s="160"/>
      <c r="Q9" s="160"/>
      <c r="R9" s="160"/>
      <c r="S9" s="160"/>
      <c r="T9" s="160"/>
      <c r="U9" s="160"/>
      <c r="V9" s="160"/>
      <c r="W9" s="160"/>
      <c r="X9" s="160"/>
      <c r="Y9" s="160"/>
      <c r="Z9" s="162"/>
      <c r="AA9" s="160"/>
      <c r="AB9" s="160"/>
      <c r="AC9" s="160"/>
    </row>
    <row r="10" spans="1:29">
      <c r="A10" s="160"/>
      <c r="B10" s="161"/>
      <c r="C10" s="161"/>
      <c r="D10" s="160"/>
      <c r="E10" s="160"/>
      <c r="F10" s="160"/>
      <c r="G10" s="160"/>
      <c r="H10" s="160"/>
      <c r="I10" s="160"/>
      <c r="J10" s="160"/>
      <c r="K10" s="160"/>
      <c r="L10" s="160"/>
      <c r="M10" s="160"/>
      <c r="N10" s="160"/>
      <c r="O10" s="160"/>
      <c r="P10" s="160"/>
      <c r="Q10" s="160"/>
      <c r="R10" s="160"/>
      <c r="S10" s="160"/>
      <c r="T10" s="160"/>
      <c r="U10" s="160"/>
      <c r="V10" s="160"/>
      <c r="W10" s="160"/>
      <c r="X10" s="160"/>
      <c r="Y10" s="160"/>
      <c r="Z10" s="162"/>
      <c r="AA10" s="160"/>
      <c r="AB10" s="160"/>
      <c r="AC10" s="160"/>
    </row>
    <row r="11" spans="1:29">
      <c r="A11" s="160"/>
      <c r="B11" s="161"/>
      <c r="C11" s="161"/>
      <c r="D11" s="160"/>
      <c r="E11" s="160"/>
      <c r="F11" s="160"/>
      <c r="G11" s="160"/>
      <c r="H11" s="160"/>
      <c r="I11" s="160"/>
      <c r="J11" s="160"/>
      <c r="K11" s="160"/>
      <c r="L11" s="160"/>
      <c r="M11" s="160"/>
      <c r="N11" s="160"/>
      <c r="O11" s="160"/>
      <c r="P11" s="160"/>
      <c r="Q11" s="160"/>
      <c r="R11" s="160"/>
      <c r="S11" s="160"/>
      <c r="T11" s="160"/>
      <c r="U11" s="160"/>
      <c r="V11" s="160"/>
      <c r="W11" s="160"/>
      <c r="X11" s="160"/>
      <c r="Y11" s="160"/>
      <c r="Z11" s="162"/>
      <c r="AA11" s="160"/>
      <c r="AB11" s="160"/>
      <c r="AC11" s="160"/>
    </row>
    <row r="12" spans="1:29">
      <c r="A12" s="160"/>
      <c r="B12" s="161"/>
      <c r="C12" s="161"/>
      <c r="D12" s="160"/>
      <c r="E12" s="160"/>
      <c r="F12" s="160"/>
      <c r="G12" s="160"/>
      <c r="H12" s="160"/>
      <c r="I12" s="160"/>
      <c r="J12" s="160"/>
      <c r="K12" s="160"/>
      <c r="L12" s="160"/>
      <c r="M12" s="160"/>
      <c r="N12" s="160"/>
      <c r="O12" s="160"/>
      <c r="P12" s="160"/>
      <c r="Q12" s="160"/>
      <c r="R12" s="160"/>
      <c r="S12" s="160"/>
      <c r="T12" s="160"/>
      <c r="U12" s="160"/>
      <c r="V12" s="160"/>
      <c r="W12" s="160"/>
      <c r="X12" s="160"/>
      <c r="Y12" s="160"/>
      <c r="Z12" s="162"/>
      <c r="AA12" s="160"/>
      <c r="AB12" s="160"/>
      <c r="AC12" s="160"/>
    </row>
    <row r="13" spans="1:29">
      <c r="A13" s="160"/>
      <c r="B13" s="161"/>
      <c r="C13" s="161"/>
      <c r="D13" s="160"/>
      <c r="E13" s="160"/>
      <c r="F13" s="160"/>
      <c r="G13" s="160"/>
      <c r="H13" s="160"/>
      <c r="I13" s="160"/>
      <c r="J13" s="160"/>
      <c r="K13" s="160"/>
      <c r="L13" s="160"/>
      <c r="M13" s="160"/>
      <c r="N13" s="160"/>
      <c r="O13" s="160"/>
      <c r="P13" s="160"/>
      <c r="Q13" s="160"/>
      <c r="R13" s="160"/>
      <c r="S13" s="160"/>
      <c r="T13" s="160"/>
      <c r="U13" s="160"/>
      <c r="V13" s="160"/>
      <c r="W13" s="160"/>
      <c r="X13" s="160"/>
      <c r="Y13" s="160"/>
      <c r="Z13" s="162"/>
      <c r="AA13" s="160"/>
      <c r="AB13" s="160"/>
      <c r="AC13" s="160"/>
    </row>
    <row r="17" spans="4:6">
      <c r="D17" s="164"/>
      <c r="E17" s="164"/>
      <c r="F17" s="164"/>
    </row>
    <row r="18" spans="4:6">
      <c r="D18" s="164"/>
      <c r="E18" s="164"/>
      <c r="F18" s="164"/>
    </row>
    <row r="19" spans="4:6">
      <c r="D19" s="164"/>
      <c r="E19" s="164"/>
      <c r="F19" s="164"/>
    </row>
    <row r="20" spans="4:6">
      <c r="D20" s="164"/>
      <c r="E20" s="164"/>
      <c r="F20" s="164"/>
    </row>
    <row r="21" spans="4:6">
      <c r="D21" s="164"/>
      <c r="E21" s="164"/>
      <c r="F21" s="164"/>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M18"/>
  <sheetViews>
    <sheetView workbookViewId="0">
      <selection activeCell="A6" sqref="A6"/>
    </sheetView>
  </sheetViews>
  <sheetFormatPr baseColWidth="10" defaultRowHeight="15"/>
  <cols>
    <col min="1" max="1" width="35.28515625" bestFit="1" customWidth="1"/>
    <col min="2" max="2" width="9" bestFit="1" customWidth="1"/>
    <col min="3" max="3" width="23" bestFit="1" customWidth="1"/>
    <col min="4" max="4" width="10.28515625" bestFit="1" customWidth="1"/>
    <col min="7" max="7" width="29.28515625" bestFit="1" customWidth="1"/>
    <col min="9" max="9" width="9" bestFit="1" customWidth="1"/>
    <col min="10" max="10" width="20.42578125" customWidth="1"/>
  </cols>
  <sheetData>
    <row r="2" spans="1:13">
      <c r="B2" s="2" t="s">
        <v>26</v>
      </c>
      <c r="C2" s="2" t="s">
        <v>28</v>
      </c>
      <c r="D2" s="2" t="s">
        <v>27</v>
      </c>
      <c r="F2" s="17" t="s">
        <v>9</v>
      </c>
      <c r="G2" s="18" t="s">
        <v>29</v>
      </c>
      <c r="H2" s="18" t="s">
        <v>30</v>
      </c>
      <c r="I2" s="18" t="s">
        <v>31</v>
      </c>
    </row>
    <row r="3" spans="1:13">
      <c r="A3" s="9" t="s">
        <v>17</v>
      </c>
      <c r="B3" s="9"/>
      <c r="C3" s="10">
        <v>1853</v>
      </c>
      <c r="D3" s="10">
        <v>1853</v>
      </c>
      <c r="E3" s="16" t="s">
        <v>23</v>
      </c>
      <c r="F3" s="19">
        <v>1</v>
      </c>
      <c r="G3" s="20" t="s">
        <v>32</v>
      </c>
      <c r="H3" s="10">
        <v>2007.5976174000002</v>
      </c>
      <c r="I3" s="10">
        <v>2007.5976174000002</v>
      </c>
    </row>
    <row r="4" spans="1:13">
      <c r="A4" s="11" t="s">
        <v>18</v>
      </c>
      <c r="B4" s="11"/>
      <c r="C4" s="10">
        <v>190</v>
      </c>
      <c r="D4" s="10">
        <v>190</v>
      </c>
      <c r="E4" s="16" t="s">
        <v>23</v>
      </c>
      <c r="F4" s="8">
        <v>2</v>
      </c>
      <c r="G4" s="20" t="s">
        <v>33</v>
      </c>
      <c r="H4" s="10">
        <v>2483.3664999999996</v>
      </c>
      <c r="I4" s="10">
        <v>2483.3664999999996</v>
      </c>
    </row>
    <row r="5" spans="1:13">
      <c r="A5" s="11" t="s">
        <v>19</v>
      </c>
      <c r="B5" s="11"/>
      <c r="C5" s="10">
        <v>23.75</v>
      </c>
      <c r="D5" s="10">
        <v>23.75</v>
      </c>
      <c r="E5" s="16" t="s">
        <v>23</v>
      </c>
      <c r="F5" s="8">
        <v>3</v>
      </c>
      <c r="G5" s="20" t="s">
        <v>34</v>
      </c>
      <c r="H5" s="10">
        <v>4351.4972127000001</v>
      </c>
      <c r="I5" s="10">
        <v>2745.4977484999999</v>
      </c>
    </row>
    <row r="6" spans="1:13">
      <c r="A6" s="12" t="s">
        <v>20</v>
      </c>
      <c r="B6" s="12"/>
      <c r="C6" s="13">
        <v>2691.3595</v>
      </c>
      <c r="D6" s="13">
        <v>2691.3595</v>
      </c>
      <c r="E6" s="16" t="s">
        <v>23</v>
      </c>
      <c r="F6" s="19">
        <v>4</v>
      </c>
      <c r="G6" s="20" t="s">
        <v>35</v>
      </c>
      <c r="H6" s="10">
        <v>4351.4972127000001</v>
      </c>
      <c r="I6" s="10">
        <v>2745.4977484999999</v>
      </c>
    </row>
    <row r="7" spans="1:13">
      <c r="A7" s="14" t="s">
        <v>21</v>
      </c>
      <c r="B7" s="14" t="e">
        <f>#REF!</f>
        <v>#REF!</v>
      </c>
      <c r="C7" s="15">
        <v>525.71733333333327</v>
      </c>
      <c r="D7" s="15" t="e">
        <f>B7*C7</f>
        <v>#REF!</v>
      </c>
      <c r="E7" s="16" t="s">
        <v>24</v>
      </c>
      <c r="F7" s="8">
        <v>5</v>
      </c>
      <c r="G7" s="20" t="s">
        <v>13</v>
      </c>
      <c r="H7" s="10">
        <v>194.70926399999996</v>
      </c>
      <c r="I7" s="10">
        <v>194.70926399999996</v>
      </c>
    </row>
    <row r="8" spans="1:13">
      <c r="A8" s="14" t="s">
        <v>22</v>
      </c>
      <c r="B8" s="14" t="e">
        <f>#REF!</f>
        <v>#REF!</v>
      </c>
      <c r="C8" s="15">
        <v>154.8595</v>
      </c>
      <c r="D8" s="15" t="e">
        <f>B8*C8</f>
        <v>#REF!</v>
      </c>
      <c r="E8" s="16" t="s">
        <v>25</v>
      </c>
      <c r="F8" s="19">
        <v>6</v>
      </c>
      <c r="G8" s="9" t="s">
        <v>36</v>
      </c>
      <c r="H8" s="10">
        <v>3514.9992722999996</v>
      </c>
      <c r="I8" s="10">
        <v>1852.4975318999998</v>
      </c>
      <c r="J8" s="21" t="s">
        <v>37</v>
      </c>
    </row>
    <row r="10" spans="1:13">
      <c r="C10" t="s">
        <v>12</v>
      </c>
      <c r="D10" s="22" t="e">
        <f>SUM(D3:D8)</f>
        <v>#REF!</v>
      </c>
    </row>
    <row r="11" spans="1:13" ht="15" customHeight="1"/>
    <row r="16" spans="1:13" ht="15" customHeight="1">
      <c r="A16" s="24" t="s">
        <v>38</v>
      </c>
      <c r="B16" s="25">
        <f>7254.2*1.3</f>
        <v>9430.4600000000009</v>
      </c>
      <c r="C16" s="25">
        <f>7254.2*1.3</f>
        <v>9430.4600000000009</v>
      </c>
      <c r="D16" s="480" t="s">
        <v>41</v>
      </c>
      <c r="E16" s="481"/>
      <c r="F16" s="481"/>
      <c r="G16" s="481"/>
      <c r="H16" s="481"/>
      <c r="I16" s="481"/>
      <c r="J16" s="481"/>
      <c r="K16" s="481"/>
      <c r="L16" s="481"/>
      <c r="M16" s="481"/>
    </row>
    <row r="17" spans="1:9">
      <c r="A17" s="26" t="s">
        <v>7</v>
      </c>
      <c r="B17" s="25">
        <f>1931.94*1.3</f>
        <v>2511.5219999999999</v>
      </c>
      <c r="C17" s="25">
        <f>1931.94*1.3</f>
        <v>2511.5219999999999</v>
      </c>
      <c r="D17" s="479"/>
      <c r="E17" s="479"/>
      <c r="F17" s="479"/>
      <c r="G17" s="479"/>
      <c r="H17" s="479"/>
      <c r="I17" s="479"/>
    </row>
    <row r="18" spans="1:9" ht="15" customHeight="1">
      <c r="A18" s="24" t="s">
        <v>39</v>
      </c>
      <c r="B18" s="27">
        <f>1133.08*1.3</f>
        <v>1473.0039999999999</v>
      </c>
      <c r="C18" s="27">
        <f>1133.08*1.3</f>
        <v>1473.0039999999999</v>
      </c>
      <c r="D18" s="479" t="s">
        <v>40</v>
      </c>
      <c r="E18" s="479"/>
      <c r="F18" s="479"/>
      <c r="G18" s="479"/>
      <c r="H18" s="479"/>
      <c r="I18" s="479"/>
    </row>
  </sheetData>
  <mergeCells count="3">
    <mergeCell ref="D17:I17"/>
    <mergeCell ref="D18:I18"/>
    <mergeCell ref="D16:M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workbookViewId="0">
      <selection activeCell="D34" sqref="D34"/>
    </sheetView>
  </sheetViews>
  <sheetFormatPr baseColWidth="10" defaultRowHeight="15"/>
  <cols>
    <col min="1" max="1" width="56.42578125" bestFit="1" customWidth="1"/>
    <col min="2" max="2" width="8.85546875" bestFit="1" customWidth="1"/>
    <col min="3" max="3" width="10.140625" bestFit="1" customWidth="1"/>
    <col min="4" max="4" width="20.28515625" bestFit="1" customWidth="1"/>
    <col min="5" max="5" width="18.85546875" bestFit="1" customWidth="1"/>
  </cols>
  <sheetData>
    <row r="1" spans="1:7">
      <c r="A1" s="30" t="s">
        <v>43</v>
      </c>
      <c r="B1" s="30" t="s">
        <v>44</v>
      </c>
      <c r="C1" s="30" t="s">
        <v>45</v>
      </c>
      <c r="D1" s="30" t="s">
        <v>47</v>
      </c>
      <c r="E1" s="30" t="s">
        <v>46</v>
      </c>
    </row>
    <row r="2" spans="1:7">
      <c r="A2" s="31"/>
      <c r="B2" s="31"/>
      <c r="C2" s="31"/>
      <c r="D2" s="31"/>
      <c r="E2" s="31"/>
    </row>
    <row r="3" spans="1:7">
      <c r="A3" s="35" t="s">
        <v>48</v>
      </c>
      <c r="B3" s="35" t="s">
        <v>49</v>
      </c>
      <c r="C3" s="36">
        <v>1</v>
      </c>
      <c r="D3" s="36">
        <v>1650</v>
      </c>
      <c r="E3" s="36">
        <v>1650</v>
      </c>
    </row>
    <row r="4" spans="1:7">
      <c r="A4" s="35" t="s">
        <v>50</v>
      </c>
      <c r="B4" s="35" t="s">
        <v>49</v>
      </c>
      <c r="C4" s="36">
        <v>1</v>
      </c>
      <c r="D4" s="36">
        <v>131.376</v>
      </c>
      <c r="E4" s="36">
        <v>131.376</v>
      </c>
    </row>
    <row r="5" spans="1:7">
      <c r="A5" s="37" t="s">
        <v>18</v>
      </c>
      <c r="B5" s="37" t="s">
        <v>49</v>
      </c>
      <c r="C5" s="38">
        <v>1</v>
      </c>
      <c r="D5" s="38">
        <v>190</v>
      </c>
      <c r="E5" s="38">
        <v>190</v>
      </c>
    </row>
    <row r="6" spans="1:7">
      <c r="A6" s="37" t="s">
        <v>52</v>
      </c>
      <c r="B6" s="37" t="s">
        <v>49</v>
      </c>
      <c r="C6" s="38">
        <v>1</v>
      </c>
      <c r="D6" s="38">
        <v>23.75</v>
      </c>
      <c r="E6" s="38">
        <v>23.75</v>
      </c>
    </row>
    <row r="7" spans="1:7">
      <c r="A7" s="30" t="s">
        <v>53</v>
      </c>
      <c r="B7" s="30" t="s">
        <v>49</v>
      </c>
      <c r="C7" s="39">
        <v>1</v>
      </c>
      <c r="D7" s="39">
        <v>2691.3595</v>
      </c>
      <c r="E7" s="39">
        <v>2691.3595</v>
      </c>
    </row>
    <row r="8" spans="1:7">
      <c r="A8" s="33" t="s">
        <v>63</v>
      </c>
      <c r="B8" s="33" t="s">
        <v>49</v>
      </c>
      <c r="C8" s="40">
        <v>3</v>
      </c>
      <c r="D8" s="40">
        <v>2642.0159199999998</v>
      </c>
      <c r="E8" s="40">
        <v>880.67197350000004</v>
      </c>
    </row>
    <row r="9" spans="1:7">
      <c r="A9" s="33" t="s">
        <v>56</v>
      </c>
      <c r="B9" s="33" t="s">
        <v>49</v>
      </c>
      <c r="C9" s="40">
        <v>90</v>
      </c>
      <c r="D9" s="40">
        <v>1108.9349999999999</v>
      </c>
      <c r="E9" s="40">
        <v>12.3215</v>
      </c>
    </row>
    <row r="10" spans="1:7">
      <c r="A10" s="33" t="s">
        <v>57</v>
      </c>
      <c r="B10" s="33" t="s">
        <v>49</v>
      </c>
      <c r="C10" s="40">
        <v>6</v>
      </c>
      <c r="D10" s="40">
        <v>929.15700000000004</v>
      </c>
      <c r="E10" s="40">
        <v>154.8595</v>
      </c>
    </row>
    <row r="11" spans="1:7">
      <c r="A11" s="32" t="s">
        <v>64</v>
      </c>
      <c r="B11" s="32" t="s">
        <v>49</v>
      </c>
      <c r="C11" s="41">
        <v>3</v>
      </c>
      <c r="D11" s="41">
        <v>4810.7928499999998</v>
      </c>
      <c r="E11" s="41">
        <v>1603.5976169999999</v>
      </c>
      <c r="F11" s="42"/>
    </row>
    <row r="12" spans="1:7">
      <c r="A12" s="32" t="s">
        <v>65</v>
      </c>
      <c r="B12" s="32" t="s">
        <v>49</v>
      </c>
      <c r="C12" s="41">
        <v>3</v>
      </c>
      <c r="D12" s="41">
        <v>7450.0460700000003</v>
      </c>
      <c r="E12" s="41">
        <v>2483.3486910000001</v>
      </c>
      <c r="F12" s="42"/>
      <c r="G12" s="43"/>
    </row>
    <row r="13" spans="1:7">
      <c r="A13" s="32" t="s">
        <v>66</v>
      </c>
      <c r="B13" s="32" t="s">
        <v>49</v>
      </c>
      <c r="C13" s="41">
        <v>3</v>
      </c>
      <c r="D13" s="41">
        <v>8236.4932499999995</v>
      </c>
      <c r="E13" s="41">
        <v>2745.4977490000001</v>
      </c>
      <c r="F13" s="42"/>
      <c r="G13" s="43"/>
    </row>
    <row r="14" spans="1:7">
      <c r="A14" s="44" t="s">
        <v>58</v>
      </c>
      <c r="B14" s="44" t="s">
        <v>49</v>
      </c>
      <c r="C14" s="45">
        <v>6</v>
      </c>
      <c r="D14" s="45">
        <v>4787.9967900000001</v>
      </c>
      <c r="E14" s="45">
        <v>797.99946420000003</v>
      </c>
    </row>
    <row r="15" spans="1:7">
      <c r="A15" s="30" t="s">
        <v>59</v>
      </c>
      <c r="B15" s="30" t="s">
        <v>49</v>
      </c>
      <c r="C15" s="39">
        <v>60</v>
      </c>
      <c r="D15" s="39">
        <v>584.127792</v>
      </c>
      <c r="E15" s="39">
        <v>9.7354631999999999</v>
      </c>
    </row>
    <row r="16" spans="1:7">
      <c r="A16" s="30" t="s">
        <v>67</v>
      </c>
      <c r="B16" s="30" t="s">
        <v>49</v>
      </c>
      <c r="C16" s="39">
        <v>1</v>
      </c>
      <c r="D16" s="39">
        <v>1852.4975300000001</v>
      </c>
      <c r="E16" s="39">
        <v>1852.4975320000001</v>
      </c>
      <c r="F16" s="46"/>
    </row>
    <row r="17" spans="1:6">
      <c r="A17" s="30" t="s">
        <v>68</v>
      </c>
      <c r="B17" s="30" t="s">
        <v>49</v>
      </c>
      <c r="C17" s="39">
        <v>1</v>
      </c>
      <c r="D17" s="39">
        <v>1852.4975300000001</v>
      </c>
      <c r="E17" s="39">
        <v>1852.4975320000001</v>
      </c>
      <c r="F17" s="46"/>
    </row>
    <row r="18" spans="1:6">
      <c r="A18" s="47" t="s">
        <v>54</v>
      </c>
      <c r="B18" s="47" t="s">
        <v>49</v>
      </c>
      <c r="C18" s="48">
        <v>1</v>
      </c>
      <c r="D18" s="48">
        <v>831.25086999999996</v>
      </c>
      <c r="E18" s="48">
        <v>1662.5017399999999</v>
      </c>
    </row>
    <row r="19" spans="1:6">
      <c r="A19" s="35" t="s">
        <v>51</v>
      </c>
      <c r="B19" s="35" t="s">
        <v>49</v>
      </c>
      <c r="C19" s="36">
        <v>2</v>
      </c>
      <c r="D19" s="36">
        <v>1003.96</v>
      </c>
      <c r="E19" s="36">
        <v>501.98</v>
      </c>
    </row>
    <row r="20" spans="1:6">
      <c r="A20" s="34" t="s">
        <v>60</v>
      </c>
      <c r="B20" s="34" t="s">
        <v>49</v>
      </c>
      <c r="C20" s="49">
        <v>3</v>
      </c>
      <c r="D20" s="49">
        <v>5130</v>
      </c>
      <c r="E20" s="49">
        <v>1710</v>
      </c>
    </row>
    <row r="21" spans="1:6">
      <c r="A21" s="34" t="s">
        <v>61</v>
      </c>
      <c r="B21" s="34" t="s">
        <v>49</v>
      </c>
      <c r="C21" s="49">
        <v>3</v>
      </c>
      <c r="D21" s="49">
        <v>237</v>
      </c>
      <c r="E21" s="49">
        <v>79</v>
      </c>
    </row>
    <row r="22" spans="1:6">
      <c r="A22" s="34" t="s">
        <v>62</v>
      </c>
      <c r="B22" s="34" t="s">
        <v>49</v>
      </c>
      <c r="C22" s="49">
        <v>3</v>
      </c>
      <c r="D22" s="49">
        <v>237</v>
      </c>
      <c r="E22" s="49">
        <v>79</v>
      </c>
    </row>
    <row r="23" spans="1:6">
      <c r="A23" s="50" t="s">
        <v>55</v>
      </c>
      <c r="B23" s="50" t="s">
        <v>49</v>
      </c>
      <c r="C23" s="51">
        <v>18</v>
      </c>
      <c r="D23" s="51">
        <v>7264.98</v>
      </c>
      <c r="E23" s="51">
        <v>403.61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15"/>
  <sheetViews>
    <sheetView workbookViewId="0">
      <selection activeCell="N23" sqref="N23"/>
    </sheetView>
  </sheetViews>
  <sheetFormatPr baseColWidth="10" defaultRowHeight="15"/>
  <cols>
    <col min="7" max="12" width="0" hidden="1" customWidth="1"/>
    <col min="14" max="14" width="28.28515625" customWidth="1"/>
    <col min="15" max="15" width="37.140625" customWidth="1"/>
  </cols>
  <sheetData>
    <row r="1" spans="1:15" ht="15.75" thickBot="1">
      <c r="A1" s="70"/>
      <c r="B1" s="71"/>
      <c r="C1" s="72"/>
      <c r="D1" s="70"/>
      <c r="E1" s="482"/>
      <c r="F1" s="482"/>
      <c r="G1" s="482"/>
      <c r="H1" s="482"/>
      <c r="I1" s="482"/>
      <c r="J1" s="482"/>
      <c r="K1" s="482"/>
      <c r="L1" s="482"/>
      <c r="M1" s="483"/>
      <c r="N1" s="484" t="s">
        <v>76</v>
      </c>
      <c r="O1" s="485"/>
    </row>
    <row r="2" spans="1:15" ht="30.75" thickBot="1">
      <c r="A2" s="73" t="s">
        <v>77</v>
      </c>
      <c r="B2" s="73" t="s">
        <v>78</v>
      </c>
      <c r="C2" s="74" t="s">
        <v>79</v>
      </c>
      <c r="D2" s="73" t="s">
        <v>80</v>
      </c>
      <c r="E2" s="76" t="s">
        <v>81</v>
      </c>
      <c r="F2" s="75" t="s">
        <v>82</v>
      </c>
      <c r="G2" s="76" t="s">
        <v>83</v>
      </c>
      <c r="H2" s="75" t="s">
        <v>84</v>
      </c>
      <c r="I2" s="76" t="s">
        <v>85</v>
      </c>
      <c r="J2" s="75" t="s">
        <v>86</v>
      </c>
      <c r="K2" s="76" t="s">
        <v>87</v>
      </c>
      <c r="L2" s="75" t="s">
        <v>88</v>
      </c>
      <c r="M2" s="77" t="s">
        <v>89</v>
      </c>
      <c r="N2" s="78" t="s">
        <v>90</v>
      </c>
      <c r="O2" s="79" t="s">
        <v>91</v>
      </c>
    </row>
    <row r="3" spans="1:15">
      <c r="A3" s="80" t="e">
        <f>#REF!</f>
        <v>#REF!</v>
      </c>
      <c r="B3" s="8" t="e">
        <f>#REF!</f>
        <v>#REF!</v>
      </c>
      <c r="C3" s="8" t="e">
        <f>#REF!</f>
        <v>#REF!</v>
      </c>
      <c r="D3" s="8" t="e">
        <f>#REF!</f>
        <v>#REF!</v>
      </c>
      <c r="E3" s="2" t="e">
        <f>#REF!</f>
        <v>#REF!</v>
      </c>
      <c r="F3" s="2" t="e">
        <f>#REF!</f>
        <v>#REF!</v>
      </c>
      <c r="G3" s="2" t="e">
        <f>SIN(PI()*(-(C3))/180)</f>
        <v>#REF!</v>
      </c>
      <c r="H3" s="2" t="e">
        <f t="shared" ref="H3" si="0">SIN(PI()*(-(E3))/180)</f>
        <v>#REF!</v>
      </c>
      <c r="I3" s="2" t="e">
        <f>COS(PI()*(-(C3))/180)</f>
        <v>#REF!</v>
      </c>
      <c r="J3" s="2" t="e">
        <f t="shared" ref="J3" si="1">COS(PI()*(-(E3))/180)</f>
        <v>#REF!</v>
      </c>
      <c r="K3" s="81" t="e">
        <f>COS((-(F3)+D3)*PI()/180)</f>
        <v>#REF!</v>
      </c>
      <c r="L3" s="2" t="e">
        <f t="shared" ref="L3" si="2">G3*H3+I3*J3*K3</f>
        <v>#REF!</v>
      </c>
      <c r="M3" s="85" t="e">
        <f t="shared" ref="M3" si="3">60*ACOS(L3)*180/PI()*1.852</f>
        <v>#REF!</v>
      </c>
      <c r="N3" s="64" t="e">
        <f>IF(B3="LIMA",VLOOKUP(A3,'Costos FO'!$E$6:$H$76,4,0),VLOOKUP('Calculo de FO'!B3,'Costos FO'!$D$77:$H$99,5,FALSE))</f>
        <v>#REF!</v>
      </c>
      <c r="O3" s="86" t="e">
        <f t="shared" ref="O3" si="4">N3*1.2*M3*1000</f>
        <v>#REF!</v>
      </c>
    </row>
    <row r="5" spans="1:15" hidden="1">
      <c r="N5" t="e">
        <f>IF(B3="LIMA",VLOOKUP(A3,'Costos FO'!$E$6:$H$76,4,0),VLOOKUP('Calculo de FO'!B3,'Costos FO'!$D$77:$H$99,5,FALSE))</f>
        <v>#REF!</v>
      </c>
    </row>
    <row r="6" spans="1:15" hidden="1"/>
    <row r="7" spans="1:15" hidden="1"/>
    <row r="8" spans="1:15" hidden="1"/>
    <row r="9" spans="1:15" hidden="1"/>
    <row r="10" spans="1:15" hidden="1"/>
    <row r="11" spans="1:15" hidden="1">
      <c r="N11" t="s">
        <v>226</v>
      </c>
    </row>
    <row r="12" spans="1:15" hidden="1"/>
    <row r="13" spans="1:15" hidden="1">
      <c r="N13" t="s">
        <v>227</v>
      </c>
    </row>
    <row r="14" spans="1:15" hidden="1">
      <c r="N14" t="s">
        <v>228</v>
      </c>
    </row>
    <row r="15" spans="1:15" hidden="1"/>
  </sheetData>
  <mergeCells count="2">
    <mergeCell ref="E1:M1"/>
    <mergeCell ref="N1:O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9"/>
  <sheetViews>
    <sheetView zoomScale="70" zoomScaleNormal="70" workbookViewId="0"/>
  </sheetViews>
  <sheetFormatPr baseColWidth="10" defaultRowHeight="15"/>
  <cols>
    <col min="1" max="1" width="20.140625" customWidth="1"/>
    <col min="2" max="2" width="5.85546875" customWidth="1"/>
    <col min="3" max="3" width="10" customWidth="1"/>
    <col min="4" max="4" width="15.140625" customWidth="1"/>
    <col min="5" max="5" width="31.7109375" customWidth="1"/>
    <col min="6" max="6" width="11.85546875" bestFit="1" customWidth="1"/>
    <col min="7" max="7" width="11.85546875" customWidth="1"/>
    <col min="8" max="8" width="21.5703125" customWidth="1"/>
    <col min="9" max="9" width="21.42578125" customWidth="1"/>
  </cols>
  <sheetData>
    <row r="1" spans="1:9" ht="15.75" thickBot="1">
      <c r="A1" t="s">
        <v>108</v>
      </c>
    </row>
    <row r="2" spans="1:9" ht="15.75" thickBot="1">
      <c r="A2" t="s">
        <v>109</v>
      </c>
      <c r="E2" s="87">
        <v>12</v>
      </c>
    </row>
    <row r="3" spans="1:9" ht="15.75" thickBot="1">
      <c r="A3" t="s">
        <v>110</v>
      </c>
      <c r="E3" s="87">
        <v>6</v>
      </c>
    </row>
    <row r="5" spans="1:9" ht="15.75" thickBot="1">
      <c r="C5" s="88" t="s">
        <v>111</v>
      </c>
      <c r="D5" s="88" t="s">
        <v>78</v>
      </c>
      <c r="E5" s="88" t="s">
        <v>77</v>
      </c>
      <c r="F5" s="88" t="s">
        <v>112</v>
      </c>
      <c r="G5" s="88" t="s">
        <v>113</v>
      </c>
      <c r="H5" s="89" t="s">
        <v>114</v>
      </c>
      <c r="I5" s="90" t="s">
        <v>115</v>
      </c>
    </row>
    <row r="6" spans="1:9">
      <c r="B6" s="486" t="s">
        <v>116</v>
      </c>
      <c r="C6" s="91" t="s">
        <v>117</v>
      </c>
      <c r="D6" s="92" t="s">
        <v>93</v>
      </c>
      <c r="E6" s="93" t="s">
        <v>118</v>
      </c>
      <c r="F6" s="94">
        <v>0.5</v>
      </c>
      <c r="G6" s="94">
        <v>0.5</v>
      </c>
      <c r="H6" s="93">
        <f>(F6*$E$2)+(G6*$E$3)</f>
        <v>9</v>
      </c>
      <c r="I6" s="92" t="s">
        <v>119</v>
      </c>
    </row>
    <row r="7" spans="1:9">
      <c r="B7" s="486"/>
      <c r="C7" s="91" t="s">
        <v>117</v>
      </c>
      <c r="D7" s="92" t="s">
        <v>93</v>
      </c>
      <c r="E7" s="93" t="s">
        <v>120</v>
      </c>
      <c r="F7" s="94">
        <v>0.5</v>
      </c>
      <c r="G7" s="94">
        <v>0.5</v>
      </c>
      <c r="H7" s="93">
        <f t="shared" ref="H7:H72" si="0">(F7*$E$2)+(G7*$E$3)</f>
        <v>9</v>
      </c>
      <c r="I7" s="92" t="s">
        <v>119</v>
      </c>
    </row>
    <row r="8" spans="1:9">
      <c r="B8" s="486"/>
      <c r="C8" s="91" t="s">
        <v>117</v>
      </c>
      <c r="D8" s="92" t="s">
        <v>93</v>
      </c>
      <c r="E8" s="93" t="s">
        <v>121</v>
      </c>
      <c r="F8" s="94">
        <v>0.5</v>
      </c>
      <c r="G8" s="94">
        <v>0.5</v>
      </c>
      <c r="H8" s="93">
        <f t="shared" si="0"/>
        <v>9</v>
      </c>
      <c r="I8" s="92" t="s">
        <v>119</v>
      </c>
    </row>
    <row r="9" spans="1:9">
      <c r="B9" s="486"/>
      <c r="C9" s="91" t="s">
        <v>117</v>
      </c>
      <c r="D9" s="92" t="s">
        <v>93</v>
      </c>
      <c r="E9" s="93" t="s">
        <v>122</v>
      </c>
      <c r="F9" s="94">
        <v>0.5</v>
      </c>
      <c r="G9" s="94">
        <v>0.5</v>
      </c>
      <c r="H9" s="93">
        <f>(F9*$E$2)+(G9*$E$3)</f>
        <v>9</v>
      </c>
      <c r="I9" s="92" t="s">
        <v>119</v>
      </c>
    </row>
    <row r="10" spans="1:9">
      <c r="B10" s="486"/>
      <c r="C10" s="91" t="s">
        <v>117</v>
      </c>
      <c r="D10" s="92" t="s">
        <v>93</v>
      </c>
      <c r="E10" s="93" t="s">
        <v>123</v>
      </c>
      <c r="F10" s="94">
        <v>0.4</v>
      </c>
      <c r="G10" s="94">
        <v>0.6</v>
      </c>
      <c r="H10" s="93">
        <f t="shared" si="0"/>
        <v>8.4</v>
      </c>
      <c r="I10" s="92" t="s">
        <v>119</v>
      </c>
    </row>
    <row r="11" spans="1:9">
      <c r="B11" s="486"/>
      <c r="C11" s="91" t="s">
        <v>117</v>
      </c>
      <c r="D11" s="92" t="s">
        <v>93</v>
      </c>
      <c r="E11" s="93" t="s">
        <v>124</v>
      </c>
      <c r="F11" s="94">
        <v>0.4</v>
      </c>
      <c r="G11" s="94">
        <v>0.6</v>
      </c>
      <c r="H11" s="93">
        <f t="shared" si="0"/>
        <v>8.4</v>
      </c>
      <c r="I11" s="92" t="s">
        <v>119</v>
      </c>
    </row>
    <row r="12" spans="1:9">
      <c r="B12" s="486"/>
      <c r="C12" s="91" t="s">
        <v>117</v>
      </c>
      <c r="D12" s="92" t="s">
        <v>93</v>
      </c>
      <c r="E12" s="93" t="s">
        <v>125</v>
      </c>
      <c r="F12" s="94">
        <v>0.4</v>
      </c>
      <c r="G12" s="94">
        <v>0.6</v>
      </c>
      <c r="H12" s="93">
        <f t="shared" si="0"/>
        <v>8.4</v>
      </c>
      <c r="I12" s="92" t="s">
        <v>119</v>
      </c>
    </row>
    <row r="13" spans="1:9">
      <c r="B13" s="486"/>
      <c r="C13" s="91" t="s">
        <v>117</v>
      </c>
      <c r="D13" s="92" t="s">
        <v>93</v>
      </c>
      <c r="E13" s="93" t="s">
        <v>126</v>
      </c>
      <c r="F13" s="94">
        <v>0.4</v>
      </c>
      <c r="G13" s="94">
        <v>0.6</v>
      </c>
      <c r="H13" s="93">
        <f t="shared" si="0"/>
        <v>8.4</v>
      </c>
      <c r="I13" s="92" t="s">
        <v>119</v>
      </c>
    </row>
    <row r="14" spans="1:9">
      <c r="B14" s="486"/>
      <c r="C14" s="91" t="s">
        <v>117</v>
      </c>
      <c r="D14" s="92" t="s">
        <v>93</v>
      </c>
      <c r="E14" s="93" t="s">
        <v>127</v>
      </c>
      <c r="F14" s="94">
        <v>0.1</v>
      </c>
      <c r="G14" s="94">
        <v>0.9</v>
      </c>
      <c r="H14" s="93">
        <f t="shared" si="0"/>
        <v>6.6000000000000005</v>
      </c>
      <c r="I14" s="92" t="s">
        <v>119</v>
      </c>
    </row>
    <row r="15" spans="1:9">
      <c r="B15" s="486"/>
      <c r="C15" s="91" t="s">
        <v>117</v>
      </c>
      <c r="D15" s="92" t="s">
        <v>93</v>
      </c>
      <c r="E15" s="93" t="s">
        <v>104</v>
      </c>
      <c r="F15" s="94">
        <v>0.1</v>
      </c>
      <c r="G15" s="94">
        <v>0.9</v>
      </c>
      <c r="H15" s="93">
        <f t="shared" si="0"/>
        <v>6.6000000000000005</v>
      </c>
      <c r="I15" s="92" t="s">
        <v>119</v>
      </c>
    </row>
    <row r="16" spans="1:9">
      <c r="B16" s="486"/>
      <c r="C16" s="91" t="s">
        <v>117</v>
      </c>
      <c r="D16" s="92" t="s">
        <v>93</v>
      </c>
      <c r="E16" s="93" t="s">
        <v>128</v>
      </c>
      <c r="F16" s="94">
        <v>0.1</v>
      </c>
      <c r="G16" s="94">
        <v>0.9</v>
      </c>
      <c r="H16" s="93">
        <f t="shared" si="0"/>
        <v>6.6000000000000005</v>
      </c>
      <c r="I16" s="92" t="s">
        <v>119</v>
      </c>
    </row>
    <row r="17" spans="2:9">
      <c r="B17" s="486"/>
      <c r="C17" s="91" t="s">
        <v>117</v>
      </c>
      <c r="D17" s="92" t="s">
        <v>93</v>
      </c>
      <c r="E17" s="93" t="s">
        <v>129</v>
      </c>
      <c r="F17" s="94">
        <v>0.1</v>
      </c>
      <c r="G17" s="94">
        <v>0.9</v>
      </c>
      <c r="H17" s="93">
        <f>(F17*$E$2)+(G17*$E$3)</f>
        <v>6.6000000000000005</v>
      </c>
      <c r="I17" s="92" t="s">
        <v>119</v>
      </c>
    </row>
    <row r="18" spans="2:9">
      <c r="B18" s="486"/>
      <c r="C18" s="91" t="s">
        <v>117</v>
      </c>
      <c r="D18" s="92" t="s">
        <v>93</v>
      </c>
      <c r="E18" s="93" t="s">
        <v>130</v>
      </c>
      <c r="F18" s="94">
        <v>0.1</v>
      </c>
      <c r="G18" s="94">
        <v>0.9</v>
      </c>
      <c r="H18" s="93">
        <f t="shared" si="0"/>
        <v>6.6000000000000005</v>
      </c>
      <c r="I18" s="92" t="s">
        <v>119</v>
      </c>
    </row>
    <row r="19" spans="2:9">
      <c r="B19" s="486"/>
      <c r="C19" s="91" t="s">
        <v>117</v>
      </c>
      <c r="D19" s="92" t="s">
        <v>93</v>
      </c>
      <c r="E19" s="93" t="s">
        <v>131</v>
      </c>
      <c r="F19" s="94">
        <v>0.1</v>
      </c>
      <c r="G19" s="94">
        <v>0.9</v>
      </c>
      <c r="H19" s="93">
        <f t="shared" si="0"/>
        <v>6.6000000000000005</v>
      </c>
      <c r="I19" s="92" t="s">
        <v>119</v>
      </c>
    </row>
    <row r="20" spans="2:9">
      <c r="B20" s="486"/>
      <c r="C20" s="91" t="s">
        <v>117</v>
      </c>
      <c r="D20" s="92" t="s">
        <v>93</v>
      </c>
      <c r="E20" s="93" t="s">
        <v>132</v>
      </c>
      <c r="F20" s="94">
        <v>0.1</v>
      </c>
      <c r="G20" s="94">
        <v>0.9</v>
      </c>
      <c r="H20" s="93">
        <f t="shared" si="0"/>
        <v>6.6000000000000005</v>
      </c>
      <c r="I20" s="92" t="s">
        <v>119</v>
      </c>
    </row>
    <row r="21" spans="2:9">
      <c r="B21" s="486"/>
      <c r="C21" s="91" t="s">
        <v>117</v>
      </c>
      <c r="D21" s="92" t="s">
        <v>93</v>
      </c>
      <c r="E21" s="93" t="s">
        <v>133</v>
      </c>
      <c r="F21" s="94">
        <v>0.1</v>
      </c>
      <c r="G21" s="94">
        <v>0.9</v>
      </c>
      <c r="H21" s="93">
        <f t="shared" si="0"/>
        <v>6.6000000000000005</v>
      </c>
      <c r="I21" s="92" t="s">
        <v>119</v>
      </c>
    </row>
    <row r="22" spans="2:9">
      <c r="B22" s="486"/>
      <c r="C22" s="91" t="s">
        <v>117</v>
      </c>
      <c r="D22" s="92" t="s">
        <v>93</v>
      </c>
      <c r="E22" s="93" t="s">
        <v>134</v>
      </c>
      <c r="F22" s="94">
        <v>0.1</v>
      </c>
      <c r="G22" s="94">
        <v>0.9</v>
      </c>
      <c r="H22" s="93">
        <f t="shared" si="0"/>
        <v>6.6000000000000005</v>
      </c>
      <c r="I22" s="92" t="s">
        <v>119</v>
      </c>
    </row>
    <row r="23" spans="2:9">
      <c r="B23" s="486"/>
      <c r="C23" s="91" t="s">
        <v>117</v>
      </c>
      <c r="D23" s="92" t="s">
        <v>93</v>
      </c>
      <c r="E23" s="93" t="s">
        <v>135</v>
      </c>
      <c r="F23" s="94">
        <v>0.1</v>
      </c>
      <c r="G23" s="94">
        <v>0.9</v>
      </c>
      <c r="H23" s="93">
        <f t="shared" si="0"/>
        <v>6.6000000000000005</v>
      </c>
      <c r="I23" s="92" t="s">
        <v>119</v>
      </c>
    </row>
    <row r="24" spans="2:9">
      <c r="B24" s="486"/>
      <c r="C24" s="91" t="s">
        <v>117</v>
      </c>
      <c r="D24" s="92" t="s">
        <v>93</v>
      </c>
      <c r="E24" s="93" t="s">
        <v>128</v>
      </c>
      <c r="F24" s="94">
        <v>0.1</v>
      </c>
      <c r="G24" s="94">
        <v>0.9</v>
      </c>
      <c r="H24" s="93">
        <f t="shared" si="0"/>
        <v>6.6000000000000005</v>
      </c>
      <c r="I24" s="92" t="s">
        <v>119</v>
      </c>
    </row>
    <row r="25" spans="2:9">
      <c r="B25" s="486"/>
      <c r="C25" s="91" t="s">
        <v>117</v>
      </c>
      <c r="D25" s="92" t="s">
        <v>93</v>
      </c>
      <c r="E25" s="93" t="s">
        <v>136</v>
      </c>
      <c r="F25" s="94">
        <v>0.1</v>
      </c>
      <c r="G25" s="94">
        <v>0.9</v>
      </c>
      <c r="H25" s="93">
        <f t="shared" si="0"/>
        <v>6.6000000000000005</v>
      </c>
      <c r="I25" s="92" t="s">
        <v>119</v>
      </c>
    </row>
    <row r="26" spans="2:9">
      <c r="B26" s="486"/>
      <c r="C26" s="91" t="s">
        <v>117</v>
      </c>
      <c r="D26" s="92" t="s">
        <v>93</v>
      </c>
      <c r="E26" s="93" t="s">
        <v>137</v>
      </c>
      <c r="F26" s="94">
        <v>0.1</v>
      </c>
      <c r="G26" s="94">
        <v>0.9</v>
      </c>
      <c r="H26" s="93">
        <f t="shared" si="0"/>
        <v>6.6000000000000005</v>
      </c>
      <c r="I26" s="92" t="s">
        <v>119</v>
      </c>
    </row>
    <row r="27" spans="2:9">
      <c r="B27" s="486"/>
      <c r="C27" s="91" t="s">
        <v>117</v>
      </c>
      <c r="D27" s="92" t="s">
        <v>93</v>
      </c>
      <c r="E27" s="93" t="s">
        <v>138</v>
      </c>
      <c r="F27" s="94">
        <v>0.1</v>
      </c>
      <c r="G27" s="94">
        <v>0.9</v>
      </c>
      <c r="H27" s="93">
        <f t="shared" si="0"/>
        <v>6.6000000000000005</v>
      </c>
      <c r="I27" s="92" t="s">
        <v>119</v>
      </c>
    </row>
    <row r="28" spans="2:9">
      <c r="B28" s="486"/>
      <c r="C28" s="91" t="s">
        <v>117</v>
      </c>
      <c r="D28" s="92" t="s">
        <v>93</v>
      </c>
      <c r="E28" s="93" t="s">
        <v>139</v>
      </c>
      <c r="F28" s="94">
        <v>0.1</v>
      </c>
      <c r="G28" s="94">
        <v>0.9</v>
      </c>
      <c r="H28" s="93">
        <f t="shared" si="0"/>
        <v>6.6000000000000005</v>
      </c>
      <c r="I28" s="92" t="s">
        <v>119</v>
      </c>
    </row>
    <row r="29" spans="2:9">
      <c r="B29" s="486"/>
      <c r="C29" s="91" t="s">
        <v>117</v>
      </c>
      <c r="D29" s="92" t="s">
        <v>93</v>
      </c>
      <c r="E29" s="93" t="s">
        <v>140</v>
      </c>
      <c r="F29" s="94">
        <v>0.1</v>
      </c>
      <c r="G29" s="94">
        <v>0.9</v>
      </c>
      <c r="H29" s="93">
        <f t="shared" si="0"/>
        <v>6.6000000000000005</v>
      </c>
      <c r="I29" s="92" t="s">
        <v>119</v>
      </c>
    </row>
    <row r="30" spans="2:9">
      <c r="B30" s="486"/>
      <c r="C30" s="95" t="s">
        <v>117</v>
      </c>
      <c r="D30" s="84" t="s">
        <v>93</v>
      </c>
      <c r="E30" s="96" t="s">
        <v>100</v>
      </c>
      <c r="F30" s="94">
        <v>0.2</v>
      </c>
      <c r="G30" s="94">
        <v>0.8</v>
      </c>
      <c r="H30" s="93">
        <f t="shared" si="0"/>
        <v>7.2000000000000011</v>
      </c>
      <c r="I30" s="84" t="s">
        <v>141</v>
      </c>
    </row>
    <row r="31" spans="2:9">
      <c r="B31" s="486"/>
      <c r="C31" s="97" t="s">
        <v>117</v>
      </c>
      <c r="D31" s="84" t="s">
        <v>93</v>
      </c>
      <c r="E31" s="96" t="s">
        <v>142</v>
      </c>
      <c r="F31" s="94">
        <v>0.2</v>
      </c>
      <c r="G31" s="94">
        <v>0.8</v>
      </c>
      <c r="H31" s="93">
        <f t="shared" si="0"/>
        <v>7.2000000000000011</v>
      </c>
      <c r="I31" s="84" t="s">
        <v>141</v>
      </c>
    </row>
    <row r="32" spans="2:9">
      <c r="B32" s="486"/>
      <c r="C32" s="98" t="s">
        <v>117</v>
      </c>
      <c r="D32" s="99" t="s">
        <v>93</v>
      </c>
      <c r="E32" s="82" t="s">
        <v>97</v>
      </c>
      <c r="F32" s="94">
        <v>0.2</v>
      </c>
      <c r="G32" s="94">
        <v>0.8</v>
      </c>
      <c r="H32" s="93">
        <f t="shared" si="0"/>
        <v>7.2000000000000011</v>
      </c>
      <c r="I32" s="99" t="s">
        <v>143</v>
      </c>
    </row>
    <row r="33" spans="2:9">
      <c r="B33" s="486"/>
      <c r="C33" s="98" t="s">
        <v>117</v>
      </c>
      <c r="D33" s="99" t="s">
        <v>93</v>
      </c>
      <c r="E33" s="82" t="s">
        <v>144</v>
      </c>
      <c r="F33" s="94">
        <v>0.2</v>
      </c>
      <c r="G33" s="94">
        <v>0.8</v>
      </c>
      <c r="H33" s="93">
        <f t="shared" si="0"/>
        <v>7.2000000000000011</v>
      </c>
      <c r="I33" s="99" t="s">
        <v>143</v>
      </c>
    </row>
    <row r="34" spans="2:9">
      <c r="B34" s="486"/>
      <c r="C34" s="97" t="s">
        <v>117</v>
      </c>
      <c r="D34" s="84" t="s">
        <v>93</v>
      </c>
      <c r="E34" s="96" t="s">
        <v>145</v>
      </c>
      <c r="F34" s="94">
        <v>0.2</v>
      </c>
      <c r="G34" s="94">
        <v>0.8</v>
      </c>
      <c r="H34" s="93">
        <f t="shared" si="0"/>
        <v>7.2000000000000011</v>
      </c>
      <c r="I34" s="84" t="s">
        <v>141</v>
      </c>
    </row>
    <row r="35" spans="2:9">
      <c r="B35" s="486"/>
      <c r="C35" s="98" t="s">
        <v>117</v>
      </c>
      <c r="D35" s="99" t="s">
        <v>93</v>
      </c>
      <c r="E35" s="82" t="s">
        <v>146</v>
      </c>
      <c r="F35" s="94">
        <v>0.2</v>
      </c>
      <c r="G35" s="94">
        <v>0.8</v>
      </c>
      <c r="H35" s="93">
        <f t="shared" si="0"/>
        <v>7.2000000000000011</v>
      </c>
      <c r="I35" s="99" t="s">
        <v>143</v>
      </c>
    </row>
    <row r="36" spans="2:9">
      <c r="B36" s="486"/>
      <c r="C36" s="100" t="s">
        <v>117</v>
      </c>
      <c r="D36" s="101" t="s">
        <v>93</v>
      </c>
      <c r="E36" s="102" t="s">
        <v>147</v>
      </c>
      <c r="F36" s="94">
        <v>0.4</v>
      </c>
      <c r="G36" s="94">
        <v>0.6</v>
      </c>
      <c r="H36" s="93">
        <f t="shared" si="0"/>
        <v>8.4</v>
      </c>
      <c r="I36" s="101" t="s">
        <v>148</v>
      </c>
    </row>
    <row r="37" spans="2:9">
      <c r="B37" s="486"/>
      <c r="C37" s="100" t="s">
        <v>117</v>
      </c>
      <c r="D37" s="101" t="s">
        <v>93</v>
      </c>
      <c r="E37" s="102" t="s">
        <v>149</v>
      </c>
      <c r="F37" s="94">
        <v>0.1</v>
      </c>
      <c r="G37" s="94">
        <v>0.9</v>
      </c>
      <c r="H37" s="93">
        <f t="shared" si="0"/>
        <v>6.6000000000000005</v>
      </c>
      <c r="I37" s="101" t="s">
        <v>148</v>
      </c>
    </row>
    <row r="38" spans="2:9">
      <c r="B38" s="486"/>
      <c r="C38" s="100" t="s">
        <v>117</v>
      </c>
      <c r="D38" s="101" t="s">
        <v>93</v>
      </c>
      <c r="E38" s="102" t="s">
        <v>150</v>
      </c>
      <c r="F38" s="94">
        <v>0.6</v>
      </c>
      <c r="G38" s="94">
        <v>0.4</v>
      </c>
      <c r="H38" s="93">
        <f t="shared" si="0"/>
        <v>9.6</v>
      </c>
      <c r="I38" s="101" t="s">
        <v>148</v>
      </c>
    </row>
    <row r="39" spans="2:9">
      <c r="B39" s="486"/>
      <c r="C39" s="100" t="s">
        <v>117</v>
      </c>
      <c r="D39" s="101" t="s">
        <v>93</v>
      </c>
      <c r="E39" s="102" t="s">
        <v>99</v>
      </c>
      <c r="F39" s="94">
        <v>0.5</v>
      </c>
      <c r="G39" s="94">
        <v>0.5</v>
      </c>
      <c r="H39" s="93">
        <f t="shared" si="0"/>
        <v>9</v>
      </c>
      <c r="I39" s="101" t="s">
        <v>148</v>
      </c>
    </row>
    <row r="40" spans="2:9">
      <c r="B40" s="486"/>
      <c r="C40" s="100" t="s">
        <v>117</v>
      </c>
      <c r="D40" s="101" t="s">
        <v>93</v>
      </c>
      <c r="E40" s="102" t="s">
        <v>151</v>
      </c>
      <c r="F40" s="94">
        <v>0.5</v>
      </c>
      <c r="G40" s="94">
        <v>0.5</v>
      </c>
      <c r="H40" s="93">
        <f t="shared" si="0"/>
        <v>9</v>
      </c>
      <c r="I40" s="101" t="s">
        <v>148</v>
      </c>
    </row>
    <row r="41" spans="2:9">
      <c r="B41" s="486"/>
      <c r="C41" s="100" t="s">
        <v>117</v>
      </c>
      <c r="D41" s="101" t="s">
        <v>93</v>
      </c>
      <c r="E41" s="102" t="s">
        <v>152</v>
      </c>
      <c r="F41" s="94">
        <v>0.5</v>
      </c>
      <c r="G41" s="94">
        <v>0.5</v>
      </c>
      <c r="H41" s="93">
        <f t="shared" si="0"/>
        <v>9</v>
      </c>
      <c r="I41" s="101" t="s">
        <v>148</v>
      </c>
    </row>
    <row r="42" spans="2:9">
      <c r="B42" s="486"/>
      <c r="C42" s="98" t="s">
        <v>117</v>
      </c>
      <c r="D42" s="99" t="s">
        <v>93</v>
      </c>
      <c r="E42" s="82" t="s">
        <v>101</v>
      </c>
      <c r="F42" s="94">
        <v>0.2</v>
      </c>
      <c r="G42" s="94">
        <v>0.8</v>
      </c>
      <c r="H42" s="93">
        <f t="shared" si="0"/>
        <v>7.2000000000000011</v>
      </c>
      <c r="I42" s="99" t="s">
        <v>143</v>
      </c>
    </row>
    <row r="43" spans="2:9">
      <c r="B43" s="486"/>
      <c r="C43" s="97" t="s">
        <v>117</v>
      </c>
      <c r="D43" s="84" t="s">
        <v>93</v>
      </c>
      <c r="E43" s="96" t="s">
        <v>153</v>
      </c>
      <c r="F43" s="94">
        <v>0.2</v>
      </c>
      <c r="G43" s="94">
        <v>0.8</v>
      </c>
      <c r="H43" s="93">
        <f t="shared" si="0"/>
        <v>7.2000000000000011</v>
      </c>
      <c r="I43" s="84" t="s">
        <v>141</v>
      </c>
    </row>
    <row r="44" spans="2:9">
      <c r="B44" s="486"/>
      <c r="C44" s="98" t="s">
        <v>117</v>
      </c>
      <c r="D44" s="99" t="s">
        <v>93</v>
      </c>
      <c r="E44" s="82" t="s">
        <v>154</v>
      </c>
      <c r="F44" s="94">
        <v>0.2</v>
      </c>
      <c r="G44" s="94">
        <v>0.8</v>
      </c>
      <c r="H44" s="93">
        <f t="shared" si="0"/>
        <v>7.2000000000000011</v>
      </c>
      <c r="I44" s="99" t="s">
        <v>143</v>
      </c>
    </row>
    <row r="45" spans="2:9">
      <c r="B45" s="486"/>
      <c r="C45" s="103" t="s">
        <v>117</v>
      </c>
      <c r="D45" s="104" t="s">
        <v>93</v>
      </c>
      <c r="E45" s="83" t="s">
        <v>103</v>
      </c>
      <c r="F45" s="94">
        <v>0.5</v>
      </c>
      <c r="G45" s="94">
        <v>0.5</v>
      </c>
      <c r="H45" s="93">
        <f>(F45*$E$2)+(G45*$E$3)</f>
        <v>9</v>
      </c>
      <c r="I45" s="105" t="s">
        <v>155</v>
      </c>
    </row>
    <row r="46" spans="2:9">
      <c r="B46" s="486"/>
      <c r="C46" s="106" t="s">
        <v>117</v>
      </c>
      <c r="D46" s="107" t="s">
        <v>93</v>
      </c>
      <c r="E46" s="83" t="s">
        <v>156</v>
      </c>
      <c r="F46" s="94">
        <v>0.5</v>
      </c>
      <c r="G46" s="94">
        <v>0.5</v>
      </c>
      <c r="H46" s="93">
        <f t="shared" si="0"/>
        <v>9</v>
      </c>
      <c r="I46" s="105" t="s">
        <v>155</v>
      </c>
    </row>
    <row r="47" spans="2:9">
      <c r="B47" s="486"/>
      <c r="C47" s="103" t="s">
        <v>117</v>
      </c>
      <c r="D47" s="104" t="s">
        <v>93</v>
      </c>
      <c r="E47" s="83" t="s">
        <v>157</v>
      </c>
      <c r="F47" s="94">
        <v>0.8</v>
      </c>
      <c r="G47" s="94">
        <v>0.2</v>
      </c>
      <c r="H47" s="93">
        <f t="shared" si="0"/>
        <v>10.8</v>
      </c>
      <c r="I47" s="105" t="s">
        <v>155</v>
      </c>
    </row>
    <row r="48" spans="2:9">
      <c r="B48" s="486"/>
      <c r="C48" s="103" t="s">
        <v>117</v>
      </c>
      <c r="D48" s="104" t="s">
        <v>93</v>
      </c>
      <c r="E48" s="83" t="s">
        <v>158</v>
      </c>
      <c r="F48" s="94">
        <v>0.8</v>
      </c>
      <c r="G48" s="94">
        <v>0.2</v>
      </c>
      <c r="H48" s="93">
        <f t="shared" si="0"/>
        <v>10.8</v>
      </c>
      <c r="I48" s="105" t="s">
        <v>155</v>
      </c>
    </row>
    <row r="49" spans="2:9">
      <c r="B49" s="486"/>
      <c r="C49" s="103" t="s">
        <v>117</v>
      </c>
      <c r="D49" s="104" t="s">
        <v>93</v>
      </c>
      <c r="E49" s="83" t="s">
        <v>159</v>
      </c>
      <c r="F49" s="94">
        <v>0.5</v>
      </c>
      <c r="G49" s="94">
        <v>0.5</v>
      </c>
      <c r="H49" s="93">
        <f t="shared" si="0"/>
        <v>9</v>
      </c>
      <c r="I49" s="105" t="s">
        <v>155</v>
      </c>
    </row>
    <row r="50" spans="2:9">
      <c r="B50" s="486"/>
      <c r="C50" s="103" t="s">
        <v>117</v>
      </c>
      <c r="D50" s="104" t="s">
        <v>93</v>
      </c>
      <c r="E50" s="83" t="s">
        <v>160</v>
      </c>
      <c r="F50" s="94">
        <v>0.5</v>
      </c>
      <c r="G50" s="94">
        <v>0.5</v>
      </c>
      <c r="H50" s="93">
        <f t="shared" si="0"/>
        <v>9</v>
      </c>
      <c r="I50" s="105" t="s">
        <v>155</v>
      </c>
    </row>
    <row r="51" spans="2:9">
      <c r="B51" s="486"/>
      <c r="C51" s="91" t="s">
        <v>117</v>
      </c>
      <c r="D51" s="92" t="s">
        <v>93</v>
      </c>
      <c r="E51" s="93" t="s">
        <v>92</v>
      </c>
      <c r="F51" s="94">
        <v>0.8</v>
      </c>
      <c r="G51" s="94">
        <v>0.2</v>
      </c>
      <c r="H51" s="93">
        <f t="shared" si="0"/>
        <v>10.8</v>
      </c>
      <c r="I51" s="92" t="s">
        <v>119</v>
      </c>
    </row>
    <row r="52" spans="2:9">
      <c r="B52" s="486"/>
      <c r="C52" s="103" t="s">
        <v>117</v>
      </c>
      <c r="D52" s="104" t="s">
        <v>93</v>
      </c>
      <c r="E52" s="83" t="s">
        <v>107</v>
      </c>
      <c r="F52" s="94">
        <v>0.5</v>
      </c>
      <c r="G52" s="94">
        <v>0.5</v>
      </c>
      <c r="H52" s="93">
        <f t="shared" si="0"/>
        <v>9</v>
      </c>
      <c r="I52" s="105" t="s">
        <v>155</v>
      </c>
    </row>
    <row r="53" spans="2:9">
      <c r="B53" s="486"/>
      <c r="C53" s="106" t="s">
        <v>117</v>
      </c>
      <c r="D53" s="107" t="s">
        <v>93</v>
      </c>
      <c r="E53" s="83" t="s">
        <v>161</v>
      </c>
      <c r="F53" s="94">
        <v>0.5</v>
      </c>
      <c r="G53" s="94">
        <v>0.5</v>
      </c>
      <c r="H53" s="93">
        <f t="shared" si="0"/>
        <v>9</v>
      </c>
      <c r="I53" s="105" t="s">
        <v>155</v>
      </c>
    </row>
    <row r="54" spans="2:9">
      <c r="B54" s="486"/>
      <c r="C54" s="108" t="s">
        <v>117</v>
      </c>
      <c r="D54" s="104" t="s">
        <v>93</v>
      </c>
      <c r="E54" s="83" t="s">
        <v>162</v>
      </c>
      <c r="F54" s="94">
        <v>0.5</v>
      </c>
      <c r="G54" s="94">
        <v>0.5</v>
      </c>
      <c r="H54" s="93">
        <f t="shared" si="0"/>
        <v>9</v>
      </c>
      <c r="I54" s="105" t="s">
        <v>155</v>
      </c>
    </row>
    <row r="55" spans="2:9">
      <c r="B55" s="486"/>
      <c r="C55" s="108" t="s">
        <v>117</v>
      </c>
      <c r="D55" s="104" t="s">
        <v>93</v>
      </c>
      <c r="E55" s="83" t="s">
        <v>163</v>
      </c>
      <c r="F55" s="94">
        <v>0.5</v>
      </c>
      <c r="G55" s="94">
        <v>0.5</v>
      </c>
      <c r="H55" s="93">
        <f t="shared" si="0"/>
        <v>9</v>
      </c>
      <c r="I55" s="105" t="s">
        <v>155</v>
      </c>
    </row>
    <row r="56" spans="2:9">
      <c r="B56" s="486"/>
      <c r="C56" s="109" t="s">
        <v>117</v>
      </c>
      <c r="D56" s="84" t="s">
        <v>93</v>
      </c>
      <c r="E56" s="96" t="s">
        <v>164</v>
      </c>
      <c r="F56" s="94">
        <v>0.6</v>
      </c>
      <c r="G56" s="94">
        <v>0.4</v>
      </c>
      <c r="H56" s="93">
        <f t="shared" si="0"/>
        <v>9.6</v>
      </c>
      <c r="I56" s="110" t="s">
        <v>141</v>
      </c>
    </row>
    <row r="57" spans="2:9">
      <c r="B57" s="486"/>
      <c r="C57" s="109" t="s">
        <v>117</v>
      </c>
      <c r="D57" s="84" t="s">
        <v>93</v>
      </c>
      <c r="E57" s="96" t="s">
        <v>95</v>
      </c>
      <c r="F57" s="94">
        <v>0.4</v>
      </c>
      <c r="G57" s="94">
        <v>0.6</v>
      </c>
      <c r="H57" s="93">
        <f t="shared" si="0"/>
        <v>8.4</v>
      </c>
      <c r="I57" s="110" t="s">
        <v>141</v>
      </c>
    </row>
    <row r="58" spans="2:9">
      <c r="B58" s="486"/>
      <c r="C58" s="109" t="s">
        <v>117</v>
      </c>
      <c r="D58" s="84" t="s">
        <v>93</v>
      </c>
      <c r="E58" s="96" t="s">
        <v>98</v>
      </c>
      <c r="F58" s="94">
        <v>0.8</v>
      </c>
      <c r="G58" s="94">
        <v>0.2</v>
      </c>
      <c r="H58" s="93">
        <f t="shared" si="0"/>
        <v>10.8</v>
      </c>
      <c r="I58" s="110" t="s">
        <v>141</v>
      </c>
    </row>
    <row r="59" spans="2:9">
      <c r="B59" s="486"/>
      <c r="C59" s="109" t="s">
        <v>117</v>
      </c>
      <c r="D59" s="84" t="s">
        <v>93</v>
      </c>
      <c r="E59" s="96" t="s">
        <v>96</v>
      </c>
      <c r="F59" s="94">
        <v>0.2</v>
      </c>
      <c r="G59" s="94">
        <v>0.8</v>
      </c>
      <c r="H59" s="93">
        <f t="shared" si="0"/>
        <v>7.2000000000000011</v>
      </c>
      <c r="I59" s="110" t="s">
        <v>141</v>
      </c>
    </row>
    <row r="60" spans="2:9">
      <c r="B60" s="486"/>
      <c r="C60" s="109" t="s">
        <v>117</v>
      </c>
      <c r="D60" s="84" t="s">
        <v>93</v>
      </c>
      <c r="E60" s="96" t="s">
        <v>165</v>
      </c>
      <c r="F60" s="94">
        <v>0.2</v>
      </c>
      <c r="G60" s="94">
        <v>0.8</v>
      </c>
      <c r="H60" s="93">
        <f t="shared" si="0"/>
        <v>7.2000000000000011</v>
      </c>
      <c r="I60" s="110" t="s">
        <v>141</v>
      </c>
    </row>
    <row r="61" spans="2:9">
      <c r="B61" s="486"/>
      <c r="C61" s="109" t="s">
        <v>117</v>
      </c>
      <c r="D61" s="84" t="s">
        <v>93</v>
      </c>
      <c r="E61" s="96" t="s">
        <v>94</v>
      </c>
      <c r="F61" s="94">
        <v>0.2</v>
      </c>
      <c r="G61" s="94">
        <v>0.8</v>
      </c>
      <c r="H61" s="93">
        <f t="shared" si="0"/>
        <v>7.2000000000000011</v>
      </c>
      <c r="I61" s="110" t="s">
        <v>141</v>
      </c>
    </row>
    <row r="62" spans="2:9">
      <c r="B62" s="486"/>
      <c r="C62" s="111" t="s">
        <v>117</v>
      </c>
      <c r="D62" s="99" t="s">
        <v>93</v>
      </c>
      <c r="E62" s="82" t="s">
        <v>166</v>
      </c>
      <c r="F62" s="94">
        <v>0.1</v>
      </c>
      <c r="G62" s="94">
        <v>0.9</v>
      </c>
      <c r="H62" s="93">
        <f t="shared" si="0"/>
        <v>6.6000000000000005</v>
      </c>
      <c r="I62" s="112" t="s">
        <v>143</v>
      </c>
    </row>
    <row r="63" spans="2:9">
      <c r="B63" s="486"/>
      <c r="C63" s="111" t="s">
        <v>117</v>
      </c>
      <c r="D63" s="99" t="s">
        <v>93</v>
      </c>
      <c r="E63" s="82" t="s">
        <v>167</v>
      </c>
      <c r="F63" s="94">
        <v>0.1</v>
      </c>
      <c r="G63" s="94">
        <v>0.9</v>
      </c>
      <c r="H63" s="93">
        <f t="shared" si="0"/>
        <v>6.6000000000000005</v>
      </c>
      <c r="I63" s="112" t="s">
        <v>143</v>
      </c>
    </row>
    <row r="64" spans="2:9">
      <c r="B64" s="486"/>
      <c r="C64" s="111" t="s">
        <v>117</v>
      </c>
      <c r="D64" s="99" t="s">
        <v>93</v>
      </c>
      <c r="E64" s="82" t="s">
        <v>168</v>
      </c>
      <c r="F64" s="94">
        <v>0.1</v>
      </c>
      <c r="G64" s="94">
        <v>0.9</v>
      </c>
      <c r="H64" s="93">
        <f t="shared" si="0"/>
        <v>6.6000000000000005</v>
      </c>
      <c r="I64" s="112" t="s">
        <v>143</v>
      </c>
    </row>
    <row r="65" spans="2:9">
      <c r="B65" s="486"/>
      <c r="C65" s="111" t="s">
        <v>117</v>
      </c>
      <c r="D65" s="99" t="s">
        <v>93</v>
      </c>
      <c r="E65" s="82" t="s">
        <v>169</v>
      </c>
      <c r="F65" s="94">
        <v>0.1</v>
      </c>
      <c r="G65" s="94">
        <v>0.9</v>
      </c>
      <c r="H65" s="93">
        <f t="shared" si="0"/>
        <v>6.6000000000000005</v>
      </c>
      <c r="I65" s="112" t="s">
        <v>143</v>
      </c>
    </row>
    <row r="66" spans="2:9">
      <c r="B66" s="486"/>
      <c r="C66" s="111" t="s">
        <v>117</v>
      </c>
      <c r="D66" s="99" t="s">
        <v>93</v>
      </c>
      <c r="E66" s="82" t="s">
        <v>106</v>
      </c>
      <c r="F66" s="94">
        <v>0.6</v>
      </c>
      <c r="G66" s="94">
        <v>0.4</v>
      </c>
      <c r="H66" s="93">
        <f t="shared" si="0"/>
        <v>9.6</v>
      </c>
      <c r="I66" s="112" t="s">
        <v>143</v>
      </c>
    </row>
    <row r="67" spans="2:9">
      <c r="B67" s="486"/>
      <c r="C67" s="111" t="s">
        <v>117</v>
      </c>
      <c r="D67" s="99" t="s">
        <v>93</v>
      </c>
      <c r="E67" s="82" t="s">
        <v>170</v>
      </c>
      <c r="F67" s="94">
        <v>0.1</v>
      </c>
      <c r="G67" s="94">
        <v>0.9</v>
      </c>
      <c r="H67" s="93">
        <f t="shared" si="0"/>
        <v>6.6000000000000005</v>
      </c>
      <c r="I67" s="112" t="s">
        <v>143</v>
      </c>
    </row>
    <row r="68" spans="2:9">
      <c r="B68" s="486"/>
      <c r="C68" s="111" t="s">
        <v>117</v>
      </c>
      <c r="D68" s="99" t="s">
        <v>93</v>
      </c>
      <c r="E68" s="82" t="s">
        <v>171</v>
      </c>
      <c r="F68" s="94">
        <v>0.1</v>
      </c>
      <c r="G68" s="94">
        <v>0.9</v>
      </c>
      <c r="H68" s="93">
        <f t="shared" si="0"/>
        <v>6.6000000000000005</v>
      </c>
      <c r="I68" s="112" t="s">
        <v>143</v>
      </c>
    </row>
    <row r="69" spans="2:9">
      <c r="B69" s="486"/>
      <c r="C69" s="111" t="s">
        <v>117</v>
      </c>
      <c r="D69" s="99" t="s">
        <v>93</v>
      </c>
      <c r="E69" s="82" t="s">
        <v>172</v>
      </c>
      <c r="F69" s="94">
        <v>0.1</v>
      </c>
      <c r="G69" s="94">
        <v>0.9</v>
      </c>
      <c r="H69" s="93">
        <f t="shared" si="0"/>
        <v>6.6000000000000005</v>
      </c>
      <c r="I69" s="112" t="s">
        <v>143</v>
      </c>
    </row>
    <row r="70" spans="2:9">
      <c r="B70" s="486"/>
      <c r="C70" s="111" t="s">
        <v>117</v>
      </c>
      <c r="D70" s="99" t="s">
        <v>93</v>
      </c>
      <c r="E70" s="82" t="s">
        <v>173</v>
      </c>
      <c r="F70" s="94">
        <v>0.1</v>
      </c>
      <c r="G70" s="94">
        <v>0.9</v>
      </c>
      <c r="H70" s="93">
        <f t="shared" si="0"/>
        <v>6.6000000000000005</v>
      </c>
      <c r="I70" s="112" t="s">
        <v>143</v>
      </c>
    </row>
    <row r="71" spans="2:9">
      <c r="B71" s="113"/>
      <c r="C71" s="111" t="s">
        <v>117</v>
      </c>
      <c r="D71" s="99" t="s">
        <v>93</v>
      </c>
      <c r="E71" s="82" t="s">
        <v>174</v>
      </c>
      <c r="F71" s="94">
        <v>0.1</v>
      </c>
      <c r="G71" s="94">
        <v>0.9</v>
      </c>
      <c r="H71" s="93">
        <f t="shared" si="0"/>
        <v>6.6000000000000005</v>
      </c>
      <c r="I71" s="112" t="s">
        <v>143</v>
      </c>
    </row>
    <row r="72" spans="2:9">
      <c r="B72" s="113"/>
      <c r="C72" s="111" t="s">
        <v>117</v>
      </c>
      <c r="D72" s="99" t="s">
        <v>93</v>
      </c>
      <c r="E72" s="82" t="s">
        <v>175</v>
      </c>
      <c r="F72" s="94">
        <v>0.1</v>
      </c>
      <c r="G72" s="94">
        <v>0.9</v>
      </c>
      <c r="H72" s="93">
        <f t="shared" si="0"/>
        <v>6.6000000000000005</v>
      </c>
      <c r="I72" s="112" t="s">
        <v>143</v>
      </c>
    </row>
    <row r="73" spans="2:9">
      <c r="B73" s="113"/>
      <c r="C73" s="111" t="s">
        <v>117</v>
      </c>
      <c r="D73" s="99" t="s">
        <v>93</v>
      </c>
      <c r="E73" s="82" t="s">
        <v>176</v>
      </c>
      <c r="F73" s="94">
        <v>0.1</v>
      </c>
      <c r="G73" s="94">
        <v>0.9</v>
      </c>
      <c r="H73" s="93">
        <f t="shared" ref="H73:H99" si="1">(F73*$E$2)+(G73*$E$3)</f>
        <v>6.6000000000000005</v>
      </c>
      <c r="I73" s="112" t="s">
        <v>143</v>
      </c>
    </row>
    <row r="74" spans="2:9">
      <c r="B74" s="113"/>
      <c r="C74" s="111" t="s">
        <v>117</v>
      </c>
      <c r="D74" s="99" t="s">
        <v>93</v>
      </c>
      <c r="E74" s="82" t="s">
        <v>177</v>
      </c>
      <c r="F74" s="94">
        <v>0.1</v>
      </c>
      <c r="G74" s="94">
        <v>0.9</v>
      </c>
      <c r="H74" s="93">
        <f t="shared" si="1"/>
        <v>6.6000000000000005</v>
      </c>
      <c r="I74" s="112" t="s">
        <v>143</v>
      </c>
    </row>
    <row r="75" spans="2:9">
      <c r="B75" s="113"/>
      <c r="C75" s="111" t="s">
        <v>117</v>
      </c>
      <c r="D75" s="99" t="s">
        <v>93</v>
      </c>
      <c r="E75" s="82" t="s">
        <v>178</v>
      </c>
      <c r="F75" s="94">
        <v>0.1</v>
      </c>
      <c r="G75" s="94">
        <v>0.9</v>
      </c>
      <c r="H75" s="93">
        <f t="shared" si="1"/>
        <v>6.6000000000000005</v>
      </c>
      <c r="I75" s="112" t="s">
        <v>143</v>
      </c>
    </row>
    <row r="76" spans="2:9">
      <c r="B76" s="113"/>
      <c r="C76" s="111" t="s">
        <v>117</v>
      </c>
      <c r="D76" s="99" t="s">
        <v>93</v>
      </c>
      <c r="E76" s="82" t="s">
        <v>179</v>
      </c>
      <c r="F76" s="94">
        <v>0.1</v>
      </c>
      <c r="G76" s="94">
        <v>0.9</v>
      </c>
      <c r="H76" s="93">
        <f t="shared" si="1"/>
        <v>6.6000000000000005</v>
      </c>
      <c r="I76" s="112" t="s">
        <v>143</v>
      </c>
    </row>
    <row r="77" spans="2:9">
      <c r="B77" s="487" t="s">
        <v>180</v>
      </c>
      <c r="C77" s="114" t="s">
        <v>181</v>
      </c>
      <c r="D77" s="104" t="s">
        <v>182</v>
      </c>
      <c r="E77" s="83"/>
      <c r="F77" s="94">
        <v>0.2</v>
      </c>
      <c r="G77" s="94">
        <v>0.8</v>
      </c>
      <c r="H77" s="93">
        <f t="shared" si="1"/>
        <v>7.2000000000000011</v>
      </c>
      <c r="I77" s="105" t="s">
        <v>155</v>
      </c>
    </row>
    <row r="78" spans="2:9">
      <c r="B78" s="487"/>
      <c r="C78" s="114" t="s">
        <v>183</v>
      </c>
      <c r="D78" s="104" t="s">
        <v>184</v>
      </c>
      <c r="E78" s="83"/>
      <c r="F78" s="94">
        <v>0.2</v>
      </c>
      <c r="G78" s="94">
        <v>0.8</v>
      </c>
      <c r="H78" s="93">
        <f t="shared" si="1"/>
        <v>7.2000000000000011</v>
      </c>
      <c r="I78" s="105" t="s">
        <v>155</v>
      </c>
    </row>
    <row r="79" spans="2:9">
      <c r="B79" s="487"/>
      <c r="C79" s="114" t="s">
        <v>185</v>
      </c>
      <c r="D79" s="104" t="s">
        <v>186</v>
      </c>
      <c r="E79" s="83"/>
      <c r="F79" s="94">
        <v>0.2</v>
      </c>
      <c r="G79" s="94">
        <v>0.8</v>
      </c>
      <c r="H79" s="93">
        <f t="shared" si="1"/>
        <v>7.2000000000000011</v>
      </c>
      <c r="I79" s="105" t="s">
        <v>155</v>
      </c>
    </row>
    <row r="80" spans="2:9">
      <c r="B80" s="487"/>
      <c r="C80" s="114" t="s">
        <v>187</v>
      </c>
      <c r="D80" s="104" t="s">
        <v>188</v>
      </c>
      <c r="E80" s="83"/>
      <c r="F80" s="94">
        <v>0.2</v>
      </c>
      <c r="G80" s="94">
        <v>0.8</v>
      </c>
      <c r="H80" s="93">
        <f t="shared" si="1"/>
        <v>7.2000000000000011</v>
      </c>
      <c r="I80" s="105" t="s">
        <v>155</v>
      </c>
    </row>
    <row r="81" spans="2:9">
      <c r="B81" s="487"/>
      <c r="C81" s="115" t="s">
        <v>189</v>
      </c>
      <c r="D81" s="116" t="s">
        <v>190</v>
      </c>
      <c r="E81" s="117"/>
      <c r="F81" s="94">
        <v>0.2</v>
      </c>
      <c r="G81" s="94">
        <v>0.8</v>
      </c>
      <c r="H81" s="93">
        <f t="shared" si="1"/>
        <v>7.2000000000000011</v>
      </c>
      <c r="I81" s="92" t="s">
        <v>119</v>
      </c>
    </row>
    <row r="82" spans="2:9">
      <c r="B82" s="487"/>
      <c r="C82" s="115" t="s">
        <v>191</v>
      </c>
      <c r="D82" s="116" t="s">
        <v>192</v>
      </c>
      <c r="E82" s="117"/>
      <c r="F82" s="94">
        <v>0.2</v>
      </c>
      <c r="G82" s="94">
        <v>0.8</v>
      </c>
      <c r="H82" s="93">
        <f t="shared" si="1"/>
        <v>7.2000000000000011</v>
      </c>
      <c r="I82" s="92" t="s">
        <v>119</v>
      </c>
    </row>
    <row r="83" spans="2:9">
      <c r="B83" s="487"/>
      <c r="C83" s="115" t="s">
        <v>193</v>
      </c>
      <c r="D83" s="116" t="s">
        <v>194</v>
      </c>
      <c r="E83" s="117"/>
      <c r="F83" s="94">
        <v>0.2</v>
      </c>
      <c r="G83" s="94">
        <v>0.8</v>
      </c>
      <c r="H83" s="93">
        <f t="shared" si="1"/>
        <v>7.2000000000000011</v>
      </c>
      <c r="I83" s="92" t="s">
        <v>119</v>
      </c>
    </row>
    <row r="84" spans="2:9">
      <c r="B84" s="487"/>
      <c r="C84" s="118" t="s">
        <v>195</v>
      </c>
      <c r="D84" s="99" t="s">
        <v>196</v>
      </c>
      <c r="E84" s="82"/>
      <c r="F84" s="94">
        <v>0.2</v>
      </c>
      <c r="G84" s="94">
        <v>0.8</v>
      </c>
      <c r="H84" s="93">
        <f t="shared" si="1"/>
        <v>7.2000000000000011</v>
      </c>
      <c r="I84" s="112" t="s">
        <v>143</v>
      </c>
    </row>
    <row r="85" spans="2:9">
      <c r="B85" s="487"/>
      <c r="C85" s="118" t="s">
        <v>197</v>
      </c>
      <c r="D85" s="99" t="s">
        <v>198</v>
      </c>
      <c r="E85" s="82"/>
      <c r="F85" s="94">
        <v>0.2</v>
      </c>
      <c r="G85" s="94">
        <v>0.8</v>
      </c>
      <c r="H85" s="93">
        <f t="shared" si="1"/>
        <v>7.2000000000000011</v>
      </c>
      <c r="I85" s="112" t="s">
        <v>143</v>
      </c>
    </row>
    <row r="86" spans="2:9">
      <c r="B86" s="487"/>
      <c r="C86" s="119" t="s">
        <v>199</v>
      </c>
      <c r="D86" s="84" t="s">
        <v>200</v>
      </c>
      <c r="E86" s="96"/>
      <c r="F86" s="94">
        <v>0.2</v>
      </c>
      <c r="G86" s="94">
        <v>0.8</v>
      </c>
      <c r="H86" s="93">
        <f t="shared" si="1"/>
        <v>7.2000000000000011</v>
      </c>
      <c r="I86" s="110" t="s">
        <v>141</v>
      </c>
    </row>
    <row r="87" spans="2:9">
      <c r="B87" s="487"/>
      <c r="C87" s="119" t="s">
        <v>201</v>
      </c>
      <c r="D87" s="84" t="s">
        <v>202</v>
      </c>
      <c r="E87" s="96"/>
      <c r="F87" s="94">
        <v>0.2</v>
      </c>
      <c r="G87" s="94">
        <v>0.8</v>
      </c>
      <c r="H87" s="93">
        <f t="shared" si="1"/>
        <v>7.2000000000000011</v>
      </c>
      <c r="I87" s="110" t="s">
        <v>141</v>
      </c>
    </row>
    <row r="88" spans="2:9">
      <c r="B88" s="487"/>
      <c r="C88" s="118" t="s">
        <v>203</v>
      </c>
      <c r="D88" s="99" t="s">
        <v>105</v>
      </c>
      <c r="E88" s="82"/>
      <c r="F88" s="94">
        <v>0.2</v>
      </c>
      <c r="G88" s="94">
        <v>0.8</v>
      </c>
      <c r="H88" s="93">
        <f t="shared" si="1"/>
        <v>7.2000000000000011</v>
      </c>
      <c r="I88" s="99" t="s">
        <v>143</v>
      </c>
    </row>
    <row r="89" spans="2:9">
      <c r="B89" s="487"/>
      <c r="C89" s="119" t="s">
        <v>204</v>
      </c>
      <c r="D89" s="84" t="s">
        <v>102</v>
      </c>
      <c r="E89" s="96"/>
      <c r="F89" s="94">
        <v>0.2</v>
      </c>
      <c r="G89" s="94">
        <v>0.8</v>
      </c>
      <c r="H89" s="93">
        <f t="shared" si="1"/>
        <v>7.2000000000000011</v>
      </c>
      <c r="I89" s="110" t="s">
        <v>141</v>
      </c>
    </row>
    <row r="90" spans="2:9">
      <c r="B90" s="487"/>
      <c r="C90" s="119" t="s">
        <v>205</v>
      </c>
      <c r="D90" s="84" t="s">
        <v>206</v>
      </c>
      <c r="E90" s="96"/>
      <c r="F90" s="94">
        <v>0.2</v>
      </c>
      <c r="G90" s="94">
        <v>0.8</v>
      </c>
      <c r="H90" s="93">
        <f t="shared" si="1"/>
        <v>7.2000000000000011</v>
      </c>
      <c r="I90" s="110" t="s">
        <v>141</v>
      </c>
    </row>
    <row r="91" spans="2:9">
      <c r="B91" s="487"/>
      <c r="C91" s="119" t="s">
        <v>207</v>
      </c>
      <c r="D91" s="84" t="s">
        <v>208</v>
      </c>
      <c r="E91" s="96"/>
      <c r="F91" s="94">
        <v>0.2</v>
      </c>
      <c r="G91" s="94">
        <v>0.8</v>
      </c>
      <c r="H91" s="93">
        <f t="shared" si="1"/>
        <v>7.2000000000000011</v>
      </c>
      <c r="I91" s="110" t="s">
        <v>141</v>
      </c>
    </row>
    <row r="92" spans="2:9">
      <c r="B92" s="487"/>
      <c r="C92" s="119" t="s">
        <v>209</v>
      </c>
      <c r="D92" s="84" t="s">
        <v>210</v>
      </c>
      <c r="E92" s="96"/>
      <c r="F92" s="94">
        <v>0.2</v>
      </c>
      <c r="G92" s="94">
        <v>0.8</v>
      </c>
      <c r="H92" s="93">
        <f t="shared" si="1"/>
        <v>7.2000000000000011</v>
      </c>
      <c r="I92" s="110" t="s">
        <v>141</v>
      </c>
    </row>
    <row r="93" spans="2:9">
      <c r="B93" s="487"/>
      <c r="C93" s="118" t="s">
        <v>211</v>
      </c>
      <c r="D93" s="99" t="s">
        <v>212</v>
      </c>
      <c r="E93" s="82"/>
      <c r="F93" s="94">
        <v>0.2</v>
      </c>
      <c r="G93" s="94">
        <v>0.8</v>
      </c>
      <c r="H93" s="93">
        <f t="shared" si="1"/>
        <v>7.2000000000000011</v>
      </c>
      <c r="I93" s="112" t="s">
        <v>143</v>
      </c>
    </row>
    <row r="94" spans="2:9">
      <c r="B94" s="487"/>
      <c r="C94" s="118" t="s">
        <v>213</v>
      </c>
      <c r="D94" s="99" t="s">
        <v>214</v>
      </c>
      <c r="E94" s="82"/>
      <c r="F94" s="94">
        <v>0.2</v>
      </c>
      <c r="G94" s="94">
        <v>0.8</v>
      </c>
      <c r="H94" s="93">
        <f t="shared" si="1"/>
        <v>7.2000000000000011</v>
      </c>
      <c r="I94" s="112" t="s">
        <v>143</v>
      </c>
    </row>
    <row r="95" spans="2:9">
      <c r="B95" s="487"/>
      <c r="C95" s="120" t="s">
        <v>215</v>
      </c>
      <c r="D95" s="121" t="s">
        <v>216</v>
      </c>
      <c r="E95" s="122"/>
      <c r="F95" s="94">
        <v>0.2</v>
      </c>
      <c r="G95" s="94">
        <v>0.8</v>
      </c>
      <c r="H95" s="93">
        <f t="shared" si="1"/>
        <v>7.2000000000000011</v>
      </c>
      <c r="I95" s="123" t="s">
        <v>217</v>
      </c>
    </row>
    <row r="96" spans="2:9">
      <c r="B96" s="487"/>
      <c r="C96" s="120" t="s">
        <v>218</v>
      </c>
      <c r="D96" s="121" t="s">
        <v>219</v>
      </c>
      <c r="E96" s="122"/>
      <c r="F96" s="94">
        <v>0.2</v>
      </c>
      <c r="G96" s="94">
        <v>0.8</v>
      </c>
      <c r="H96" s="93">
        <f t="shared" si="1"/>
        <v>7.2000000000000011</v>
      </c>
      <c r="I96" s="123" t="s">
        <v>217</v>
      </c>
    </row>
    <row r="97" spans="2:9">
      <c r="B97" s="487"/>
      <c r="C97" s="118" t="s">
        <v>220</v>
      </c>
      <c r="D97" s="99" t="s">
        <v>221</v>
      </c>
      <c r="E97" s="82"/>
      <c r="F97" s="94">
        <v>0.2</v>
      </c>
      <c r="G97" s="94">
        <v>0.8</v>
      </c>
      <c r="H97" s="93">
        <f t="shared" si="1"/>
        <v>7.2000000000000011</v>
      </c>
      <c r="I97" s="112" t="s">
        <v>143</v>
      </c>
    </row>
    <row r="98" spans="2:9">
      <c r="B98" s="487"/>
      <c r="C98" s="120" t="s">
        <v>222</v>
      </c>
      <c r="D98" s="121" t="s">
        <v>223</v>
      </c>
      <c r="E98" s="122"/>
      <c r="F98" s="94">
        <v>0.2</v>
      </c>
      <c r="G98" s="94">
        <v>0.8</v>
      </c>
      <c r="H98" s="93">
        <f t="shared" si="1"/>
        <v>7.2000000000000011</v>
      </c>
      <c r="I98" s="123" t="s">
        <v>217</v>
      </c>
    </row>
    <row r="99" spans="2:9">
      <c r="B99" s="487"/>
      <c r="C99" s="120" t="s">
        <v>224</v>
      </c>
      <c r="D99" s="121" t="s">
        <v>225</v>
      </c>
      <c r="E99" s="122"/>
      <c r="F99" s="94">
        <v>0.2</v>
      </c>
      <c r="G99" s="94">
        <v>0.8</v>
      </c>
      <c r="H99" s="93">
        <f t="shared" si="1"/>
        <v>7.2000000000000011</v>
      </c>
      <c r="I99" s="123" t="s">
        <v>217</v>
      </c>
    </row>
  </sheetData>
  <mergeCells count="2">
    <mergeCell ref="B6:B70"/>
    <mergeCell ref="B77:B99"/>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6"/>
  <sheetViews>
    <sheetView showGridLines="0" workbookViewId="0">
      <selection activeCell="E21" sqref="E21"/>
    </sheetView>
  </sheetViews>
  <sheetFormatPr baseColWidth="10" defaultRowHeight="15"/>
  <cols>
    <col min="1" max="1" width="6.28515625" style="3" customWidth="1"/>
    <col min="2" max="2" width="36.5703125" style="52" customWidth="1"/>
    <col min="3" max="4" width="11.7109375" style="56" customWidth="1"/>
    <col min="5" max="5" width="49.140625" style="52" customWidth="1"/>
  </cols>
  <sheetData>
    <row r="1" spans="1:5" ht="23.25">
      <c r="A1" s="488" t="s">
        <v>69</v>
      </c>
      <c r="B1" s="488"/>
      <c r="C1" s="488"/>
      <c r="D1" s="488"/>
    </row>
    <row r="2" spans="1:5" ht="23.25">
      <c r="A2" s="488" t="s">
        <v>70</v>
      </c>
      <c r="B2" s="488"/>
      <c r="C2" s="488"/>
      <c r="D2" s="488"/>
    </row>
    <row r="3" spans="1:5">
      <c r="B3" s="53"/>
      <c r="C3" s="54"/>
      <c r="D3" s="54"/>
    </row>
    <row r="4" spans="1:5">
      <c r="A4" s="17" t="s">
        <v>9</v>
      </c>
      <c r="B4" s="18" t="s">
        <v>29</v>
      </c>
      <c r="C4" s="18" t="s">
        <v>30</v>
      </c>
      <c r="D4" s="18" t="s">
        <v>31</v>
      </c>
    </row>
    <row r="5" spans="1:5">
      <c r="A5" s="19">
        <v>1</v>
      </c>
      <c r="B5" s="20" t="s">
        <v>32</v>
      </c>
      <c r="C5" s="27">
        <v>2007.5976174000002</v>
      </c>
      <c r="D5" s="27">
        <v>2007.5976174000002</v>
      </c>
      <c r="E5" s="55"/>
    </row>
    <row r="6" spans="1:5">
      <c r="A6" s="8">
        <v>2</v>
      </c>
      <c r="B6" s="20" t="s">
        <v>33</v>
      </c>
      <c r="C6" s="27">
        <v>2483.3664999999996</v>
      </c>
      <c r="D6" s="27">
        <v>2483.3664999999996</v>
      </c>
      <c r="E6" s="55"/>
    </row>
    <row r="7" spans="1:5">
      <c r="A7" s="8">
        <v>3</v>
      </c>
      <c r="B7" s="20" t="s">
        <v>34</v>
      </c>
      <c r="C7" s="27">
        <v>4351.4972127000001</v>
      </c>
      <c r="D7" s="27">
        <v>2745.4977484999999</v>
      </c>
      <c r="E7" s="55"/>
    </row>
    <row r="8" spans="1:5">
      <c r="A8" s="19">
        <v>4</v>
      </c>
      <c r="B8" s="20" t="s">
        <v>35</v>
      </c>
      <c r="C8" s="27">
        <v>4351.4972127000001</v>
      </c>
      <c r="D8" s="27">
        <v>2745.4977484999999</v>
      </c>
      <c r="E8" s="55"/>
    </row>
    <row r="9" spans="1:5">
      <c r="A9" s="8">
        <v>5</v>
      </c>
      <c r="B9" s="20" t="s">
        <v>13</v>
      </c>
      <c r="C9" s="27">
        <v>194.70926399999996</v>
      </c>
      <c r="D9" s="27">
        <v>194.70926399999996</v>
      </c>
      <c r="E9" s="55"/>
    </row>
    <row r="10" spans="1:5">
      <c r="A10" s="8"/>
    </row>
    <row r="11" spans="1:5">
      <c r="A11" s="19">
        <v>6</v>
      </c>
      <c r="B11" s="9" t="s">
        <v>36</v>
      </c>
      <c r="C11" s="27">
        <v>3514.9992722999996</v>
      </c>
      <c r="D11" s="27">
        <v>1852.4975318999998</v>
      </c>
      <c r="E11" s="21" t="s">
        <v>37</v>
      </c>
    </row>
    <row r="12" spans="1:5">
      <c r="A12" s="8"/>
      <c r="C12" s="57"/>
      <c r="D12" s="57"/>
      <c r="E12" s="55"/>
    </row>
    <row r="13" spans="1:5">
      <c r="A13" s="8">
        <v>7</v>
      </c>
      <c r="B13" s="9" t="s">
        <v>17</v>
      </c>
      <c r="C13" s="27">
        <v>1853</v>
      </c>
      <c r="D13" s="27">
        <v>1853</v>
      </c>
      <c r="E13" s="55"/>
    </row>
    <row r="14" spans="1:5">
      <c r="A14" s="19">
        <v>8</v>
      </c>
      <c r="B14" s="58" t="s">
        <v>18</v>
      </c>
      <c r="C14" s="27">
        <v>190</v>
      </c>
      <c r="D14" s="27">
        <v>190</v>
      </c>
      <c r="E14" s="55"/>
    </row>
    <row r="15" spans="1:5">
      <c r="A15" s="8">
        <v>9</v>
      </c>
      <c r="B15" s="58" t="s">
        <v>19</v>
      </c>
      <c r="C15" s="27">
        <v>23.75</v>
      </c>
      <c r="D15" s="27">
        <v>23.75</v>
      </c>
      <c r="E15" s="55"/>
    </row>
    <row r="16" spans="1:5">
      <c r="A16" s="8">
        <v>10</v>
      </c>
      <c r="B16" s="59" t="s">
        <v>20</v>
      </c>
      <c r="C16" s="60">
        <v>2691.3595</v>
      </c>
      <c r="D16" s="60">
        <v>2691.3595</v>
      </c>
      <c r="E16" s="55"/>
    </row>
    <row r="17" spans="1:5" s="29" customFormat="1" ht="22.5" customHeight="1">
      <c r="A17" s="61">
        <v>11</v>
      </c>
      <c r="B17" s="62" t="s">
        <v>21</v>
      </c>
      <c r="C17" s="25">
        <v>525.71733333333327</v>
      </c>
      <c r="D17" s="25">
        <v>525.71733333333327</v>
      </c>
      <c r="E17" s="63" t="s">
        <v>71</v>
      </c>
    </row>
    <row r="18" spans="1:5" ht="62.25" customHeight="1">
      <c r="A18" s="64">
        <v>12</v>
      </c>
      <c r="B18" s="62" t="s">
        <v>22</v>
      </c>
      <c r="C18" s="25">
        <v>154.8595</v>
      </c>
      <c r="D18" s="25">
        <v>154.8595</v>
      </c>
      <c r="E18" s="65" t="s">
        <v>72</v>
      </c>
    </row>
    <row r="19" spans="1:5" s="29" customFormat="1" ht="50.25" customHeight="1">
      <c r="A19" s="64">
        <v>13</v>
      </c>
      <c r="B19" s="66" t="s">
        <v>12</v>
      </c>
      <c r="C19" s="67">
        <f>SUM(C13:C18)</f>
        <v>5438.6863333333331</v>
      </c>
      <c r="D19" s="67">
        <f>SUM(D13:D18)</f>
        <v>5438.6863333333331</v>
      </c>
      <c r="E19" s="68" t="s">
        <v>73</v>
      </c>
    </row>
    <row r="20" spans="1:5">
      <c r="A20" s="64"/>
      <c r="B20" s="62"/>
      <c r="C20" s="25"/>
      <c r="D20" s="25"/>
      <c r="E20" s="65"/>
    </row>
    <row r="21" spans="1:5" s="29" customFormat="1" ht="60">
      <c r="A21" s="64">
        <v>14</v>
      </c>
      <c r="B21" s="24" t="s">
        <v>38</v>
      </c>
      <c r="C21" s="25">
        <f>7254.2*1.3</f>
        <v>9430.4600000000009</v>
      </c>
      <c r="D21" s="25">
        <f>7254.2*1.3</f>
        <v>9430.4600000000009</v>
      </c>
      <c r="E21" s="65" t="s">
        <v>74</v>
      </c>
    </row>
    <row r="22" spans="1:5" s="29" customFormat="1" ht="17.25" customHeight="1">
      <c r="A22" s="64">
        <v>15</v>
      </c>
      <c r="B22" s="26" t="s">
        <v>7</v>
      </c>
      <c r="C22" s="25">
        <f>1931.94*1.3</f>
        <v>2511.5219999999999</v>
      </c>
      <c r="D22" s="25">
        <f>1931.94*1.3</f>
        <v>2511.5219999999999</v>
      </c>
      <c r="E22" s="65"/>
    </row>
    <row r="23" spans="1:5" s="29" customFormat="1" ht="45">
      <c r="A23" s="64">
        <v>16</v>
      </c>
      <c r="B23" s="24" t="s">
        <v>39</v>
      </c>
      <c r="C23" s="27">
        <f>1133.08*1.3</f>
        <v>1473.0039999999999</v>
      </c>
      <c r="D23" s="27">
        <f>1133.08*1.3</f>
        <v>1473.0039999999999</v>
      </c>
      <c r="E23" s="65" t="s">
        <v>40</v>
      </c>
    </row>
    <row r="24" spans="1:5">
      <c r="A24" s="64">
        <v>17</v>
      </c>
      <c r="B24" s="20" t="s">
        <v>2</v>
      </c>
      <c r="C24" s="27">
        <v>2500</v>
      </c>
      <c r="D24" s="27">
        <v>2500</v>
      </c>
      <c r="E24" s="65"/>
    </row>
    <row r="26" spans="1:5">
      <c r="B26" s="69"/>
      <c r="C26" s="3"/>
      <c r="D26" s="3"/>
      <c r="E26"/>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PROCESO</vt:lpstr>
      <vt:lpstr>VALORIZACION EASY MACRO</vt:lpstr>
      <vt:lpstr>VALORIZACION BOOKRRU</vt:lpstr>
      <vt:lpstr>Precios de Marlon</vt:lpstr>
      <vt:lpstr>Preciario Marlon AAB</vt:lpstr>
      <vt:lpstr>Preciario BOOKRRU</vt:lpstr>
      <vt:lpstr>PLANOS</vt:lpstr>
      <vt:lpstr>PROBLEMAS SEGUN CUADRO DE MEDIC</vt:lpstr>
      <vt:lpstr>BBU BOX</vt:lpstr>
      <vt:lpstr>RRUs inicial</vt:lpstr>
      <vt:lpstr>Calculo de FO</vt:lpstr>
      <vt:lpstr>Costos FO</vt:lpstr>
      <vt:lpstr>PRECIARIO 160518</vt:lpstr>
    </vt:vector>
  </TitlesOfParts>
  <Company>AMERICA MOVIL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AMERICA MOVIL</dc:creator>
  <cp:lastModifiedBy>Camila Jessica Zuñe Cordova</cp:lastModifiedBy>
  <cp:lastPrinted>2018-04-27T15:27:20Z</cp:lastPrinted>
  <dcterms:created xsi:type="dcterms:W3CDTF">2016-09-28T17:21:05Z</dcterms:created>
  <dcterms:modified xsi:type="dcterms:W3CDTF">2026-07-06T16:17:37Z</dcterms:modified>
</cp:coreProperties>
</file>